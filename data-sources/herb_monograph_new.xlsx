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2.xml" ContentType="application/vnd.openxmlformats-officedocument.drawing+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tables/table20.xml" ContentType="application/vnd.openxmlformats-officedocument.spreadsheetml.table+xml"/>
  <Override PartName="/xl/worksheets/sheet26.xml" ContentType="application/vnd.openxmlformats-officedocument.spreadsheetml.worksheet+xml"/>
  <Override PartName="/xl/tables/table21.xml" ContentType="application/vnd.openxmlformats-officedocument.spreadsheetml.table+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Herb Monographs" sheetId="2" state="visible" r:id="rId2"/>
    <sheet xmlns:r="http://schemas.openxmlformats.org/officeDocument/2006/relationships" name="Summary View" sheetId="3" state="visible" r:id="rId3"/>
    <sheet xmlns:r="http://schemas.openxmlformats.org/officeDocument/2006/relationships" name="Rankings" sheetId="4" state="visible" r:id="rId4"/>
    <sheet xmlns:r="http://schemas.openxmlformats.org/officeDocument/2006/relationships" name="Action Queue" sheetId="5" state="visible" r:id="rId5"/>
    <sheet xmlns:r="http://schemas.openxmlformats.org/officeDocument/2006/relationships" name="Legend" sheetId="6" state="visible" r:id="rId6"/>
    <sheet xmlns:r="http://schemas.openxmlformats.org/officeDocument/2006/relationships" name="Mechanism Matrix" sheetId="7" state="visible" r:id="rId7"/>
    <sheet xmlns:r="http://schemas.openxmlformats.org/officeDocument/2006/relationships" name="Editorial Pipeline" sheetId="8" state="visible" r:id="rId8"/>
    <sheet xmlns:r="http://schemas.openxmlformats.org/officeDocument/2006/relationships" name="Citation Cleanup" sheetId="9" state="visible" r:id="rId9"/>
    <sheet xmlns:r="http://schemas.openxmlformats.org/officeDocument/2006/relationships" name="Publishing Workflow" sheetId="10" state="visible" r:id="rId10"/>
    <sheet xmlns:r="http://schemas.openxmlformats.org/officeDocument/2006/relationships" name="Frontend Ready" sheetId="11" state="visible" r:id="rId11"/>
    <sheet xmlns:r="http://schemas.openxmlformats.org/officeDocument/2006/relationships" name="Production Dashboard" sheetId="12" state="visible" r:id="rId12"/>
    <sheet xmlns:r="http://schemas.openxmlformats.org/officeDocument/2006/relationships" name="Publishing Guide" sheetId="13" state="visible" r:id="rId13"/>
    <sheet xmlns:r="http://schemas.openxmlformats.org/officeDocument/2006/relationships" name="Row Review Board" sheetId="14" state="visible" r:id="rId14"/>
    <sheet xmlns:r="http://schemas.openxmlformats.org/officeDocument/2006/relationships" name="Change History" sheetId="15" state="visible" r:id="rId15"/>
    <sheet xmlns:r="http://schemas.openxmlformats.org/officeDocument/2006/relationships" name="Approval History" sheetId="16" state="visible" r:id="rId16"/>
    <sheet xmlns:r="http://schemas.openxmlformats.org/officeDocument/2006/relationships" name="Review Dashboard" sheetId="17" state="visible" r:id="rId17"/>
    <sheet xmlns:r="http://schemas.openxmlformats.org/officeDocument/2006/relationships" name="Review Guide" sheetId="18" state="visible" r:id="rId18"/>
    <sheet xmlns:r="http://schemas.openxmlformats.org/officeDocument/2006/relationships" name="Compound Layer Dashboard" sheetId="19" state="visible" r:id="rId19"/>
    <sheet xmlns:r="http://schemas.openxmlformats.org/officeDocument/2006/relationships" name="Compound Master V2" sheetId="20" state="visible" r:id="rId20"/>
    <sheet xmlns:r="http://schemas.openxmlformats.org/officeDocument/2006/relationships" name="Herb Compound Map V2" sheetId="21" state="visible" r:id="rId21"/>
    <sheet xmlns:r="http://schemas.openxmlformats.org/officeDocument/2006/relationships" name="Compound Reverse Lookup" sheetId="22" state="visible" r:id="rId22"/>
    <sheet xmlns:r="http://schemas.openxmlformats.org/officeDocument/2006/relationships" name="Pathway Index" sheetId="23" state="visible" r:id="rId23"/>
    <sheet xmlns:r="http://schemas.openxmlformats.org/officeDocument/2006/relationships" name="Herb Enrichment Queue V2" sheetId="24" state="visible" r:id="rId24"/>
    <sheet xmlns:r="http://schemas.openxmlformats.org/officeDocument/2006/relationships" name="Compound Layer Guide" sheetId="25" state="visible" r:id="rId25"/>
    <sheet xmlns:r="http://schemas.openxmlformats.org/officeDocument/2006/relationships" name="Compound Layer Dashboard V3" sheetId="26" state="visible" r:id="rId26"/>
    <sheet xmlns:r="http://schemas.openxmlformats.org/officeDocument/2006/relationships" name="Compound Master V3" sheetId="27" state="visible" r:id="rId27"/>
    <sheet xmlns:r="http://schemas.openxmlformats.org/officeDocument/2006/relationships" name="Herb Compound Map V3" sheetId="28" state="visible" r:id="rId28"/>
    <sheet xmlns:r="http://schemas.openxmlformats.org/officeDocument/2006/relationships" name="Compound Reverse Lookup V3" sheetId="29" state="visible" r:id="rId29"/>
    <sheet xmlns:r="http://schemas.openxmlformats.org/officeDocument/2006/relationships" name="Herb Enrichment Queue V3" sheetId="30" state="visible" r:id="rId30"/>
    <sheet xmlns:r="http://schemas.openxmlformats.org/officeDocument/2006/relationships" name="Normalization Rules V3" sheetId="31" state="visible" r:id="rId31"/>
    <sheet xmlns:r="http://schemas.openxmlformats.org/officeDocument/2006/relationships" name="Normalization Guide V3" sheetId="32" state="visible" r:id="rId32"/>
    <sheet xmlns:r="http://schemas.openxmlformats.org/officeDocument/2006/relationships" name="Locked Compounds Batch 1" sheetId="33" state="visible" r:id="rId33"/>
    <sheet xmlns:r="http://schemas.openxmlformats.org/officeDocument/2006/relationships" name="Locked Compounds Batch 2" sheetId="34" state="visible" r:id="rId34"/>
    <sheet xmlns:r="http://schemas.openxmlformats.org/officeDocument/2006/relationships" name="Locked Compounds Batch 3" sheetId="35" state="visible" r:id="rId35"/>
    <sheet xmlns:r="http://schemas.openxmlformats.org/officeDocument/2006/relationships" name="Locked Compounds Batch 4" sheetId="36" state="visible" r:id="rId36"/>
    <sheet xmlns:r="http://schemas.openxmlformats.org/officeDocument/2006/relationships" name="Locked Compounds Batch 5" sheetId="37" state="visible" r:id="rId37"/>
    <sheet xmlns:r="http://schemas.openxmlformats.org/officeDocument/2006/relationships" name="Locked Compounds Batch 6" sheetId="38" state="visible" r:id="rId38"/>
    <sheet xmlns:r="http://schemas.openxmlformats.org/officeDocument/2006/relationships" name="Locked Compounds Batch 7" sheetId="39" state="visible" r:id="rId39"/>
    <sheet xmlns:r="http://schemas.openxmlformats.org/officeDocument/2006/relationships" name="Locked Compounds Batch 8" sheetId="40" state="visible" r:id="rId40"/>
    <sheet xmlns:r="http://schemas.openxmlformats.org/officeDocument/2006/relationships" name="Locked Compounds Batch 9" sheetId="41" state="visible" r:id="rId41"/>
    <sheet xmlns:r="http://schemas.openxmlformats.org/officeDocument/2006/relationships" name="Locked Compounds Batch 10" sheetId="42" state="visible" r:id="rId42"/>
    <sheet xmlns:r="http://schemas.openxmlformats.org/officeDocument/2006/relationships" name="Locked Compounds Batch 11" sheetId="43" state="visible" r:id="rId43"/>
    <sheet xmlns:r="http://schemas.openxmlformats.org/officeDocument/2006/relationships" name="Locked Compounds Batch 12" sheetId="44" state="visible" r:id="rId44"/>
    <sheet xmlns:r="http://schemas.openxmlformats.org/officeDocument/2006/relationships" name="Locked Compounds Batch 13" sheetId="45" state="visible" r:id="rId45"/>
    <sheet xmlns:r="http://schemas.openxmlformats.org/officeDocument/2006/relationships" name="Locked Compounds Batch 14" sheetId="46" state="visible" r:id="rId46"/>
    <sheet xmlns:r="http://schemas.openxmlformats.org/officeDocument/2006/relationships" name="Refinement Pass Batch 15" sheetId="47" state="visible" r:id="rId47"/>
    <sheet xmlns:r="http://schemas.openxmlformats.org/officeDocument/2006/relationships" name="Locked Compounds Batch 16" sheetId="48" state="visible" r:id="rId48"/>
    <sheet xmlns:r="http://schemas.openxmlformats.org/officeDocument/2006/relationships" name="Locked Compounds Batch 17" sheetId="49" state="visible" r:id="rId49"/>
    <sheet xmlns:r="http://schemas.openxmlformats.org/officeDocument/2006/relationships" name="Pathway Scoring Engine" sheetId="50" state="visible" r:id="rId50"/>
    <sheet xmlns:r="http://schemas.openxmlformats.org/officeDocument/2006/relationships" name="Blend Builder Engine" sheetId="51" state="visible" r:id="rId51"/>
    <sheet xmlns:r="http://schemas.openxmlformats.org/officeDocument/2006/relationships" name="Contraindication Engine" sheetId="52" state="visible" r:id="rId52"/>
    <sheet xmlns:r="http://schemas.openxmlformats.org/officeDocument/2006/relationships" name="Optimization Pass 18" sheetId="53" state="visible" r:id="rId53"/>
    <sheet xmlns:r="http://schemas.openxmlformats.org/officeDocument/2006/relationships" name="Consistency Cleanup Pass 19" sheetId="54" state="visible" r:id="rId54"/>
    <sheet xmlns:r="http://schemas.openxmlformats.org/officeDocument/2006/relationships" name="Finalization Batch 20" sheetId="55" state="visible" r:id="rId55"/>
    <sheet xmlns:r="http://schemas.openxmlformats.org/officeDocument/2006/relationships" name="Deduplication Pass 21" sheetId="56" state="visible" r:id="rId56"/>
    <sheet xmlns:r="http://schemas.openxmlformats.org/officeDocument/2006/relationships" name="Integrity Pass 22" sheetId="57" state="visible" r:id="rId57"/>
    <sheet xmlns:r="http://schemas.openxmlformats.org/officeDocument/2006/relationships" name="Pathway Aggregation V3" sheetId="58" state="visible" r:id="rId58"/>
    <sheet xmlns:r="http://schemas.openxmlformats.org/officeDocument/2006/relationships" name="Optimization Pass 23" sheetId="59" state="visible" r:id="rId59"/>
    <sheet xmlns:r="http://schemas.openxmlformats.org/officeDocument/2006/relationships" name="Residual Resolution Pass 24" sheetId="60" state="visible" r:id="rId60"/>
    <sheet xmlns:r="http://schemas.openxmlformats.org/officeDocument/2006/relationships" name="Engine Canonical Map" sheetId="61" state="visible" r:id="rId61"/>
    <sheet xmlns:r="http://schemas.openxmlformats.org/officeDocument/2006/relationships" name="Canonicalization Pass 25" sheetId="62" state="visible" r:id="rId62"/>
    <sheet xmlns:r="http://schemas.openxmlformats.org/officeDocument/2006/relationships" name="Scoring Calibration V26" sheetId="63" state="visible" r:id="rId63"/>
    <sheet xmlns:r="http://schemas.openxmlformats.org/officeDocument/2006/relationships" name="Calibration Pass 26" sheetId="64" state="visible" r:id="rId64"/>
    <sheet xmlns:r="http://schemas.openxmlformats.org/officeDocument/2006/relationships" name="Blend Recalibration Pass 27" sheetId="65" state="visible" r:id="rId65"/>
    <sheet xmlns:r="http://schemas.openxmlformats.org/officeDocument/2006/relationships" name="Contraindication Link Pass 28" sheetId="66" state="visible" r:id="rId66"/>
    <sheet xmlns:r="http://schemas.openxmlformats.org/officeDocument/2006/relationships" name="Linkage Repair Pass 29" sheetId="67" state="visible" r:id="rId67"/>
    <sheet xmlns:r="http://schemas.openxmlformats.org/officeDocument/2006/relationships" name="Goal Blend Views" sheetId="68" state="visible" r:id="rId68"/>
    <sheet xmlns:r="http://schemas.openxmlformats.org/officeDocument/2006/relationships" name="Goal Views Pass 30" sheetId="69" state="visible" r:id="rId69"/>
    <sheet xmlns:r="http://schemas.openxmlformats.org/officeDocument/2006/relationships" name="Recommendation Explanation V31" sheetId="70" state="visible" r:id="rId70"/>
    <sheet xmlns:r="http://schemas.openxmlformats.org/officeDocument/2006/relationships" name="Explanation Pass 31" sheetId="71" state="visible" r:id="rId71"/>
    <sheet xmlns:r="http://schemas.openxmlformats.org/officeDocument/2006/relationships" name="Stack Builder V32" sheetId="72" state="visible" r:id="rId72"/>
    <sheet xmlns:r="http://schemas.openxmlformats.org/officeDocument/2006/relationships" name="Stack Builder V33" sheetId="73" state="visible" r:id="rId73"/>
    <sheet xmlns:r="http://schemas.openxmlformats.org/officeDocument/2006/relationships" name="Stack Intelligence Pass 33" sheetId="74" state="visible" r:id="rId74"/>
    <sheet xmlns:r="http://schemas.openxmlformats.org/officeDocument/2006/relationships" name="Goal Stack Builder V34" sheetId="75" state="visible" r:id="rId75"/>
    <sheet xmlns:r="http://schemas.openxmlformats.org/officeDocument/2006/relationships" name="Goal Stack Safety V35" sheetId="76" state="visible" r:id="rId76"/>
    <sheet xmlns:r="http://schemas.openxmlformats.org/officeDocument/2006/relationships" name="Preferred Goal Stacks V36" sheetId="77" state="visible" r:id="rId77"/>
    <sheet xmlns:r="http://schemas.openxmlformats.org/officeDocument/2006/relationships" name="Stack Safety Pass 35" sheetId="78" state="visible" r:id="rId78"/>
    <sheet xmlns:r="http://schemas.openxmlformats.org/officeDocument/2006/relationships" name="Preferred Stacks Pass 36" sheetId="79" state="visible" r:id="rId79"/>
    <sheet xmlns:r="http://schemas.openxmlformats.org/officeDocument/2006/relationships" name="Stack Intelligence V37" sheetId="80" state="visible" r:id="rId80"/>
    <sheet xmlns:r="http://schemas.openxmlformats.org/officeDocument/2006/relationships" name="Stack Intelligence Pass 37" sheetId="81" state="visible" r:id="rId81"/>
    <sheet xmlns:r="http://schemas.openxmlformats.org/officeDocument/2006/relationships" name="Adaptive Stack Optimization V38" sheetId="82" state="visible" r:id="rId82"/>
    <sheet xmlns:r="http://schemas.openxmlformats.org/officeDocument/2006/relationships" name="Adaptive Optimization Pass 38" sheetId="83" state="visible" r:id="rId83"/>
    <sheet xmlns:r="http://schemas.openxmlformats.org/officeDocument/2006/relationships" name="Stack Export Layer V39" sheetId="84" state="visible" r:id="rId84"/>
    <sheet xmlns:r="http://schemas.openxmlformats.org/officeDocument/2006/relationships" name="Frontend Stack Handoff V39" sheetId="85" state="visible" r:id="rId85"/>
    <sheet xmlns:r="http://schemas.openxmlformats.org/officeDocument/2006/relationships" name="Stack Export Pass 39" sheetId="86" state="visible" r:id="rId86"/>
    <sheet xmlns:r="http://schemas.openxmlformats.org/officeDocument/2006/relationships" name="Form Distinction Rules V65" sheetId="87" state="visible" r:id="rId87"/>
    <sheet xmlns:r="http://schemas.openxmlformats.org/officeDocument/2006/relationships" name="Pass 64-65 Log" sheetId="88" state="visible" r:id="rId88"/>
    <sheet xmlns:r="http://schemas.openxmlformats.org/officeDocument/2006/relationships" name="Pass 66-67 Log" sheetId="89" state="visible" r:id="rId89"/>
    <sheet xmlns:r="http://schemas.openxmlformats.org/officeDocument/2006/relationships" name="Pass 68-69 Log" sheetId="90" state="visible" r:id="rId90"/>
    <sheet xmlns:r="http://schemas.openxmlformats.org/officeDocument/2006/relationships" name="Pass 70-71 Log" sheetId="91" state="visible" r:id="rId91"/>
    <sheet xmlns:r="http://schemas.openxmlformats.org/officeDocument/2006/relationships" name="Pass 72-73 Log" sheetId="92" state="visible" r:id="rId92"/>
    <sheet xmlns:r="http://schemas.openxmlformats.org/officeDocument/2006/relationships" name="Pass 76-77 Log" sheetId="93" state="visible" r:id="rId93"/>
    <sheet xmlns:r="http://schemas.openxmlformats.org/officeDocument/2006/relationships" name="Pass 78-79 Log" sheetId="94" state="visible" r:id="rId94"/>
  </sheets>
  <definedNames/>
</workbook>
</file>

<file path=xl/styles.xml><?xml version="1.0" encoding="utf-8"?>
<styleSheet xmlns="http://schemas.openxmlformats.org/spreadsheetml/2006/main">
  <numFmts count="3">
    <numFmt numFmtId="164" formatCode="0.0"/>
    <numFmt numFmtId="165" formatCode="yyyy-mm-dd"/>
    <numFmt numFmtId="166" formatCode="yyyy-mm-dd hh:mm"/>
  </numFmts>
  <fonts count="9">
    <font>
      <name val="Carlito"/>
      <sz val="11"/>
    </font>
    <font>
      <name val="Carlito"/>
      <b val="1"/>
      <color rgb="00FFFFFF"/>
      <sz val="11"/>
    </font>
    <font>
      <name val="Carlito"/>
      <b val="1"/>
      <color rgb="000F172A"/>
      <sz val="11"/>
    </font>
    <font>
      <name val="Carlito"/>
      <b val="1"/>
      <color rgb="000F766E"/>
      <sz val="11"/>
    </font>
    <font>
      <name val="Carlito"/>
      <b val="1"/>
      <color rgb="00FFFFFF"/>
      <sz val="13"/>
    </font>
    <font>
      <name val="Carlito"/>
      <b val="1"/>
      <sz val="11"/>
    </font>
    <font>
      <name val="Carlito"/>
      <b val="1"/>
      <color rgb="00FFFFFF"/>
      <sz val="14"/>
    </font>
    <font>
      <name val="Carlito"/>
      <i val="1"/>
      <color rgb="00334155"/>
      <sz val="11"/>
    </font>
    <font>
      <name val="Carlito"/>
      <b val="1"/>
      <color rgb="001F1F1F"/>
      <sz val="11"/>
    </font>
  </fonts>
  <fills count="40">
    <fill>
      <patternFill/>
    </fill>
    <fill>
      <patternFill patternType="gray125"/>
    </fill>
    <fill>
      <patternFill patternType="solid">
        <fgColor rgb="000F766E"/>
      </patternFill>
    </fill>
    <fill>
      <patternFill patternType="solid">
        <fgColor rgb="000F172A"/>
      </patternFill>
    </fill>
    <fill>
      <patternFill patternType="solid">
        <fgColor rgb="00F8FAFC"/>
      </patternFill>
    </fill>
    <fill>
      <patternFill patternType="solid">
        <fgColor rgb="00E2E8F0"/>
      </patternFill>
    </fill>
    <fill>
      <patternFill patternType="solid">
        <fgColor rgb="00F1F5F9"/>
      </patternFill>
    </fill>
    <fill>
      <patternFill patternType="solid">
        <fgColor rgb="00FFFFFF"/>
      </patternFill>
    </fill>
    <fill>
      <patternFill patternType="solid">
        <fgColor rgb="001F4E78"/>
      </patternFill>
    </fill>
    <fill>
      <patternFill patternType="solid">
        <fgColor rgb="00274E13"/>
      </patternFill>
    </fill>
    <fill>
      <patternFill patternType="solid">
        <fgColor rgb="007F6000"/>
      </patternFill>
    </fill>
    <fill>
      <patternFill patternType="solid">
        <fgColor rgb="005B9BD5"/>
      </patternFill>
    </fill>
    <fill>
      <patternFill patternType="solid">
        <fgColor rgb="00D9EAD3"/>
      </patternFill>
    </fill>
    <fill>
      <patternFill patternType="solid">
        <fgColor rgb="001F4E78"/>
      </patternFill>
    </fill>
    <fill>
      <patternFill patternType="solid">
        <fgColor rgb="000F766E"/>
      </patternFill>
    </fill>
    <fill>
      <patternFill patternType="solid">
        <fgColor rgb="007C3AED"/>
      </patternFill>
    </fill>
    <fill>
      <patternFill patternType="solid">
        <fgColor rgb="00111827"/>
      </patternFill>
    </fill>
    <fill>
      <patternFill patternType="solid">
        <fgColor rgb="00EEF2FF"/>
      </patternFill>
    </fill>
    <fill>
      <patternFill patternType="solid">
        <fgColor rgb="00ECFDF5"/>
      </patternFill>
    </fill>
    <fill>
      <patternFill patternType="solid">
        <fgColor rgb="00374151"/>
      </patternFill>
    </fill>
    <fill>
      <patternFill patternType="solid">
        <fgColor rgb="001F4E78"/>
      </patternFill>
    </fill>
    <fill>
      <patternFill patternType="solid">
        <fgColor rgb="000F766E"/>
      </patternFill>
    </fill>
    <fill>
      <patternFill patternType="solid">
        <fgColor rgb="00DDEBF7"/>
      </patternFill>
    </fill>
    <fill>
      <patternFill patternType="solid">
        <fgColor rgb="00E2F0D9"/>
      </patternFill>
    </fill>
    <fill>
      <patternFill patternType="solid">
        <fgColor rgb="00FCE4D6"/>
      </patternFill>
    </fill>
    <fill>
      <patternFill patternType="solid">
        <fgColor rgb="000F766E"/>
      </patternFill>
    </fill>
    <fill>
      <patternFill patternType="solid">
        <fgColor rgb="000F766E"/>
      </patternFill>
    </fill>
    <fill>
      <patternFill patternType="solid">
        <fgColor rgb="000B3D3C"/>
      </patternFill>
    </fill>
    <fill>
      <patternFill patternType="solid">
        <fgColor rgb="00115E59"/>
      </patternFill>
    </fill>
    <fill>
      <patternFill patternType="solid">
        <fgColor rgb="001F4E78"/>
      </patternFill>
    </fill>
    <fill>
      <patternFill patternType="solid">
        <fgColor rgb="001F4E78"/>
      </patternFill>
    </fill>
    <fill>
      <patternFill patternType="solid">
        <fgColor rgb="001F4E78"/>
      </patternFill>
    </fill>
    <fill>
      <patternFill patternType="solid">
        <fgColor rgb="001F4E78"/>
      </patternFill>
    </fill>
    <fill>
      <patternFill patternType="solid">
        <fgColor rgb="000F172A"/>
      </patternFill>
    </fill>
    <fill>
      <patternFill patternType="solid">
        <fgColor rgb="00F8FAFC"/>
      </patternFill>
    </fill>
    <fill>
      <patternFill patternType="solid">
        <fgColor rgb="001F4E78"/>
      </patternFill>
    </fill>
    <fill>
      <patternFill patternType="solid">
        <fgColor rgb="00D9EAF7"/>
      </patternFill>
    </fill>
    <fill>
      <patternFill patternType="solid">
        <fgColor rgb="00FEE2E2"/>
      </patternFill>
    </fill>
    <fill>
      <patternFill patternType="solid">
        <fgColor rgb="00FEF3C7"/>
      </patternFill>
    </fill>
    <fill>
      <patternFill patternType="solid">
        <fgColor rgb="001F4E78"/>
      </patternFill>
    </fill>
  </fills>
  <borders count="12">
    <border/>
    <border>
      <left>
        <color rgb="00CBD5E1"/>
      </left>
      <top>
        <color rgb="00CBD5E1"/>
      </top>
    </border>
    <border>
      <top>
        <color rgb="00CBD5E1"/>
      </top>
    </border>
    <border>
      <right>
        <color rgb="00CBD5E1"/>
      </right>
      <top>
        <color rgb="00CBD5E1"/>
      </top>
    </border>
    <border>
      <left>
        <color rgb="00CBD5E1"/>
      </left>
    </border>
    <border>
      <right>
        <color rgb="00CBD5E1"/>
      </right>
    </border>
    <border>
      <left>
        <color rgb="00CBD5E1"/>
      </left>
      <bottom>
        <color rgb="00CBD5E1"/>
      </bottom>
    </border>
    <border>
      <bottom>
        <color rgb="00CBD5E1"/>
      </bottom>
    </border>
    <border>
      <right>
        <color rgb="00CBD5E1"/>
      </right>
      <bottom>
        <color rgb="00CBD5E1"/>
      </bottom>
    </border>
    <border>
      <left>
        <color rgb="00CBD5E1"/>
      </left>
      <top>
        <color rgb="00CBD5E1"/>
      </top>
      <bottom>
        <color rgb="00CBD5E1"/>
      </bottom>
    </border>
    <border>
      <right>
        <color rgb="00CBD5E1"/>
      </right>
      <top>
        <color rgb="00CBD5E1"/>
      </top>
      <bottom>
        <color rgb="00CBD5E1"/>
      </bottom>
    </border>
    <border>
      <left>
        <color rgb="00CBD5E1"/>
      </left>
      <right>
        <color rgb="00CBD5E1"/>
      </right>
      <top>
        <color rgb="00CBD5E1"/>
      </top>
    </border>
  </borders>
  <cellStyleXfs count="1">
    <xf numFmtId="0" fontId="0" fillId="0" borderId="0"/>
  </cellStyleXfs>
  <cellXfs count="18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4" pivotButton="0" quotePrefix="0" xfId="0"/>
    <xf numFmtId="0" fontId="0" fillId="0" borderId="0"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0" applyAlignment="1" pivotButton="0" quotePrefix="0" xfId="0">
      <alignment wrapText="1"/>
    </xf>
    <xf numFmtId="0" fontId="0" fillId="0" borderId="7" applyAlignment="1" pivotButton="0" quotePrefix="0" xfId="0">
      <alignment wrapText="1"/>
    </xf>
    <xf numFmtId="9" fontId="0" fillId="0" borderId="0" pivotButton="0" quotePrefix="0" xfId="0"/>
    <xf numFmtId="9" fontId="0" fillId="0" borderId="7" pivotButton="0" quotePrefix="0" xfId="0"/>
    <xf numFmtId="1" fontId="0" fillId="0" borderId="0" pivotButton="0" quotePrefix="0" xfId="0"/>
    <xf numFmtId="1" fontId="0" fillId="0" borderId="7" pivotButton="0" quotePrefix="0" xfId="0"/>
    <xf numFmtId="0" fontId="0" fillId="3" borderId="0" pivotButton="0" quotePrefix="0" xfId="0"/>
    <xf numFmtId="0" fontId="1" fillId="3" borderId="0" pivotButton="0" quotePrefix="0" xfId="0"/>
    <xf numFmtId="0" fontId="1" fillId="3" borderId="0" applyAlignment="1" pivotButton="0" quotePrefix="0" xfId="0">
      <alignment horizontal="left"/>
    </xf>
    <xf numFmtId="0" fontId="1" fillId="3" borderId="0" applyAlignment="1" pivotButton="0" quotePrefix="0" xfId="0">
      <alignment horizontal="left" vertical="center"/>
    </xf>
    <xf numFmtId="0" fontId="0" fillId="4" borderId="0" pivotButton="0" quotePrefix="0" xfId="0"/>
    <xf numFmtId="0" fontId="0" fillId="5" borderId="0" pivotButton="0" quotePrefix="0" xfId="0"/>
    <xf numFmtId="0" fontId="2" fillId="5" borderId="0" pivotButton="0" quotePrefix="0" xfId="0"/>
    <xf numFmtId="0" fontId="2" fillId="5" borderId="0" applyAlignment="1" pivotButton="0" quotePrefix="0" xfId="0">
      <alignment horizontal="center"/>
    </xf>
    <xf numFmtId="0" fontId="0" fillId="6" borderId="0" pivotButton="0" quotePrefix="0" xfId="0"/>
    <xf numFmtId="0" fontId="2" fillId="6" borderId="0" pivotButton="0" quotePrefix="0" xfId="0"/>
    <xf numFmtId="0" fontId="0" fillId="7" borderId="0" pivotButton="0" quotePrefix="0" xfId="0"/>
    <xf numFmtId="0" fontId="3" fillId="7" borderId="0" pivotButton="0" quotePrefix="0" xfId="0"/>
    <xf numFmtId="0" fontId="3" fillId="7" borderId="0" applyAlignment="1" pivotButton="0" quotePrefix="0" xfId="0">
      <alignment horizontal="center"/>
    </xf>
    <xf numFmtId="164" fontId="3" fillId="7" borderId="0" applyAlignment="1" pivotButton="0" quotePrefix="0" xfId="0">
      <alignment horizontal="center"/>
    </xf>
    <xf numFmtId="164" fontId="3" fillId="5" borderId="0" applyAlignment="1" pivotButton="0" quotePrefix="0" xfId="0">
      <alignment horizontal="center"/>
    </xf>
    <xf numFmtId="164" fontId="2" fillId="5" borderId="0" applyAlignment="1" pivotButton="0" quotePrefix="0" xfId="0">
      <alignment horizontal="center"/>
    </xf>
    <xf numFmtId="0" fontId="2" fillId="5" borderId="1" applyAlignment="1" pivotButton="0" quotePrefix="0" xfId="0">
      <alignment horizontal="center"/>
    </xf>
    <xf numFmtId="0" fontId="2" fillId="5" borderId="3" applyAlignment="1" pivotButton="0" quotePrefix="0" xfId="0">
      <alignment horizontal="center"/>
    </xf>
    <xf numFmtId="0" fontId="2" fillId="6" borderId="4" pivotButton="0" quotePrefix="0" xfId="0"/>
    <xf numFmtId="164" fontId="3" fillId="7" borderId="5" applyAlignment="1" pivotButton="0" quotePrefix="0" xfId="0">
      <alignment horizontal="center"/>
    </xf>
    <xf numFmtId="0" fontId="2" fillId="5" borderId="6" applyAlignment="1" pivotButton="0" quotePrefix="0" xfId="0">
      <alignment horizontal="center"/>
    </xf>
    <xf numFmtId="164" fontId="2" fillId="5" borderId="8" applyAlignment="1" pivotButton="0" quotePrefix="0" xfId="0">
      <alignment horizontal="center"/>
    </xf>
    <xf numFmtId="0" fontId="2" fillId="5" borderId="9" applyAlignment="1" pivotButton="0" quotePrefix="0" xfId="0">
      <alignment horizontal="center"/>
    </xf>
    <xf numFmtId="164" fontId="2" fillId="5" borderId="10" applyAlignment="1" pivotButton="0" quotePrefix="0" xfId="0">
      <alignment horizontal="center"/>
    </xf>
    <xf numFmtId="0" fontId="1" fillId="3" borderId="1" applyAlignment="1" pivotButton="0" quotePrefix="0" xfId="0">
      <alignment horizontal="left" vertical="center"/>
    </xf>
    <xf numFmtId="0" fontId="1" fillId="3" borderId="2" applyAlignment="1" pivotButton="0" quotePrefix="0" xfId="0">
      <alignment horizontal="left" vertical="center"/>
    </xf>
    <xf numFmtId="0" fontId="1" fillId="3" borderId="3" applyAlignment="1" pivotButton="0" quotePrefix="0" xfId="0">
      <alignment horizontal="left" vertical="center"/>
    </xf>
    <xf numFmtId="0" fontId="0" fillId="0" borderId="4" applyAlignment="1" pivotButton="0" quotePrefix="0" xfId="0">
      <alignment wrapText="1"/>
    </xf>
    <xf numFmtId="0" fontId="0" fillId="0" borderId="6" applyAlignment="1" pivotButton="0" quotePrefix="0" xfId="0">
      <alignment wrapText="1"/>
    </xf>
    <xf numFmtId="1" fontId="3" fillId="7" borderId="5" applyAlignment="1" pivotButton="0" quotePrefix="0" xfId="0">
      <alignment horizontal="center"/>
    </xf>
    <xf numFmtId="1" fontId="2" fillId="5" borderId="10" applyAlignment="1" pivotButton="0" quotePrefix="0" xfId="0">
      <alignment horizontal="center"/>
    </xf>
    <xf numFmtId="1" fontId="0" fillId="0" borderId="5" pivotButton="0" quotePrefix="0" xfId="0"/>
    <xf numFmtId="1" fontId="0" fillId="0" borderId="8" pivotButton="0" quotePrefix="0" xfId="0"/>
    <xf numFmtId="0" fontId="0" fillId="8" borderId="0" pivotButton="0" quotePrefix="0" xfId="0"/>
    <xf numFmtId="0" fontId="1" fillId="8" borderId="0" pivotButton="0" quotePrefix="0" xfId="0"/>
    <xf numFmtId="0" fontId="1" fillId="8" borderId="0" applyAlignment="1" pivotButton="0" quotePrefix="0" xfId="0">
      <alignment wrapText="1"/>
    </xf>
    <xf numFmtId="0" fontId="1" fillId="8" borderId="0" applyAlignment="1" pivotButton="0" quotePrefix="0" xfId="0">
      <alignment horizontal="center" wrapText="1"/>
    </xf>
    <xf numFmtId="0" fontId="1" fillId="8" borderId="0" applyAlignment="1" pivotButton="0" quotePrefix="0" xfId="0">
      <alignment horizontal="center" vertical="center" wrapText="1"/>
    </xf>
    <xf numFmtId="0" fontId="0" fillId="9" borderId="0" pivotButton="0" quotePrefix="0" xfId="0"/>
    <xf numFmtId="0" fontId="1" fillId="9" borderId="0" pivotButton="0" quotePrefix="0" xfId="0"/>
    <xf numFmtId="0" fontId="1" fillId="9" borderId="0" applyAlignment="1" pivotButton="0" quotePrefix="0" xfId="0">
      <alignment wrapText="1"/>
    </xf>
    <xf numFmtId="0" fontId="1" fillId="9" borderId="0" applyAlignment="1" pivotButton="0" quotePrefix="0" xfId="0">
      <alignment horizontal="center" wrapText="1"/>
    </xf>
    <xf numFmtId="0" fontId="1" fillId="9" borderId="0" applyAlignment="1" pivotButton="0" quotePrefix="0" xfId="0">
      <alignment horizontal="center" vertical="center"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0" fillId="11" borderId="0" pivotButton="0" quotePrefix="0" xfId="0"/>
    <xf numFmtId="0" fontId="4" fillId="11" borderId="0" pivotButton="0" quotePrefix="0" xfId="0"/>
    <xf numFmtId="0" fontId="4" fillId="11" borderId="0" applyAlignment="1" pivotButton="0" quotePrefix="0" xfId="0">
      <alignment horizontal="center"/>
    </xf>
    <xf numFmtId="0" fontId="5" fillId="0" borderId="0" pivotButton="0" quotePrefix="0" xfId="0"/>
    <xf numFmtId="0" fontId="0" fillId="0" borderId="0" applyAlignment="1" pivotButton="0" quotePrefix="0" xfId="0">
      <alignment horizontal="center"/>
    </xf>
    <xf numFmtId="0" fontId="4" fillId="11" borderId="0" applyAlignment="1" pivotButton="0" quotePrefix="0" xfId="0">
      <alignment horizontal="center"/>
    </xf>
    <xf numFmtId="0" fontId="5" fillId="0" borderId="0" pivotButton="0" quotePrefix="0" xfId="0"/>
    <xf numFmtId="0" fontId="0" fillId="0" borderId="0" applyAlignment="1" pivotButton="0" quotePrefix="0" xfId="0">
      <alignment horizontal="center"/>
    </xf>
    <xf numFmtId="0" fontId="0" fillId="0" borderId="0" pivotButton="0" quotePrefix="0" xfId="0"/>
    <xf numFmtId="0" fontId="0" fillId="12" borderId="0" pivotButton="0" quotePrefix="0" xfId="0"/>
    <xf numFmtId="0" fontId="5" fillId="12" borderId="0" pivotButton="0" quotePrefix="0" xfId="0"/>
    <xf numFmtId="0" fontId="0" fillId="13" borderId="0" pivotButton="0" quotePrefix="0" xfId="0"/>
    <xf numFmtId="0" fontId="1" fillId="13" borderId="0" pivotButton="0" quotePrefix="0" xfId="0"/>
    <xf numFmtId="0" fontId="1" fillId="13" borderId="0" applyAlignment="1" pivotButton="0" quotePrefix="0" xfId="0">
      <alignment wrapText="1"/>
    </xf>
    <xf numFmtId="0" fontId="1" fillId="13" borderId="0" applyAlignment="1" pivotButton="0" quotePrefix="0" xfId="0">
      <alignment horizontal="center" wrapText="1"/>
    </xf>
    <xf numFmtId="165" fontId="1" fillId="13" borderId="0" applyAlignment="1" pivotButton="0" quotePrefix="0" xfId="0">
      <alignment horizontal="center" wrapText="1"/>
    </xf>
    <xf numFmtId="0" fontId="0" fillId="14" borderId="0" pivotButton="0" quotePrefix="0" xfId="0"/>
    <xf numFmtId="0" fontId="1" fillId="14" borderId="0" pivotButton="0" quotePrefix="0" xfId="0"/>
    <xf numFmtId="0" fontId="1" fillId="14" borderId="0" applyAlignment="1" pivotButton="0" quotePrefix="0" xfId="0">
      <alignment wrapText="1"/>
    </xf>
    <xf numFmtId="0" fontId="1" fillId="14" borderId="0" applyAlignment="1" pivotButton="0" quotePrefix="0" xfId="0">
      <alignment horizontal="center" wrapText="1"/>
    </xf>
    <xf numFmtId="0" fontId="0" fillId="15" borderId="0" pivotButton="0" quotePrefix="0" xfId="0"/>
    <xf numFmtId="0" fontId="1" fillId="15" borderId="0" pivotButton="0" quotePrefix="0" xfId="0"/>
    <xf numFmtId="0" fontId="1" fillId="15" borderId="0" applyAlignment="1" pivotButton="0" quotePrefix="0" xfId="0">
      <alignment horizontal="center"/>
    </xf>
    <xf numFmtId="0" fontId="0" fillId="16" borderId="0" pivotButton="0" quotePrefix="0" xfId="0"/>
    <xf numFmtId="0" fontId="4" fillId="16" borderId="0" pivotButton="0" quotePrefix="0" xfId="0"/>
    <xf numFmtId="0" fontId="4" fillId="16" borderId="0" applyAlignment="1" pivotButton="0" quotePrefix="0" xfId="0">
      <alignment horizontal="center"/>
    </xf>
    <xf numFmtId="0" fontId="0" fillId="17" borderId="0" pivotButton="0" quotePrefix="0" xfId="0"/>
    <xf numFmtId="0" fontId="5" fillId="17" borderId="0" pivotButton="0" quotePrefix="0" xfId="0"/>
    <xf numFmtId="0" fontId="0" fillId="18" borderId="0" pivotButton="0" quotePrefix="0" xfId="0"/>
    <xf numFmtId="0" fontId="5" fillId="18" borderId="0" pivotButton="0" quotePrefix="0" xfId="0"/>
    <xf numFmtId="9" fontId="5" fillId="17"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1" fillId="20" borderId="0" applyAlignment="1" pivotButton="0" quotePrefix="0" xfId="0">
      <alignment wrapText="1"/>
    </xf>
    <xf numFmtId="0" fontId="1" fillId="20" borderId="0" applyAlignment="1" pivotButton="0" quotePrefix="0" xfId="0">
      <alignment horizontal="center" wrapText="1"/>
    </xf>
    <xf numFmtId="0" fontId="1" fillId="20" borderId="0" applyAlignment="1" pivotButton="0" quotePrefix="0" xfId="0">
      <alignment horizontal="center" vertical="center" wrapText="1"/>
    </xf>
    <xf numFmtId="165" fontId="0" fillId="0" borderId="0" applyAlignment="1" pivotButton="0" quotePrefix="0" xfId="0">
      <alignment wrapText="1"/>
    </xf>
    <xf numFmtId="166" fontId="0" fillId="0" borderId="0" applyAlignment="1" pivotButton="0" quotePrefix="0" xfId="0">
      <alignment wrapText="1"/>
    </xf>
    <xf numFmtId="0" fontId="0" fillId="21" borderId="0" pivotButton="0" quotePrefix="0" xfId="0"/>
    <xf numFmtId="0" fontId="6" fillId="21" borderId="0" pivotButton="0" quotePrefix="0" xfId="0"/>
    <xf numFmtId="0" fontId="6" fillId="21" borderId="0" applyAlignment="1" pivotButton="0" quotePrefix="0" xfId="0">
      <alignment horizontal="center"/>
    </xf>
    <xf numFmtId="0" fontId="0" fillId="22" borderId="0" pivotButton="0" quotePrefix="0" xfId="0"/>
    <xf numFmtId="0" fontId="5" fillId="22" borderId="0" pivotButton="0" quotePrefix="0" xfId="0"/>
    <xf numFmtId="0" fontId="0" fillId="23" borderId="0" pivotButton="0" quotePrefix="0" xfId="0"/>
    <xf numFmtId="0" fontId="5" fillId="23" borderId="0" pivotButton="0" quotePrefix="0" xfId="0"/>
    <xf numFmtId="0" fontId="0" fillId="24" borderId="0" pivotButton="0" quotePrefix="0" xfId="0"/>
    <xf numFmtId="0" fontId="5" fillId="24" borderId="0" pivotButton="0" quotePrefix="0" xfId="0"/>
    <xf numFmtId="0" fontId="0" fillId="20"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wrapText="1"/>
    </xf>
    <xf numFmtId="0" fontId="1" fillId="25" borderId="0" applyAlignment="1" pivotButton="0" quotePrefix="0" xfId="0">
      <alignment horizontal="center" wrapText="1"/>
    </xf>
    <xf numFmtId="0" fontId="1" fillId="25" borderId="0" applyAlignment="1" pivotButton="0" quotePrefix="0" xfId="0">
      <alignment horizontal="center" vertical="center" wrapText="1"/>
    </xf>
    <xf numFmtId="0" fontId="0" fillId="26" borderId="0" pivotButton="0" quotePrefix="0" xfId="0"/>
    <xf numFmtId="0" fontId="1" fillId="26" borderId="0" pivotButton="0" quotePrefix="0" xfId="0"/>
    <xf numFmtId="0" fontId="1" fillId="26" borderId="0" applyAlignment="1" pivotButton="0" quotePrefix="0" xfId="0">
      <alignment horizontal="center"/>
    </xf>
    <xf numFmtId="0" fontId="1" fillId="26" borderId="0" applyAlignment="1" pivotButton="0" quotePrefix="0" xfId="0">
      <alignment horizontal="center" vertical="center"/>
    </xf>
    <xf numFmtId="0" fontId="1" fillId="26" borderId="0" applyAlignment="1" pivotButton="0" quotePrefix="0" xfId="0">
      <alignment horizontal="center" vertical="center" wrapText="1"/>
    </xf>
    <xf numFmtId="0" fontId="1" fillId="27" borderId="0" applyAlignment="1" pivotButton="0" quotePrefix="0" xfId="0">
      <alignment horizontal="center" vertical="center" wrapText="1"/>
    </xf>
    <xf numFmtId="0" fontId="6" fillId="27" borderId="0" applyAlignment="1" pivotButton="0" quotePrefix="0" xfId="0">
      <alignment horizontal="center" vertical="center" wrapText="1"/>
    </xf>
    <xf numFmtId="0" fontId="0" fillId="28" borderId="0" pivotButton="0" quotePrefix="0" xfId="0"/>
    <xf numFmtId="0" fontId="1" fillId="28" borderId="0" pivotButton="0" quotePrefix="0" xfId="0"/>
    <xf numFmtId="0" fontId="1" fillId="28" borderId="0" applyAlignment="1" pivotButton="0" quotePrefix="0" xfId="0">
      <alignment horizontal="center"/>
    </xf>
    <xf numFmtId="0" fontId="1" fillId="28" borderId="0" applyAlignment="1" pivotButton="0" quotePrefix="0" xfId="0">
      <alignment horizontal="center" wrapText="1"/>
    </xf>
    <xf numFmtId="0" fontId="0" fillId="0" borderId="0" applyAlignment="1" pivotButton="0" quotePrefix="0" xfId="0">
      <alignment vertical="top" wrapText="1"/>
    </xf>
    <xf numFmtId="0" fontId="1" fillId="28" borderId="0" applyAlignment="1" pivotButton="0" quotePrefix="0" xfId="0">
      <alignment horizontal="center" vertical="top" wrapText="1"/>
    </xf>
    <xf numFmtId="0" fontId="1" fillId="26" borderId="0" applyAlignment="1" pivotButton="0" quotePrefix="0" xfId="0">
      <alignment horizontal="center" vertical="top" wrapText="1"/>
    </xf>
    <xf numFmtId="0" fontId="0" fillId="29" borderId="0" pivotButton="0" quotePrefix="0" xfId="0"/>
    <xf numFmtId="0" fontId="1" fillId="29" borderId="0" pivotButton="0" quotePrefix="0" xfId="0"/>
    <xf numFmtId="0" fontId="1" fillId="29" borderId="0" applyAlignment="1" pivotButton="0" quotePrefix="0" xfId="0">
      <alignment horizontal="center"/>
    </xf>
    <xf numFmtId="0" fontId="0" fillId="30" borderId="0" pivotButton="0" quotePrefix="0" xfId="0"/>
    <xf numFmtId="0" fontId="1" fillId="30" borderId="0" pivotButton="0" quotePrefix="0" xfId="0"/>
    <xf numFmtId="0" fontId="1" fillId="2" borderId="0" applyAlignment="1" pivotButton="0" quotePrefix="0" xfId="0">
      <alignment horizontal="center" vertical="top" wrapText="1"/>
    </xf>
    <xf numFmtId="0" fontId="0" fillId="31" borderId="0" pivotButton="0" quotePrefix="0" xfId="0"/>
    <xf numFmtId="0" fontId="1" fillId="31" borderId="0" pivotButton="0" quotePrefix="0" xfId="0"/>
    <xf numFmtId="0" fontId="1" fillId="31" borderId="0" applyAlignment="1" pivotButton="0" quotePrefix="0" xfId="0">
      <alignment wrapText="1"/>
    </xf>
    <xf numFmtId="0" fontId="0" fillId="32" borderId="0" pivotButton="0" quotePrefix="0" xfId="0"/>
    <xf numFmtId="0" fontId="1" fillId="32" borderId="0" pivotButton="0" quotePrefix="0" xfId="0"/>
    <xf numFmtId="0" fontId="1" fillId="32" borderId="0" applyAlignment="1" pivotButton="0" quotePrefix="0" xfId="0">
      <alignment wrapText="1"/>
    </xf>
    <xf numFmtId="0" fontId="0" fillId="33" borderId="0" pivotButton="0" quotePrefix="0" xfId="0"/>
    <xf numFmtId="0" fontId="6" fillId="33" borderId="0" pivotButton="0" quotePrefix="0" xfId="0"/>
    <xf numFmtId="0" fontId="6" fillId="33" borderId="0" applyAlignment="1" pivotButton="0" quotePrefix="0" xfId="0">
      <alignment horizontal="left"/>
    </xf>
    <xf numFmtId="0" fontId="0" fillId="34" borderId="0" pivotButton="0" quotePrefix="0" xfId="0"/>
    <xf numFmtId="0" fontId="7" fillId="34" borderId="0" pivotButton="0" quotePrefix="0" xfId="0"/>
    <xf numFmtId="0" fontId="7" fillId="34" borderId="0" applyAlignment="1" pivotButton="0" quotePrefix="0" xfId="0">
      <alignment wrapText="1"/>
    </xf>
    <xf numFmtId="0" fontId="0" fillId="35" borderId="0" pivotButton="0" quotePrefix="0" xfId="0"/>
    <xf numFmtId="0" fontId="1" fillId="35" borderId="0" pivotButton="0" quotePrefix="0" xfId="0"/>
    <xf numFmtId="0" fontId="1" fillId="35" borderId="0" applyAlignment="1" pivotButton="0" quotePrefix="0" xfId="0">
      <alignment horizontal="center"/>
    </xf>
    <xf numFmtId="0" fontId="1" fillId="35" borderId="0" applyAlignment="1" pivotButton="0" quotePrefix="0" xfId="0">
      <alignment horizontal="center" vertical="center"/>
    </xf>
    <xf numFmtId="0" fontId="1" fillId="35" borderId="0" applyAlignment="1" pivotButton="0" quotePrefix="0" xfId="0">
      <alignment horizontal="center" vertical="center" wrapText="1"/>
    </xf>
    <xf numFmtId="0" fontId="0" fillId="36" borderId="0" pivotButton="0" quotePrefix="0" xfId="0"/>
    <xf numFmtId="0" fontId="8" fillId="36" borderId="0" pivotButton="0" quotePrefix="0" xfId="0"/>
    <xf numFmtId="0" fontId="8" fillId="36" borderId="0" applyAlignment="1" pivotButton="0" quotePrefix="0" xfId="0">
      <alignment wrapText="1"/>
    </xf>
    <xf numFmtId="0" fontId="1" fillId="35" borderId="0" applyAlignment="1" pivotButton="0" quotePrefix="0" xfId="0">
      <alignment horizontal="center" vertical="top" wrapText="1"/>
    </xf>
    <xf numFmtId="0" fontId="0" fillId="37" borderId="0" applyAlignment="1" pivotButton="0" quotePrefix="0" xfId="0">
      <alignment wrapText="1"/>
    </xf>
    <xf numFmtId="0" fontId="0" fillId="38" borderId="0" applyAlignment="1" pivotButton="0" quotePrefix="0" xfId="0">
      <alignment wrapText="1"/>
    </xf>
    <xf numFmtId="0" fontId="6" fillId="3" borderId="0" applyAlignment="1" pivotButton="0" quotePrefix="0" xfId="0">
      <alignment horizontal="left" wrapText="1"/>
    </xf>
    <xf numFmtId="0" fontId="7" fillId="4" borderId="0" applyAlignment="1" pivotButton="0" quotePrefix="0" xfId="0">
      <alignment wrapText="1"/>
    </xf>
    <xf numFmtId="1" fontId="3" fillId="7" borderId="5" applyAlignment="1" pivotButton="0" quotePrefix="0" xfId="0">
      <alignment horizontal="center"/>
    </xf>
    <xf numFmtId="1" fontId="2" fillId="5" borderId="10" applyAlignment="1" pivotButton="0" quotePrefix="0" xfId="0">
      <alignment horizontal="center"/>
    </xf>
    <xf numFmtId="1" fontId="0" fillId="0" borderId="5" pivotButton="0" quotePrefix="0" xfId="0"/>
    <xf numFmtId="1" fontId="0" fillId="0" borderId="8" pivotButton="0" quotePrefix="0" xfId="0"/>
    <xf numFmtId="0" fontId="1" fillId="3" borderId="11" applyAlignment="1" pivotButton="0" quotePrefix="0" xfId="0">
      <alignment horizontal="left" vertical="center"/>
    </xf>
    <xf numFmtId="165" fontId="1" fillId="13" borderId="0" applyAlignment="1" pivotButton="0" quotePrefix="0" xfId="0">
      <alignment horizontal="center" wrapText="1"/>
    </xf>
    <xf numFmtId="1" fontId="0" fillId="0" borderId="0" pivotButton="0" quotePrefix="0" xfId="0"/>
    <xf numFmtId="9" fontId="0" fillId="0" borderId="0" pivotButton="0" quotePrefix="0" xfId="0"/>
    <xf numFmtId="165" fontId="0" fillId="0" borderId="0" applyAlignment="1" pivotButton="0" quotePrefix="0" xfId="0">
      <alignment wrapText="1"/>
    </xf>
    <xf numFmtId="1" fontId="0" fillId="0" borderId="7" pivotButton="0" quotePrefix="0" xfId="0"/>
    <xf numFmtId="9" fontId="0" fillId="0" borderId="7" pivotButton="0" quotePrefix="0" xfId="0"/>
    <xf numFmtId="9" fontId="5" fillId="17" borderId="0" pivotButton="0" quotePrefix="0" xfId="0"/>
    <xf numFmtId="166" fontId="0" fillId="0" borderId="0" applyAlignment="1" pivotButton="0" quotePrefix="0" xfId="0">
      <alignment wrapText="1"/>
    </xf>
    <xf numFmtId="0" fontId="0" fillId="0" borderId="0" applyAlignment="1" pivotButton="0" quotePrefix="0" xfId="0">
      <alignment wrapText="1"/>
    </xf>
    <xf numFmtId="0" fontId="0" fillId="39" borderId="0" pivotButton="0" quotePrefix="0" xfId="0"/>
    <xf numFmtId="0" fontId="1" fillId="39" borderId="0" pivotButton="0" quotePrefix="0" xfId="0"/>
    <xf numFmtId="0" fontId="1" fillId="39" borderId="0" applyAlignment="1" pivotButton="0" quotePrefix="0" xfId="0">
      <alignment horizontal="center"/>
    </xf>
    <xf numFmtId="0" fontId="1" fillId="39" borderId="0" applyAlignment="1" pivotButton="0" quotePrefix="0" xfId="0">
      <alignment horizontal="center" wrapText="1"/>
    </xf>
  </cellXfs>
  <cellStyles count="1">
    <cellStyle name="Normal" xfId="0"/>
  </cellStyles>
  <dxfs count="33">
    <dxf>
      <fill>
        <patternFill>
          <bgColor rgb="00DCFCE7"/>
        </patternFill>
      </fill>
    </dxf>
    <dxf>
      <fill>
        <patternFill>
          <bgColor rgb="00FEF3C7"/>
        </patternFill>
      </fill>
    </dxf>
    <dxf>
      <fill>
        <patternFill>
          <bgColor rgb="00FEE2E2"/>
        </patternFill>
      </fill>
    </dxf>
    <dxf>
      <fill>
        <patternFill>
          <bgColor rgb="00DCFCE7"/>
        </patternFill>
      </fill>
    </dxf>
    <dxf>
      <fill>
        <patternFill>
          <bgColor rgb="00FEF3C7"/>
        </patternFill>
      </fill>
    </dxf>
    <dxf>
      <fill>
        <patternFill>
          <bgColor rgb="00FEE2E2"/>
        </patternFill>
      </fill>
    </dxf>
    <dxf>
      <fill>
        <patternFill>
          <bgColor rgb="00FEF3C7"/>
        </patternFill>
      </fill>
    </dxf>
    <dxf>
      <fill>
        <patternFill>
          <bgColor rgb="00DCFCE7"/>
        </patternFill>
      </fill>
    </dxf>
    <dxf>
      <fill>
        <patternFill>
          <bgColor rgb="00FEE2E2"/>
        </patternFill>
      </fill>
    </dxf>
    <dxf>
      <fill>
        <patternFill>
          <bgColor rgb="00FEF3C7"/>
        </patternFill>
      </fill>
    </dxf>
    <dxf>
      <fill>
        <patternFill>
          <bgColor rgb="00DCFCE7"/>
        </patternFill>
      </fill>
    </dxf>
    <dxf>
      <font>
        <b val="1"/>
        <color rgb="00274E13"/>
      </font>
      <fill>
        <patternFill>
          <bgColor rgb="00D9EAD3"/>
        </patternFill>
      </fill>
    </dxf>
    <dxf>
      <font>
        <b val="1"/>
        <color rgb="00990000"/>
      </font>
      <fill>
        <patternFill>
          <bgColor rgb="00F4CCCC"/>
        </patternFill>
      </fill>
    </dxf>
    <dxf>
      <fill>
        <patternFill>
          <bgColor rgb="00FFF2CC"/>
        </patternFill>
      </fill>
    </dxf>
    <dxf>
      <fill>
        <patternFill>
          <bgColor rgb="00DCFCE7"/>
        </patternFill>
      </fill>
    </dxf>
    <dxf>
      <fill>
        <patternFill>
          <bgColor rgb="00FECACA"/>
        </patternFill>
      </fill>
    </dxf>
    <dxf>
      <fill>
        <patternFill>
          <bgColor rgb="00FEF3C7"/>
        </patternFill>
      </fill>
    </dxf>
    <dxf>
      <fill>
        <patternFill>
          <bgColor rgb="00E5E7EB"/>
        </patternFill>
      </fill>
    </dxf>
    <dxf>
      <font>
        <b val="1"/>
        <color rgb="00166534"/>
      </font>
      <fill>
        <patternFill>
          <bgColor rgb="00DCFCE7"/>
        </patternFill>
      </fill>
    </dxf>
    <dxf>
      <font>
        <b val="1"/>
        <color rgb="0092400E"/>
      </font>
      <fill>
        <patternFill>
          <bgColor rgb="00FEF3C7"/>
        </patternFill>
      </fill>
    </dxf>
    <dxf>
      <font>
        <b val="1"/>
        <color rgb="00991B1B"/>
      </font>
      <fill>
        <patternFill>
          <bgColor rgb="00FEE2E2"/>
        </patternFill>
      </fill>
    </dxf>
    <dxf>
      <font>
        <b val="1"/>
        <color rgb="00166534"/>
      </font>
      <fill>
        <patternFill>
          <bgColor rgb="00DCFCE7"/>
        </patternFill>
      </fill>
    </dxf>
    <dxf>
      <font>
        <b val="1"/>
        <color rgb="0092400E"/>
      </font>
      <fill>
        <patternFill>
          <bgColor rgb="00FEF3C7"/>
        </patternFill>
      </fill>
    </dxf>
    <dxf>
      <font>
        <b val="1"/>
        <color rgb="00991B1B"/>
      </font>
      <fill>
        <patternFill>
          <bgColor rgb="00FEE2E2"/>
        </patternFill>
      </fill>
    </dxf>
    <dxf>
      <fill>
        <patternFill>
          <bgColor rgb="00FECACA"/>
        </patternFill>
      </fill>
    </dxf>
    <dxf>
      <fill>
        <patternFill>
          <bgColor rgb="00DCFCE7"/>
        </patternFill>
      </fill>
    </dxf>
    <dxf>
      <fill>
        <patternFill>
          <bgColor rgb="00FECACA"/>
        </patternFill>
      </fill>
    </dxf>
    <dxf>
      <fill>
        <patternFill>
          <bgColor rgb="00DCFCE7"/>
        </patternFill>
      </fill>
    </dxf>
    <dxf>
      <fill>
        <patternFill>
          <bgColor rgb="00FECACA"/>
        </patternFill>
      </fill>
    </dxf>
    <dxf>
      <fill>
        <patternFill>
          <bgColor rgb="00DBEAFE"/>
        </patternFill>
      </fill>
    </dxf>
    <dxf>
      <fill>
        <patternFill>
          <bgColor rgb="00FEF3C7"/>
        </patternFill>
      </fill>
    </dxf>
    <dxf>
      <fill>
        <patternFill>
          <bgColor rgb="00DCFCE7"/>
        </patternFill>
      </fill>
    </dxf>
    <dxf>
      <fill>
        <patternFill>
          <bgColor rgb="00E5E7E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Score Distribution</a:t>
            </a:r>
          </a:p>
        </rich>
      </tx>
      <overlay val="0"/>
    </title>
    <plotArea>
      <layout/>
      <barChart>
        <barDir val="col"/>
        <grouping val="clustered"/>
        <varyColors val="0"/>
        <ser>
          <idx val="0"/>
          <order val="0"/>
          <tx>
            <v>Count</v>
          </tx>
          <spPr>
            <a:ln xmlns:a="http://schemas.openxmlformats.org/drawingml/2006/main">
              <a:prstDash val="solid"/>
            </a:ln>
          </spPr>
          <cat>
            <strRef>
              <f>'Dashboard'!$D$4:$D$7</f>
              <strCache>
                <ptCount val="0"/>
              </strCache>
            </strRef>
          </cat>
          <val>
            <numRef>
              <f>'Dashboard'!$E$4:$E$7</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Priority Queue</a:t>
            </a:r>
          </a:p>
        </rich>
      </tx>
      <overlay val="0"/>
    </title>
    <plotArea>
      <layout/>
      <barChart>
        <barDir val="col"/>
        <grouping val="clustered"/>
        <varyColors val="0"/>
        <ser>
          <idx val="0"/>
          <order val="0"/>
          <tx>
            <v>Count</v>
          </tx>
          <spPr>
            <a:ln xmlns:a="http://schemas.openxmlformats.org/drawingml/2006/main">
              <a:prstDash val="solid"/>
            </a:ln>
          </spPr>
          <cat>
            <strRef>
              <f>'Dashboard'!$G$11:$G$13</f>
              <strCache>
                <ptCount val="0"/>
              </strCache>
            </strRef>
          </cat>
          <val>
            <numRef>
              <f>'Dashboard'!$H$11:$H$13</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Review Priority Counts</a:t>
            </a:r>
          </a:p>
        </rich>
      </tx>
      <overlay val="0"/>
    </title>
    <plotArea>
      <layout/>
      <barChart>
        <barDir val="col"/>
        <grouping val="clustered"/>
        <varyColors val="0"/>
        <ser>
          <idx val="0"/>
          <order val="0"/>
          <tx>
            <v>count</v>
          </tx>
          <spPr>
            <a:ln xmlns:a="http://schemas.openxmlformats.org/drawingml/2006/main">
              <a:prstDash val="solid"/>
            </a:ln>
          </spPr>
          <cat>
            <strRef>
              <f>'Editorial Pipeline'!$P$2:$P$5</f>
              <strCache>
                <ptCount val="0"/>
              </strCache>
            </strRef>
          </cat>
          <val>
            <numRef>
              <f>'Editorial Pipeline'!$Q$2:$Q$5</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Workflow Status Mix</a:t>
            </a:r>
          </a:p>
        </rich>
      </tx>
      <overlay val="0"/>
    </title>
    <plotArea>
      <layout/>
      <barChart>
        <barDir val="col"/>
        <grouping val="clustered"/>
        <varyColors val="0"/>
        <ser>
          <idx val="0"/>
          <order val="0"/>
          <tx>
            <v>Series 1</v>
          </tx>
          <spPr>
            <a:ln xmlns:a="http://schemas.openxmlformats.org/drawingml/2006/main">
              <a:prstDash val="solid"/>
            </a:ln>
          </spPr>
          <cat>
            <strRef>
              <f>'Production Dashboard'!$E$2:$E$5</f>
              <strCache>
                <ptCount val="0"/>
              </strCache>
            </strRef>
          </cat>
          <val>
            <numRef>
              <f>'Production Dashboard'!$F$2:$F$5</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from>
      <col>9</col>
      <colOff>0</colOff>
      <row>2</row>
      <rowOff>0</rowOff>
    </from>
    <to>
      <col>16</col>
      <colOff>0</colOff>
      <row>14</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14</row>
      <rowOff>0</rowOff>
    </from>
    <to>
      <col>16</col>
      <colOff>0</colOff>
      <row>26</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14</col>
      <colOff>0</colOff>
      <row>6</row>
      <rowOff>0</rowOff>
    </from>
    <to>
      <col>22</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7</col>
      <colOff>0</colOff>
      <row>1</row>
      <rowOff>0</rowOff>
    </from>
    <to>
      <col>14</col>
      <colOff>0</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nographTable" displayName="MonographTable" ref="A1:AO18" headerRowCount="1">
  <tableColumns count="41">
    <tableColumn id="1" name="name"/>
    <tableColumn id="2" name="slug"/>
    <tableColumn id="3" name="scientificName"/>
    <tableColumn id="4" name="monographType"/>
    <tableColumn id="5" name="category"/>
    <tableColumn id="6" name="plantPartUsed"/>
    <tableColumn id="7" name="commonNames"/>
    <tableColumn id="8" name="region"/>
    <tableColumn id="9" name="summary"/>
    <tableColumn id="10" name="description"/>
    <tableColumn id="11" name="activeCompounds"/>
    <tableColumn id="12" name="markerCompounds"/>
    <tableColumn id="13" name="mechanism"/>
    <tableColumn id="14" name="mechanismTags"/>
    <tableColumn id="15" name="evidenceLevel"/>
    <tableColumn id="16" name="safetyNotes"/>
    <tableColumn id="17" name="interactions"/>
    <tableColumn id="18" name="contraindications"/>
    <tableColumn id="19" name="preparation"/>
    <tableColumn id="20" name="dosage"/>
    <tableColumn id="21" name="standardization"/>
    <tableColumn id="22" name="qualityConcerns"/>
    <tableColumn id="23" name="confidence"/>
    <tableColumn id="24" name="status"/>
    <tableColumn id="25" name="sources"/>
    <tableColumn id="26" name="citationStatus"/>
    <tableColumn id="27" name="sourceAuthority"/>
    <tableColumn id="28" name="summaryCitations"/>
    <tableColumn id="29" name="mechanismCitations"/>
    <tableColumn id="30" name="safetyCitations"/>
    <tableColumn id="31" name="interactionCitations"/>
    <tableColumn id="32" name="notesForCodex"/>
    <tableColumn id="33" name="score_confidence"/>
    <tableColumn id="34" name="score_evidence"/>
    <tableColumn id="35" name="score_citation"/>
    <tableColumn id="36" name="totalScore"/>
    <tableColumn id="37" name="reviewPriority"/>
    <tableColumn id="38" name="dosageStatus"/>
    <tableColumn id="39" name="sourceTier"/>
    <tableColumn id="40" name="completenessPct"/>
    <tableColumn id="41" name="readinessFlag"/>
  </tableColumns>
  <tableStyleInfo name="TableStyleMedium2" showRowStripes="1"/>
</table>
</file>

<file path=xl/tables/table2.xml><?xml version="1.0" encoding="utf-8"?>
<table xmlns="http://schemas.openxmlformats.org/spreadsheetml/2006/main" id="2" name="SummaryTable" displayName="SummaryTable" ref="A1:J18" headerRowCount="1">
  <tableColumns count="10">
    <tableColumn id="1" name="slug"/>
    <tableColumn id="2" name="scientificName"/>
    <tableColumn id="3" name="mechanismTags"/>
    <tableColumn id="4" name="evidenceLevel"/>
    <tableColumn id="5" name="confidence"/>
    <tableColumn id="6" name="citationStatus"/>
    <tableColumn id="7" name="reviewPriority"/>
    <tableColumn id="8" name="totalScore"/>
    <tableColumn id="9" name="completenessPct"/>
    <tableColumn id="10" name="readinessFlag"/>
  </tableColumns>
  <tableStyleInfo name="TableStyleMedium2" showRowStripes="1"/>
</table>
</file>

<file path=xl/tables/table3.xml><?xml version="1.0" encoding="utf-8"?>
<table xmlns="http://schemas.openxmlformats.org/spreadsheetml/2006/main" id="3" name="RankingTable" displayName="RankingTable" ref="A1:G18" headerRowCount="1">
  <tableColumns count="7">
    <tableColumn id="1" name="slug"/>
    <tableColumn id="2" name="scientificName"/>
    <tableColumn id="3" name="mechanismTags"/>
    <tableColumn id="4" name="confidence"/>
    <tableColumn id="5" name="citationStatus"/>
    <tableColumn id="6" name="totalScore"/>
    <tableColumn id="7" name="reviewPriority"/>
  </tableColumns>
  <tableStyleInfo name="TableStyleMedium2" showRowStripes="1"/>
</table>
</file>

<file path=xl/tables/table4.xml><?xml version="1.0" encoding="utf-8"?>
<table xmlns="http://schemas.openxmlformats.org/spreadsheetml/2006/main" id="4" name="ActionQueueTable" displayName="ActionQueueTable" ref="A1:J18" headerRowCount="1">
  <tableColumns count="10">
    <tableColumn id="1" name="reviewPriority"/>
    <tableColumn id="2" name="slug"/>
    <tableColumn id="3" name="scientificName"/>
    <tableColumn id="4" name="citationStatus"/>
    <tableColumn id="5" name="dosageStatus"/>
    <tableColumn id="6" name="sourceTier"/>
    <tableColumn id="7" name="qualityConcerns"/>
    <tableColumn id="8" name="notesForCodex"/>
    <tableColumn id="9" name="totalScore"/>
    <tableColumn id="10" name="completenessPct"/>
  </tableColumns>
  <tableStyleInfo name="TableStyleMedium2" showRowStripes="1"/>
</table>
</file>

<file path=xl/tables/table5.xml><?xml version="1.0" encoding="utf-8"?>
<table xmlns="http://schemas.openxmlformats.org/spreadsheetml/2006/main" id="5" name="LegendTable" displayName="LegendTable" ref="A1:D6" headerRowCount="1">
  <tableColumns count="4">
    <tableColumn id="1" name="Field"/>
    <tableColumn id="2" name="Meaning"/>
    <tableColumn id="3" name="Suggested use"/>
    <tableColumn id="4" name="Notes"/>
  </tableColumns>
  <tableStyleInfo name="TableStyleMedium2" showRowStripes="1"/>
</table>
</file>

<file path=xl/tables/table6.xml><?xml version="1.0" encoding="utf-8"?>
<table xmlns="http://schemas.openxmlformats.org/spreadsheetml/2006/main" id="6" name="MechanismMatrixTable" displayName="MechanismMatrixTable" ref="A1:R19" headerRowCount="1">
  <tableColumns count="18">
    <tableColumn id="1" name="slug"/>
    <tableColumn id="2" name="scientificName"/>
    <tableColumn id="3" name="confidence"/>
    <tableColumn id="4" name="evidenceLevel"/>
    <tableColumn id="5" name="adaptogen"/>
    <tableColumn id="6" name="anti-inflammatory"/>
    <tableColumn id="7" name="antioxidant"/>
    <tableColumn id="8" name="gabaergic"/>
    <tableColumn id="9" name="serotonergic"/>
    <tableColumn id="10" name="hormonal"/>
    <tableColumn id="11" name="immunomodulatory"/>
    <tableColumn id="12" name="dopaminergic"/>
    <tableColumn id="13" name="cholinergic"/>
    <tableColumn id="14" name="hepatoprotective"/>
    <tableColumn id="15" name="spasmolytic"/>
    <tableColumn id="16" name="antimicrobial"/>
    <tableColumn id="17" name="anti-androgenic"/>
    <tableColumn id="18" name="Column18"/>
  </tableColumns>
  <tableStyleInfo name="TableStyleMedium2" showRowStripes="1"/>
</table>
</file>

<file path=xl/tables/table7.xml><?xml version="1.0" encoding="utf-8"?>
<table xmlns="http://schemas.openxmlformats.org/spreadsheetml/2006/main" id="7" name="EditorialPipelineTable" displayName="EditorialPipelineTable" ref="A1:N19" headerRowCount="1">
  <tableColumns count="14">
    <tableColumn id="1" name="slug"/>
    <tableColumn id="2" name="scientificName"/>
    <tableColumn id="3" name="reviewPriority"/>
    <tableColumn id="4" name="readinessFlag"/>
    <tableColumn id="5" name="citationStatus"/>
    <tableColumn id="6" name="confidence"/>
    <tableColumn id="7" name="dosageStatus"/>
    <tableColumn id="8" name="completenessPct"/>
    <tableColumn id="9" name="summaryMissing"/>
    <tableColumn id="10" name="descriptionMissing"/>
    <tableColumn id="11" name="standardizationMissing"/>
    <tableColumn id="12" name="sourceNormalizationNeeded"/>
    <tableColumn id="13" name="recommendedNextAction"/>
    <tableColumn id="14" name="Column14"/>
  </tableColumns>
  <tableStyleInfo name="TableStyleMedium2" showRowStripes="1"/>
</table>
</file>

<file path=xl/tables/table8.xml><?xml version="1.0" encoding="utf-8"?>
<table xmlns="http://schemas.openxmlformats.org/spreadsheetml/2006/main" id="8" name="CitationCleanupTable" displayName="CitationCleanupTable" ref="A1:I8" headerRowCount="1">
  <tableColumns count="9">
    <tableColumn id="1" name="slug"/>
    <tableColumn id="2" name="scientificName"/>
    <tableColumn id="3" name="citationStatus"/>
    <tableColumn id="4" name="sourceAuthority"/>
    <tableColumn id="5" name="sources"/>
    <tableColumn id="6" name="cleanupAction"/>
    <tableColumn id="7" name="owner"/>
    <tableColumn id="8" name="status"/>
    <tableColumn id="9" name="Column9"/>
  </tableColumns>
  <tableStyleInfo name="TableStyleMedium2" showRowStripes="1"/>
</table>
</file>

<file path=xl/tables/table9.xml><?xml version="1.0" encoding="utf-8"?>
<table xmlns="http://schemas.openxmlformats.org/spreadsheetml/2006/main" id="9" name="PublishingWorkflowTable" displayName="PublishingWorkflowTable" ref="A1:N18" headerRowCount="1">
  <tableColumns count="14">
    <tableColumn id="1" name="slug"/>
    <tableColumn id="2" name="scientificName"/>
    <tableColumn id="3" name="reviewPriority"/>
    <tableColumn id="4" name="totalScore"/>
    <tableColumn id="5" name="citationStatus"/>
    <tableColumn id="6" name="readinessFlag"/>
    <tableColumn id="7" name="editorialOwner"/>
    <tableColumn id="8" name="reviewDate"/>
    <tableColumn id="9" name="publishStatus"/>
    <tableColumn id="10" name="qaStatus"/>
    <tableColumn id="11" name="sourceLockFlag"/>
    <tableColumn id="12" name="frontendReadyFlag"/>
    <tableColumn id="13" name="webCopyReadyFlag"/>
    <tableColumn id="14" name="publishBlocker"/>
  </tableColumns>
  <tableStyleInfo name="TableStyleMedium2" showRowStripes="1"/>
</table>
</file>

<file path=xl/tables/table10.xml><?xml version="1.0" encoding="utf-8"?>
<table xmlns="http://schemas.openxmlformats.org/spreadsheetml/2006/main" id="10" name="FrontendReadyTable" displayName="FrontendReadyTable" ref="A1:G7" headerRowCount="1">
  <tableColumns count="7">
    <tableColumn id="1" name="slug"/>
    <tableColumn id="2" name="scientificName"/>
    <tableColumn id="3" name="publishStatus"/>
    <tableColumn id="4" name="qaStatus"/>
    <tableColumn id="5" name="frontendReadyFlag"/>
    <tableColumn id="6" name="webCopyReadyFlag"/>
    <tableColumn id="7" name="publishBlocker"/>
  </tableColumns>
  <tableStyleInfo name="TableStyleMedium2" showRowStripes="1"/>
</table>
</file>

<file path=xl/tables/table11.xml><?xml version="1.0" encoding="utf-8"?>
<table xmlns="http://schemas.openxmlformats.org/spreadsheetml/2006/main" id="11" name="RowReviewBoardTable" displayName="RowReviewBoardTable" ref="A1:O18" headerRowCount="1">
  <tableColumns count="15">
    <tableColumn id="1" name="slug"/>
    <tableColumn id="2" name="scientificName"/>
    <tableColumn id="3" name="editorialOwner"/>
    <tableColumn id="4" name="reviewPriority"/>
    <tableColumn id="5" name="readinessFlag"/>
    <tableColumn id="6" name="publishStatus"/>
    <tableColumn id="7" name="qaStatus"/>
    <tableColumn id="8" name="reviewStage"/>
    <tableColumn id="9" name="reviewStatus"/>
    <tableColumn id="10" name="reviewerName"/>
    <tableColumn id="11" name="approvalTimestamp"/>
    <tableColumn id="12" name="publishBlocker"/>
    <tableColumn id="13" name="reviewerNotes"/>
    <tableColumn id="14" name="changeSummary"/>
    <tableColumn id="15" name="rowReviewKey"/>
  </tableColumns>
  <tableStyleInfo name="TableStyleMedium2" showRowStripes="1"/>
</table>
</file>

<file path=xl/tables/table12.xml><?xml version="1.0" encoding="utf-8"?>
<table xmlns="http://schemas.openxmlformats.org/spreadsheetml/2006/main" id="12" name="ChangeHistoryTable" displayName="ChangeHistoryTable" ref="A1:J201" headerRowCount="1">
  <tableColumns count="10">
    <tableColumn id="1" name="logId"/>
    <tableColumn id="2" name="timestamp"/>
    <tableColumn id="3" name="slug"/>
    <tableColumn id="4" name="fieldChanged"/>
    <tableColumn id="5" name="oldValue"/>
    <tableColumn id="6" name="newValue"/>
    <tableColumn id="7" name="changedBy"/>
    <tableColumn id="8" name="reviewedBy"/>
    <tableColumn id="9" name="approvalTimestamp"/>
    <tableColumn id="10" name="changeNote"/>
  </tableColumns>
  <tableStyleInfo name="TableStyleMedium2" showRowStripes="1"/>
</table>
</file>

<file path=xl/tables/table13.xml><?xml version="1.0" encoding="utf-8"?>
<table xmlns="http://schemas.openxmlformats.org/spreadsheetml/2006/main" id="13" name="ApprovalHistoryTable" displayName="ApprovalHistoryTable" ref="A1:J18" headerRowCount="1">
  <tableColumns count="10">
    <tableColumn id="1" name="rowReviewKey"/>
    <tableColumn id="2" name="slug"/>
    <tableColumn id="3" name="reviewStatus"/>
    <tableColumn id="4" name="approvalTimestamp"/>
    <tableColumn id="5" name="reviewerName"/>
    <tableColumn id="6" name="sourceLockFlag"/>
    <tableColumn id="7" name="frontendReadyFlag"/>
    <tableColumn id="8" name="webCopyReadyFlag"/>
    <tableColumn id="9" name="publishStatus"/>
    <tableColumn id="10" name="qaStatus"/>
  </tableColumns>
  <tableStyleInfo name="TableStyleMedium2" showRowStripes="1"/>
</table>
</file>

<file path=xl/tables/table14.xml><?xml version="1.0" encoding="utf-8"?>
<table xmlns="http://schemas.openxmlformats.org/spreadsheetml/2006/main" id="14" name="CompoundLayerDashboard" displayName="CompoundLayerDashboard" ref="A1:C9" headerRowCount="1">
  <tableColumns count="3">
    <tableColumn id="1" name="Compound Layer V2 Dashboard"/>
    <tableColumn id="2" name="Value"/>
    <tableColumn id="3" name="Notes"/>
  </tableColumns>
  <tableStyleInfo name="TableStyleMedium2" showRowStripes="1"/>
</table>
</file>

<file path=xl/tables/table15.xml><?xml version="1.0" encoding="utf-8"?>
<table xmlns="http://schemas.openxmlformats.org/spreadsheetml/2006/main" id="15" name="CompoundMasterV2" displayName="CompoundMasterV2" ref="A1:T479" headerRowCount="1">
  <tableColumns count="20">
    <tableColumn id="1" name="canonicalCompoundId"/>
    <tableColumn id="2" name="compoundName"/>
    <tableColumn id="3" name="aliases"/>
    <tableColumn id="4" name="compoundClass"/>
    <tableColumn id="5" name="mechanism"/>
    <tableColumn id="6" name="mechanismTags"/>
    <tableColumn id="7" name="pathwayTargets"/>
    <tableColumn id="8" name="pharmacokinetics"/>
    <tableColumn id="9" name="safetyNotes"/>
    <tableColumn id="10" name="drugInteractions"/>
    <tableColumn id="11" name="confidence"/>
    <tableColumn id="12" name="evidence"/>
    <tableColumn id="13" name="sourceUrls"/>
    <tableColumn id="14" name="sourceQuality"/>
    <tableColumn id="15" name="sourceBasis"/>
    <tableColumn id="16" name="sourceWorkbook"/>
    <tableColumn id="17" name="relatedHerbSlugs"/>
    <tableColumn id="18" name="herbCount"/>
    <tableColumn id="19" name="reverseLookupReady"/>
    <tableColumn id="20" name="integrationNotes"/>
  </tableColumns>
  <tableStyleInfo name="TableStyleMedium2" showRowStripes="1"/>
</table>
</file>

<file path=xl/tables/table16.xml><?xml version="1.0" encoding="utf-8"?>
<table xmlns="http://schemas.openxmlformats.org/spreadsheetml/2006/main" id="16" name="HerbCompoundMapV2" displayName="HerbCompoundMapV2" ref="A1:K81" headerRowCount="1">
  <tableColumns count="11">
    <tableColumn id="1" name="herbSlug"/>
    <tableColumn id="2" name="herbName"/>
    <tableColumn id="3" name="rawCompound"/>
    <tableColumn id="4" name="canonicalCompoundId"/>
    <tableColumn id="5" name="canonicalCompoundName"/>
    <tableColumn id="6" name="source"/>
    <tableColumn id="7" name="matchType"/>
    <tableColumn id="8" name="mappingConfidence"/>
    <tableColumn id="9" name="compoundPresentInMaster"/>
    <tableColumn id="10" name="pathwayTargets"/>
    <tableColumn id="11" name="mechanismTags"/>
  </tableColumns>
  <tableStyleInfo name="TableStyleMedium2" showRowStripes="1"/>
</table>
</file>

<file path=xl/tables/table17.xml><?xml version="1.0" encoding="utf-8"?>
<table xmlns="http://schemas.openxmlformats.org/spreadsheetml/2006/main" id="17" name="CompoundReverseLookup" displayName="CompoundReverseLookup" ref="A1:I444" headerRowCount="1">
  <tableColumns count="9">
    <tableColumn id="1" name="canonicalCompoundId"/>
    <tableColumn id="2" name="compoundName"/>
    <tableColumn id="3" name="herbSlugs"/>
    <tableColumn id="4" name="herbNames"/>
    <tableColumn id="5" name="herbCount"/>
    <tableColumn id="6" name="pathwayTargets"/>
    <tableColumn id="7" name="mechanismTags"/>
    <tableColumn id="8" name="sourceQuality"/>
    <tableColumn id="9" name="integrationNotes"/>
  </tableColumns>
  <tableStyleInfo name="TableStyleMedium2" showRowStripes="1"/>
</table>
</file>

<file path=xl/tables/table18.xml><?xml version="1.0" encoding="utf-8"?>
<table xmlns="http://schemas.openxmlformats.org/spreadsheetml/2006/main" id="18" name="PathwayIndexV2" displayName="PathwayIndexV2" ref="A1:H656" headerRowCount="1">
  <tableColumns count="8">
    <tableColumn id="1" name="pathwayTarget"/>
    <tableColumn id="2" name="canonicalCompoundId"/>
    <tableColumn id="3" name="compoundName"/>
    <tableColumn id="4" name="herbSlugs"/>
    <tableColumn id="5" name="herbNames"/>
    <tableColumn id="6" name="herbCount"/>
    <tableColumn id="7" name="mechanismTags"/>
    <tableColumn id="8" name="sourceQuality"/>
  </tableColumns>
  <tableStyleInfo name="TableStyleMedium2" showRowStripes="1"/>
</table>
</file>

<file path=xl/tables/table19.xml><?xml version="1.0" encoding="utf-8"?>
<table xmlns="http://schemas.openxmlformats.org/spreadsheetml/2006/main" id="19" name="HerbEnrichmentQueueV2" displayName="HerbEnrichmentQueueV2" ref="A1:L18" headerRowCount="1">
  <tableColumns count="12">
    <tableColumn id="1" name="herbSlug"/>
    <tableColumn id="2" name="herbName"/>
    <tableColumn id="3" name="activeCompoundCount"/>
    <tableColumn id="4" name="exactMappedCount"/>
    <tableColumn id="5" name="datasetLinkedCount"/>
    <tableColumn id="6" name="mappedTotalUnique"/>
    <tableColumn id="7" name="exactCoveragePct"/>
    <tableColumn id="8" name="citationStatus"/>
    <tableColumn id="9" name="readinessFlag"/>
    <tableColumn id="10" name="nextUpgradeAction"/>
    <tableColumn id="11" name="unmappedCompounds"/>
    <tableColumn id="12" name="mappedCompounds"/>
  </tableColumns>
  <tableStyleInfo name="TableStyleMedium2" showRowStripes="1"/>
</table>
</file>

<file path=xl/tables/table20.xml><?xml version="1.0" encoding="utf-8"?>
<table xmlns="http://schemas.openxmlformats.org/spreadsheetml/2006/main" id="20" name="CompoundLayerGuide" displayName="CompoundLayerGuide" ref="A1:C7" headerRowCount="1">
  <tableColumns count="3">
    <tableColumn id="1" name="Sheet"/>
    <tableColumn id="2" name="Purpose"/>
    <tableColumn id="3" name="How to use"/>
  </tableColumns>
  <tableStyleInfo name="TableStyleMedium2" showRowStripes="1"/>
</table>
</file>

<file path=xl/tables/table21.xml><?xml version="1.0" encoding="utf-8"?>
<table xmlns="http://schemas.openxmlformats.org/spreadsheetml/2006/main" id="21" name="CompoundDashV3" displayName="CompoundDashV3" ref="A1:C11" headerRowCount="1">
  <tableColumns count="3">
    <tableColumn id="1" name="Compound Layer V3 Normalization Pass"/>
    <tableColumn id="2" name="Column2"/>
    <tableColumn id="3" name="Column3"/>
  </tableColumns>
  <tableStyleInfo name="TableStyleMedium2" showRowStripes="1"/>
</table>
</file>

<file path=xl/tables/table22.xml><?xml version="1.0" encoding="utf-8"?>
<table xmlns="http://schemas.openxmlformats.org/spreadsheetml/2006/main" id="22" name="CompoundMasterV3" displayName="CompoundMasterV3" ref="A1:T522" headerRowCount="1">
  <tableColumns count="20">
    <tableColumn id="1" name="canonicalCompoundId"/>
    <tableColumn id="2" name="compoundName"/>
    <tableColumn id="3" name="aliases"/>
    <tableColumn id="4" name="compoundClass"/>
    <tableColumn id="5" name="mechanism"/>
    <tableColumn id="6" name="mechanismTags"/>
    <tableColumn id="7" name="pathwayTargets"/>
    <tableColumn id="8" name="pharmacokinetics"/>
    <tableColumn id="9" name="safetyNotes"/>
    <tableColumn id="10" name="drugInteractions"/>
    <tableColumn id="11" name="confidence"/>
    <tableColumn id="12" name="evidence"/>
    <tableColumn id="13" name="sourceUrls"/>
    <tableColumn id="14" name="sourceQuality"/>
    <tableColumn id="15" name="sourceBasis"/>
    <tableColumn id="16" name="sourceWorkbook"/>
    <tableColumn id="17" name="relatedHerbSlugs"/>
    <tableColumn id="18" name="herbCount"/>
    <tableColumn id="19" name="reverseLookupReady"/>
    <tableColumn id="20" name="integrationNotes"/>
  </tableColumns>
  <tableStyleInfo name="TableStyleMedium2" showRowStripes="1"/>
</table>
</file>

<file path=xl/tables/table23.xml><?xml version="1.0" encoding="utf-8"?>
<table xmlns="http://schemas.openxmlformats.org/spreadsheetml/2006/main" id="23" name="HerbCompoundMapV3" displayName="HerbCompoundMapV3" ref="A1:Q90" headerRowCount="1">
  <tableColumns count="17">
    <tableColumn id="1" name="herbSlug"/>
    <tableColumn id="2" name="herbName"/>
    <tableColumn id="3" name="rawCompound"/>
    <tableColumn id="4" name="normalizedAtom"/>
    <tableColumn id="5" name="parentClass"/>
    <tableColumn id="6" name="aliasUsed"/>
    <tableColumn id="7" name="canonicalCompoundId"/>
    <tableColumn id="8" name="canonicalCompoundName"/>
    <tableColumn id="9" name="v3MatchType"/>
    <tableColumn id="10" name="normalizationStrategy"/>
    <tableColumn id="11" name="mappingTier"/>
    <tableColumn id="12" name="externalHerbSupport"/>
    <tableColumn id="13" name="compoundPresentInMasterV3"/>
    <tableColumn id="14" name="mechanismTags"/>
    <tableColumn id="15" name="pathwayTargets"/>
    <tableColumn id="16" name="sourceUrls"/>
    <tableColumn id="17" name="notes"/>
  </tableColumns>
  <tableStyleInfo name="TableStyleMedium2" showRowStripes="1"/>
</table>
</file>

<file path=xl/tables/table24.xml><?xml version="1.0" encoding="utf-8"?>
<table xmlns="http://schemas.openxmlformats.org/spreadsheetml/2006/main" id="24" name="CompoundReverseLookupV3" displayName="CompoundReverseLookupV3" ref="A1:I77" headerRowCount="1">
  <tableColumns count="9">
    <tableColumn id="1" name="canonicalCompoundId"/>
    <tableColumn id="2" name="compoundName"/>
    <tableColumn id="3" name="compoundClass"/>
    <tableColumn id="4" name="herbCount"/>
    <tableColumn id="5" name="relatedHerbSlugs"/>
    <tableColumn id="6" name="mechanismTags"/>
    <tableColumn id="7" name="pathwayTargets"/>
    <tableColumn id="8" name="sourceBasis"/>
    <tableColumn id="9" name="sourceQuality"/>
  </tableColumns>
  <tableStyleInfo name="TableStyleMedium2" showRowStripes="1"/>
</table>
</file>

<file path=xl/tables/table25.xml><?xml version="1.0" encoding="utf-8"?>
<table xmlns="http://schemas.openxmlformats.org/spreadsheetml/2006/main" id="25" name="HerbEnrichmentQueueV3" displayName="HerbEnrichmentQueueV3" ref="A1:O18" headerRowCount="1">
  <tableColumns count="15">
    <tableColumn id="1" name="herbSlug"/>
    <tableColumn id="2" name="herbName"/>
    <tableColumn id="3" name="rawCompoundEntries"/>
    <tableColumn id="4" name="normalizedAtomicEntries"/>
    <tableColumn id="5" name="masterLinkedCount"/>
    <tableColumn id="6" name="datasetSupportedCount"/>
    <tableColumn id="7" name="provisionalCompoundCount"/>
    <tableColumn id="8" name="broadClassCount"/>
    <tableColumn id="9" name="resolvedCoveragePct"/>
    <tableColumn id="10" name="citationStatus"/>
    <tableColumn id="11" name="readinessFlag"/>
    <tableColumn id="12" name="nextUpgradeAction"/>
    <tableColumn id="13" name="provisionalCompounds"/>
    <tableColumn id="14" name="broadClassTerms"/>
    <tableColumn id="15" name="mappedCompoundsV3"/>
  </tableColumns>
  <tableStyleInfo name="TableStyleMedium2" showRowStripes="1"/>
</table>
</file>

<file path=xl/tables/table26.xml><?xml version="1.0" encoding="utf-8"?>
<table xmlns="http://schemas.openxmlformats.org/spreadsheetml/2006/main" id="26" name="NormalizationRulesV3" displayName="NormalizationRulesV3" ref="A1:E89" headerRowCount="1">
  <tableColumns count="5">
    <tableColumn id="1" name="rawPattern"/>
    <tableColumn id="2" name="producedAtom"/>
    <tableColumn id="3" name="parentClass"/>
    <tableColumn id="4" name="strategy"/>
    <tableColumn id="5" name="broadClassFlag"/>
  </tableColumns>
  <tableStyleInfo name="TableStyleMedium2" showRowStripes="1"/>
</table>
</file>

<file path=xl/tables/table27.xml><?xml version="1.0" encoding="utf-8"?>
<table xmlns="http://schemas.openxmlformats.org/spreadsheetml/2006/main" id="27" name="NormalizationGuideV3" displayName="NormalizationGuideV3" ref="A1:C8" headerRowCount="1">
  <tableColumns count="3">
    <tableColumn id="1" name="V3 Normalization Guide"/>
    <tableColumn id="2" name="Column2"/>
    <tableColumn id="3" name="Column3"/>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7.xml" Id="rId2"/></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1.xml.rels><Relationships xmlns="http://schemas.openxmlformats.org/package/2006/relationships"><Relationship Type="http://schemas.openxmlformats.org/officeDocument/2006/relationships/table" Target="/xl/tables/table16.xml" Id="rId1"/></Relationships>
</file>

<file path=xl/worksheets/_rels/sheet22.xml.rels><Relationships xmlns="http://schemas.openxmlformats.org/package/2006/relationships"><Relationship Type="http://schemas.openxmlformats.org/officeDocument/2006/relationships/table" Target="/xl/tables/table17.xml" Id="rId1"/></Relationships>
</file>

<file path=xl/worksheets/_rels/sheet23.xml.rels><Relationships xmlns="http://schemas.openxmlformats.org/package/2006/relationships"><Relationship Type="http://schemas.openxmlformats.org/officeDocument/2006/relationships/table" Target="/xl/tables/table18.xml" Id="rId1"/></Relationships>
</file>

<file path=xl/worksheets/_rels/sheet24.xml.rels><Relationships xmlns="http://schemas.openxmlformats.org/package/2006/relationships"><Relationship Type="http://schemas.openxmlformats.org/officeDocument/2006/relationships/table" Target="/xl/tables/table19.xml" Id="rId1"/></Relationships>
</file>

<file path=xl/worksheets/_rels/sheet25.xml.rels><Relationships xmlns="http://schemas.openxmlformats.org/package/2006/relationships"><Relationship Type="http://schemas.openxmlformats.org/officeDocument/2006/relationships/table" Target="/xl/tables/table20.xml" Id="rId1"/></Relationships>
</file>

<file path=xl/worksheets/_rels/sheet26.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29.xml.rels><Relationships xmlns="http://schemas.openxmlformats.org/package/2006/relationships"><Relationship Type="http://schemas.openxmlformats.org/officeDocument/2006/relationships/table" Target="/xl/tables/table24.xml" Id="rId1"/></Relationships>
</file>

<file path=xl/worksheets/_rels/sheet30.xml.rels><Relationships xmlns="http://schemas.openxmlformats.org/package/2006/relationships"><Relationship Type="http://schemas.openxmlformats.org/officeDocument/2006/relationships/table" Target="/xl/tables/table25.xml" Id="rId1"/></Relationships>
</file>

<file path=xl/worksheets/_rels/sheet31.xml.rels><Relationships xmlns="http://schemas.openxmlformats.org/package/2006/relationships"><Relationship Type="http://schemas.openxmlformats.org/officeDocument/2006/relationships/table" Target="/xl/tables/table26.xml" Id="rId1"/></Relationships>
</file>

<file path=xl/worksheets/_rels/sheet32.xml.rels><Relationships xmlns="http://schemas.openxmlformats.org/package/2006/relationships"><Relationship Type="http://schemas.openxmlformats.org/officeDocument/2006/relationships/table" Target="/xl/tables/table27.xml" Id="rId1"/></Relationships>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26" customWidth="1" style="76" min="1" max="1"/>
    <col width="14" customWidth="1" style="76" min="2" max="2"/>
    <col width="3" customWidth="1" style="76" min="3" max="3"/>
    <col width="20" customWidth="1" style="76" min="4" max="4"/>
    <col width="12" customWidth="1" style="76" min="5" max="5"/>
    <col width="3" customWidth="1" style="76" min="6" max="6"/>
    <col width="22" customWidth="1" style="76" min="7" max="7"/>
    <col width="14" customWidth="1" style="76" min="8" max="8"/>
  </cols>
  <sheetData>
    <row r="1">
      <c r="A1" s="24" t="inlineStr">
        <is>
          <t>Herbal Monograph Control Center</t>
        </is>
      </c>
    </row>
    <row r="2">
      <c r="A2" s="25" t="inlineStr">
        <is>
          <t>Use this sheet to monitor monograph completeness, citation health, total scoring, and editorial review priority before publishing.</t>
        </is>
      </c>
      <c r="B2" s="25" t="inlineStr">
        <is>
          <t>Use this sheet to monitor monograph completeness, citation health, total scoring, and editorial review priority before publishing.</t>
        </is>
      </c>
      <c r="C2" s="25" t="inlineStr">
        <is>
          <t>Use this sheet to monitor monograph completeness, citation health, total scoring, and editorial review priority before publishing.</t>
        </is>
      </c>
      <c r="D2" s="25" t="inlineStr">
        <is>
          <t>Use this sheet to monitor monograph completeness, citation health, total scoring, and editorial review priority before publishing.</t>
        </is>
      </c>
      <c r="E2" s="25" t="inlineStr">
        <is>
          <t>Use this sheet to monitor monograph completeness, citation health, total scoring, and editorial review priority before publishing.</t>
        </is>
      </c>
      <c r="F2" s="25" t="inlineStr">
        <is>
          <t>Use this sheet to monitor monograph completeness, citation health, total scoring, and editorial review priority before publishing.</t>
        </is>
      </c>
      <c r="G2" s="25" t="inlineStr">
        <is>
          <t>Use this sheet to monitor monograph completeness, citation health, total scoring, and editorial review priority before publishing.</t>
        </is>
      </c>
      <c r="H2" s="25" t="inlineStr">
        <is>
          <t>Use this sheet to monitor monograph completeness, citation health, total scoring, and editorial review priority before publishing.</t>
        </is>
      </c>
      <c r="J2" s="73" t="inlineStr">
        <is>
          <t>Next Upgrade Panel</t>
        </is>
      </c>
    </row>
    <row r="3">
      <c r="A3" s="37" t="inlineStr">
        <is>
          <t>KPI</t>
        </is>
      </c>
      <c r="B3" s="38" t="inlineStr">
        <is>
          <t>Value</t>
        </is>
      </c>
      <c r="D3" s="37" t="inlineStr">
        <is>
          <t>Score band</t>
        </is>
      </c>
      <c r="E3" s="38" t="inlineStr">
        <is>
          <t>Count</t>
        </is>
      </c>
      <c r="G3" s="37" t="inlineStr">
        <is>
          <t>Citation health</t>
        </is>
      </c>
      <c r="H3" s="38" t="inlineStr">
        <is>
          <t>Count</t>
        </is>
      </c>
      <c r="J3" s="74" t="inlineStr">
        <is>
          <t>Mechanism tags tracked</t>
        </is>
      </c>
      <c r="K3" s="75" t="n">
        <v>13</v>
      </c>
    </row>
    <row r="4">
      <c r="A4" s="39" t="inlineStr">
        <is>
          <t>Total monographs</t>
        </is>
      </c>
      <c r="B4" s="168" t="n">
        <v>17</v>
      </c>
      <c r="D4" s="9" t="inlineStr">
        <is>
          <t>8+</t>
        </is>
      </c>
      <c r="E4" s="11" t="n">
        <v>6</v>
      </c>
      <c r="G4" s="9" t="inlineStr">
        <is>
          <t>Present</t>
        </is>
      </c>
      <c r="H4" s="11" t="n">
        <v>11</v>
      </c>
      <c r="J4" s="74" t="inlineStr">
        <is>
          <t>Rows needing source normalization</t>
        </is>
      </c>
      <c r="K4" s="75" t="n">
        <v>6</v>
      </c>
    </row>
    <row r="5">
      <c r="A5" s="39" t="inlineStr">
        <is>
          <t>Schema-upgraded rows</t>
        </is>
      </c>
      <c r="B5" s="168" t="n">
        <v>17</v>
      </c>
      <c r="D5" s="9" t="inlineStr">
        <is>
          <t>7</t>
        </is>
      </c>
      <c r="E5" s="11" t="n">
        <v>4</v>
      </c>
      <c r="G5" s="9" t="inlineStr">
        <is>
          <t>Needs normalization</t>
        </is>
      </c>
      <c r="H5" s="11" t="n">
        <v>6</v>
      </c>
      <c r="J5" s="74" t="inlineStr">
        <is>
          <t>Rows with missing dosage</t>
        </is>
      </c>
      <c r="K5" s="75" t="n">
        <v>0</v>
      </c>
    </row>
    <row r="6">
      <c r="A6" s="39" t="inlineStr">
        <is>
          <t>High-confidence rows</t>
        </is>
      </c>
      <c r="B6" s="168" t="n">
        <v>4</v>
      </c>
      <c r="D6" s="9" t="inlineStr">
        <is>
          <t>6</t>
        </is>
      </c>
      <c r="E6" s="11" t="n">
        <v>7</v>
      </c>
      <c r="G6" s="12" t="inlineStr">
        <is>
          <t>Partial/missing</t>
        </is>
      </c>
      <c r="H6" s="14" t="n">
        <v>0</v>
      </c>
      <c r="J6" s="74" t="inlineStr">
        <is>
          <t>Rows marked Ready</t>
        </is>
      </c>
      <c r="K6" s="75" t="n">
        <v>0</v>
      </c>
    </row>
    <row r="7">
      <c r="A7" s="39" t="inlineStr">
        <is>
          <t>Citation present</t>
        </is>
      </c>
      <c r="B7" s="168" t="n">
        <v>11</v>
      </c>
      <c r="D7" s="12" t="inlineStr">
        <is>
          <t>&lt;=5</t>
        </is>
      </c>
      <c r="E7" s="14" t="n">
        <v>0</v>
      </c>
    </row>
    <row r="8">
      <c r="A8" s="39" t="inlineStr">
        <is>
          <t>Needs normalization</t>
        </is>
      </c>
      <c r="B8" s="168" t="n">
        <v>6</v>
      </c>
    </row>
    <row r="9">
      <c r="A9" s="39" t="inlineStr">
        <is>
          <t>Average total score</t>
        </is>
      </c>
      <c r="B9" s="168" t="n">
        <v>6.9</v>
      </c>
    </row>
    <row r="10">
      <c r="A10" s="43" t="inlineStr">
        <is>
          <t>Immediate actions</t>
        </is>
      </c>
      <c r="B10" s="169" t="inlineStr">
        <is>
          <t>Count</t>
        </is>
      </c>
      <c r="D10" s="37" t="inlineStr">
        <is>
          <t>Publishing readiness</t>
        </is>
      </c>
      <c r="E10" s="38" t="inlineStr">
        <is>
          <t>Count</t>
        </is>
      </c>
      <c r="G10" s="37" t="inlineStr">
        <is>
          <t>Review priority</t>
        </is>
      </c>
      <c r="H10" s="38" t="inlineStr">
        <is>
          <t>Count</t>
        </is>
      </c>
    </row>
    <row r="11">
      <c r="A11" s="9" t="inlineStr">
        <is>
          <t>Missing dosage</t>
        </is>
      </c>
      <c r="B11" s="170" t="n">
        <v>10</v>
      </c>
      <c r="D11" s="9" t="inlineStr">
        <is>
          <t>Ready</t>
        </is>
      </c>
      <c r="E11" s="11" t="n">
        <v>6</v>
      </c>
      <c r="G11" s="9" t="inlineStr">
        <is>
          <t>High</t>
        </is>
      </c>
      <c r="H11" s="11" t="n">
        <v>6</v>
      </c>
    </row>
    <row r="12">
      <c r="A12" s="9" t="inlineStr">
        <is>
          <t>Missing standardization</t>
        </is>
      </c>
      <c r="B12" s="170" t="n">
        <v>8</v>
      </c>
      <c r="D12" s="9" t="inlineStr">
        <is>
          <t>Near ready</t>
        </is>
      </c>
      <c r="E12" s="11" t="n">
        <v>11</v>
      </c>
      <c r="G12" s="9" t="inlineStr">
        <is>
          <t>Medium</t>
        </is>
      </c>
      <c r="H12" s="11" t="n">
        <v>11</v>
      </c>
    </row>
    <row r="13">
      <c r="A13" s="9" t="inlineStr">
        <is>
          <t>Missing marker compounds</t>
        </is>
      </c>
      <c r="B13" s="170" t="n">
        <v>5</v>
      </c>
      <c r="D13" s="12" t="inlineStr">
        <is>
          <t>Needs work</t>
        </is>
      </c>
      <c r="E13" s="14" t="n">
        <v>0</v>
      </c>
      <c r="G13" s="12" t="inlineStr">
        <is>
          <t>Low</t>
        </is>
      </c>
      <c r="H13" s="14" t="n">
        <v>0</v>
      </c>
    </row>
    <row r="14">
      <c r="A14" s="12" t="inlineStr">
        <is>
          <t>Low or medium confidence</t>
        </is>
      </c>
      <c r="B14" s="171" t="n">
        <v>13</v>
      </c>
    </row>
    <row r="16">
      <c r="A16" s="172" t="inlineStr">
        <is>
          <t>Monograph workflow rules</t>
        </is>
      </c>
    </row>
    <row r="17">
      <c r="A17" s="48" t="inlineStr">
        <is>
          <t>High review priority</t>
        </is>
      </c>
      <c r="B17" s="181" t="inlineStr">
        <is>
          <t>Citation normalization missing or citation status is missing.</t>
        </is>
      </c>
      <c r="H17" s="11" t="n"/>
    </row>
    <row r="18">
      <c r="A18" s="48" t="inlineStr">
        <is>
          <t>Medium review priority</t>
        </is>
      </c>
      <c r="B18" s="181" t="inlineStr">
        <is>
          <t>Core monograph fields missing such as dosage, standardization, or marker compounds.</t>
        </is>
      </c>
      <c r="H18" s="11" t="n"/>
    </row>
    <row r="19">
      <c r="A19" s="49" t="inlineStr">
        <is>
          <t>Ready</t>
        </is>
      </c>
      <c r="B19" s="16" t="inlineStr">
        <is>
          <t>High field coverage with present citations; suitable for editorial polishing and publication prep.</t>
        </is>
      </c>
      <c r="C19" s="13" t="n"/>
      <c r="D19" s="13" t="n"/>
      <c r="E19" s="13" t="n"/>
      <c r="F19" s="13" t="n"/>
      <c r="G19" s="13" t="n"/>
      <c r="H19" s="14" t="n"/>
    </row>
  </sheetData>
  <mergeCells count="3">
    <mergeCell ref="A16:H16"/>
    <mergeCell ref="J2:L2"/>
    <mergeCell ref="A1:H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H46"/>
  <sheetViews>
    <sheetView workbookViewId="0">
      <selection activeCell="A1" sqref="A1"/>
    </sheetView>
  </sheetViews>
  <sheetFormatPr baseColWidth="8" defaultRowHeight="15"/>
  <cols>
    <col width="18" customWidth="1" style="76" min="1" max="1"/>
    <col width="20" customWidth="1" style="76" min="2" max="2"/>
    <col width="22" customWidth="1" style="76" min="3" max="3"/>
    <col width="12" customWidth="1" style="76" min="4" max="4"/>
    <col width="14" customWidth="1" style="76" min="5" max="5"/>
    <col width="18" customWidth="1" style="76" min="6" max="6"/>
    <col width="24" customWidth="1" style="76" min="7" max="7"/>
    <col width="26" customWidth="1" style="76" min="8" max="8"/>
    <col width="36" customWidth="1" style="76" min="9" max="9"/>
    <col width="40" customWidth="1" style="76" min="10" max="10"/>
    <col width="28" customWidth="1" style="76" min="11" max="11"/>
    <col width="18" customWidth="1" style="76" min="12" max="12"/>
    <col width="40" customWidth="1" style="76" min="13" max="13"/>
    <col width="22" customWidth="1" style="76" min="14" max="14"/>
    <col width="18" customWidth="1" style="76" min="15" max="15"/>
    <col width="36" customWidth="1" style="76" min="16" max="16"/>
    <col width="30" customWidth="1" style="76" min="17" max="17"/>
    <col width="28" customWidth="1" style="76" min="18" max="18"/>
    <col width="24" customWidth="1" style="76" min="19" max="19"/>
    <col width="18" customWidth="1" style="76" min="20" max="20"/>
    <col width="20" customWidth="1" style="76" min="21" max="21"/>
    <col width="20" customWidth="1" style="76" min="22" max="22"/>
    <col width="12" customWidth="1" style="76" min="23" max="23"/>
    <col width="20" customWidth="1" style="76" min="24" max="24"/>
    <col width="28" customWidth="1" style="76" min="25" max="25"/>
    <col width="18" customWidth="1" style="76" min="26" max="26"/>
    <col width="20" customWidth="1" style="76" min="27" max="27"/>
    <col width="20" customWidth="1" style="76" min="28" max="28"/>
    <col width="20" customWidth="1" style="76" min="29" max="29"/>
    <col width="20" customWidth="1" style="76" min="30" max="30"/>
    <col width="20" customWidth="1" style="76" min="31" max="31"/>
    <col width="30" customWidth="1" style="76" min="32" max="32"/>
    <col width="12" customWidth="1" style="76" min="33" max="33"/>
    <col width="12" customWidth="1" style="76" min="34" max="34"/>
    <col width="12" customWidth="1" style="76" min="35" max="35"/>
    <col width="12" customWidth="1" style="76" min="36" max="36"/>
    <col width="14" customWidth="1" style="76" min="37" max="37"/>
    <col width="14" customWidth="1" style="76" min="38" max="38"/>
    <col width="22" customWidth="1" style="76" min="39" max="39"/>
    <col width="14" customWidth="1" style="76" min="40" max="40"/>
    <col width="14" customWidth="1" style="76" min="41" max="41"/>
    <col width="18" customWidth="1" style="76" min="42" max="42"/>
    <col width="18" customWidth="1" style="76" min="43" max="43"/>
    <col width="18" customWidth="1" style="76" min="44" max="44"/>
    <col width="18" customWidth="1" style="76" min="45" max="45"/>
    <col width="18" customWidth="1" style="76" min="46" max="46"/>
    <col width="18" customWidth="1" style="76" min="47" max="47"/>
    <col width="18" customWidth="1" style="76" min="48" max="48"/>
    <col width="18" customWidth="1" style="76" min="49" max="49"/>
    <col width="10" customWidth="1" style="76" min="50" max="50"/>
    <col width="16" customWidth="1" style="76" min="51" max="51"/>
    <col width="14" customWidth="1" style="76" min="52" max="52"/>
    <col width="14" customWidth="1" style="76" min="53" max="53"/>
    <col width="14" customWidth="1" style="76" min="54" max="54"/>
    <col width="28" customWidth="1" style="76" min="55" max="55"/>
    <col width="16" customWidth="1" style="76" min="56" max="56"/>
    <col width="16" customWidth="1" style="76" min="57" max="57"/>
    <col width="24" customWidth="1" style="76" min="58" max="58"/>
    <col width="18" customWidth="1" style="76" min="59" max="59"/>
    <col width="12" customWidth="1" style="76" min="60" max="60"/>
  </cols>
  <sheetData>
    <row r="1">
      <c r="A1" s="6" t="inlineStr">
        <is>
          <t>name</t>
        </is>
      </c>
      <c r="B1" s="7" t="inlineStr">
        <is>
          <t>slug</t>
        </is>
      </c>
      <c r="C1" s="7" t="inlineStr">
        <is>
          <t>scientificName</t>
        </is>
      </c>
      <c r="D1" s="7" t="inlineStr">
        <is>
          <t>monographType</t>
        </is>
      </c>
      <c r="E1" s="7" t="inlineStr">
        <is>
          <t>category</t>
        </is>
      </c>
      <c r="F1" s="7" t="inlineStr">
        <is>
          <t>plantPartUsed</t>
        </is>
      </c>
      <c r="G1" s="7" t="inlineStr">
        <is>
          <t>commonNames</t>
        </is>
      </c>
      <c r="H1" s="7" t="inlineStr">
        <is>
          <t>region</t>
        </is>
      </c>
      <c r="I1" s="7" t="inlineStr">
        <is>
          <t>summary</t>
        </is>
      </c>
      <c r="J1" s="7" t="inlineStr">
        <is>
          <t>description</t>
        </is>
      </c>
      <c r="K1" s="7" t="inlineStr">
        <is>
          <t>activeCompounds</t>
        </is>
      </c>
      <c r="L1" s="7" t="inlineStr">
        <is>
          <t>markerCompounds</t>
        </is>
      </c>
      <c r="M1" s="7" t="inlineStr">
        <is>
          <t>mechanism</t>
        </is>
      </c>
      <c r="N1" s="7" t="inlineStr">
        <is>
          <t>mechanismTags</t>
        </is>
      </c>
      <c r="O1" s="7" t="inlineStr">
        <is>
          <t>evidenceLevel</t>
        </is>
      </c>
      <c r="P1" s="7" t="inlineStr">
        <is>
          <t>safetyNotes</t>
        </is>
      </c>
      <c r="Q1" s="7" t="inlineStr">
        <is>
          <t>interactions</t>
        </is>
      </c>
      <c r="R1" s="7" t="inlineStr">
        <is>
          <t>contraindications</t>
        </is>
      </c>
      <c r="S1" s="7" t="inlineStr">
        <is>
          <t>preparation</t>
        </is>
      </c>
      <c r="T1" s="7" t="inlineStr">
        <is>
          <t>dosage</t>
        </is>
      </c>
      <c r="U1" s="7" t="inlineStr">
        <is>
          <t>standardization</t>
        </is>
      </c>
      <c r="V1" s="7" t="inlineStr">
        <is>
          <t>qualityConcerns</t>
        </is>
      </c>
      <c r="W1" s="7" t="inlineStr">
        <is>
          <t>confidence</t>
        </is>
      </c>
      <c r="X1" s="7" t="inlineStr">
        <is>
          <t>status</t>
        </is>
      </c>
      <c r="Y1" s="7" t="inlineStr">
        <is>
          <t>sources</t>
        </is>
      </c>
      <c r="Z1" s="7" t="inlineStr">
        <is>
          <t>citationStatus</t>
        </is>
      </c>
      <c r="AA1" s="7" t="inlineStr">
        <is>
          <t>sourceAuthority</t>
        </is>
      </c>
      <c r="AB1" s="7" t="inlineStr">
        <is>
          <t>summaryCitations</t>
        </is>
      </c>
      <c r="AC1" s="7" t="inlineStr">
        <is>
          <t>mechanismCitations</t>
        </is>
      </c>
      <c r="AD1" s="7" t="inlineStr">
        <is>
          <t>safetyCitations</t>
        </is>
      </c>
      <c r="AE1" s="7" t="inlineStr">
        <is>
          <t>interactionCitations</t>
        </is>
      </c>
      <c r="AF1" s="7" t="inlineStr">
        <is>
          <t>notesForCodex</t>
        </is>
      </c>
      <c r="AG1" s="7" t="inlineStr">
        <is>
          <t>score_confidence</t>
        </is>
      </c>
      <c r="AH1" s="7" t="inlineStr">
        <is>
          <t>score_evidence</t>
        </is>
      </c>
      <c r="AI1" s="7" t="inlineStr">
        <is>
          <t>score_citation</t>
        </is>
      </c>
      <c r="AJ1" s="7" t="inlineStr">
        <is>
          <t>totalScore</t>
        </is>
      </c>
      <c r="AK1" s="7" t="inlineStr">
        <is>
          <t>reviewPriority</t>
        </is>
      </c>
      <c r="AL1" s="7" t="inlineStr">
        <is>
          <t>dosageStatus</t>
        </is>
      </c>
      <c r="AM1" s="7" t="inlineStr">
        <is>
          <t>sourceTier</t>
        </is>
      </c>
      <c r="AN1" s="7" t="inlineStr">
        <is>
          <t>completenessPct</t>
        </is>
      </c>
      <c r="AO1" s="8" t="inlineStr">
        <is>
          <t>readinessFlag</t>
        </is>
      </c>
      <c r="AP1" s="82" t="inlineStr">
        <is>
          <t>editorialOwner</t>
        </is>
      </c>
      <c r="AQ1" s="173" t="inlineStr">
        <is>
          <t>reviewDate</t>
        </is>
      </c>
      <c r="AR1" s="82" t="inlineStr">
        <is>
          <t>publishStatus</t>
        </is>
      </c>
      <c r="AS1" s="82" t="inlineStr">
        <is>
          <t>qaStatus</t>
        </is>
      </c>
      <c r="AT1" s="82" t="inlineStr">
        <is>
          <t>sourceLockFlag</t>
        </is>
      </c>
      <c r="AU1" s="82" t="inlineStr">
        <is>
          <t>frontendReadyFlag</t>
        </is>
      </c>
      <c r="AV1" s="82" t="inlineStr">
        <is>
          <t>webCopyReadyFlag</t>
        </is>
      </c>
      <c r="AW1" s="82" t="inlineStr">
        <is>
          <t>publishBlocker</t>
        </is>
      </c>
      <c r="AX1" s="105" t="inlineStr">
        <is>
          <t>reviewRound</t>
        </is>
      </c>
      <c r="AY1" s="105" t="inlineStr">
        <is>
          <t>reviewerName</t>
        </is>
      </c>
      <c r="AZ1" s="105" t="inlineStr">
        <is>
          <t>reviewerRole</t>
        </is>
      </c>
      <c r="BA1" s="105" t="inlineStr">
        <is>
          <t>reviewStage</t>
        </is>
      </c>
      <c r="BB1" s="105" t="inlineStr">
        <is>
          <t>reviewStatus</t>
        </is>
      </c>
      <c r="BC1" s="105" t="inlineStr">
        <is>
          <t>reviewerNotes</t>
        </is>
      </c>
      <c r="BD1" s="105" t="inlineStr">
        <is>
          <t>approvalTimestamp</t>
        </is>
      </c>
      <c r="BE1" s="105" t="inlineStr">
        <is>
          <t>lastModifiedTimestamp</t>
        </is>
      </c>
      <c r="BF1" s="105" t="inlineStr">
        <is>
          <t>changeSummary</t>
        </is>
      </c>
      <c r="BG1" s="105" t="inlineStr">
        <is>
          <t>rowReviewKey</t>
        </is>
      </c>
      <c r="BH1" s="105" t="inlineStr">
        <is>
          <t>historyEntries</t>
        </is>
      </c>
    </row>
    <row r="2">
      <c r="A2" s="9" t="inlineStr">
        <is>
          <t>Ashwagandha</t>
        </is>
      </c>
      <c r="B2" t="inlineStr">
        <is>
          <t>ashwagandha</t>
        </is>
      </c>
      <c r="C2" t="inlineStr">
        <is>
          <t>Withania somnifera</t>
        </is>
      </c>
      <c r="D2" t="inlineStr">
        <is>
          <t>herb</t>
        </is>
      </c>
      <c r="E2" t="inlineStr">
        <is>
          <t>shrub</t>
        </is>
      </c>
      <c r="F2" t="inlineStr">
        <is>
          <t>root</t>
        </is>
      </c>
      <c r="G2" t="inlineStr">
        <is>
          <t>ashwagandha; Indian ginseng; winter cherry</t>
        </is>
      </c>
      <c r="H2" t="inlineStr">
        <is>
          <t>Native to India, the Middle East and parts of Africa and Asia.</t>
        </is>
      </c>
      <c r="I2" s="181" t="inlineStr">
        <is>
          <t>Ashwagandha (Withania somnifera) is a shrub monograph focused on the root used in herbal preparations. It is associated with Native to India, the Middle East and parts of Africa and Asia. Withanolides are thought to mediate adaptogenic and neuroprotective effects by modulating HPA-axis signaling, NF-κB, Nrf2 and GABAergic pathways. Short-term use appears safe; side effects include drowsiness and GI upset.</t>
        </is>
      </c>
      <c r="J2" s="181" t="inlineStr">
        <is>
          <t>Ashwagandha is represented here as a monograph-style entry centered on the root. Key reported compounds include withaferin A; withanolide D; withanolide A; withanoside IV; sitoindosides; alkaloids. Typical preparation forms: Root powders and standardized extracts. Withanolides are thought to mediate adaptogenic and neuroprotective effects by modulating HPA-axis signaling, NF-κB, Nrf2 and GABAergic pathways. Interaction profile: May potentiate sedatives, antihypertensives, antidiabetics, thyroid hormones, and immunosuppressants. Use caution or avoid in: Pregnancy, breastfeeding, autoimmune disease, thyroid disorders, liver disease.</t>
        </is>
      </c>
      <c r="K2" s="181" t="inlineStr">
        <is>
          <t>withaferin A; withanolide D; withanolide A; withanoside IV; sitoindosides; alkaloids</t>
        </is>
      </c>
      <c r="L2" s="181" t="inlineStr">
        <is>
          <t>withanolides</t>
        </is>
      </c>
      <c r="M2" s="181" t="inlineStr">
        <is>
          <t>Withanolides are thought to mediate adaptogenic and neuroprotective effects by modulating HPA-axis signaling, NF-κB, Nrf2 and GABAergic pathways.</t>
        </is>
      </c>
      <c r="N2" s="181" t="inlineStr">
        <is>
          <t>adaptogen; anti-inflammatory; antioxidant; gabaergic</t>
        </is>
      </c>
      <c r="O2" s="181" t="inlineStr">
        <is>
          <t>human + preclinical</t>
        </is>
      </c>
      <c r="P2" s="181" t="inlineStr">
        <is>
          <t>Short-term use appears safe; side effects include drowsiness and GI upset. Rare liver injury has been reported.</t>
        </is>
      </c>
      <c r="Q2" s="181" t="inlineStr">
        <is>
          <t>May potentiate sedatives, antihypertensives, antidiabetics, thyroid hormones, and immunosuppressants.</t>
        </is>
      </c>
      <c r="R2" s="181" t="inlineStr">
        <is>
          <t>Pregnancy, breastfeeding, autoimmune disease, thyroid disorders, liver disease.</t>
        </is>
      </c>
      <c r="S2" s="181" t="inlineStr">
        <is>
          <t>Root powders and standardized extracts.</t>
        </is>
      </c>
      <c r="T2" s="181" t="inlineStr">
        <is>
          <t>300–500 mg root extract twice daily</t>
        </is>
      </c>
      <c r="U2" s="181" t="inlineStr">
        <is>
          <t>Often standardized to withanolides.</t>
        </is>
      </c>
      <c r="V2" s="181" t="str"/>
      <c r="W2" s="181" t="inlineStr">
        <is>
          <t>medium</t>
        </is>
      </c>
      <c r="X2" s="181" t="inlineStr">
        <is>
          <t>schema-upgraded</t>
        </is>
      </c>
      <c r="Y2" s="181" t="inlineStr">
        <is>
          <t>Recovered from prior batch output in this conversation</t>
        </is>
      </c>
      <c r="Z2" s="181" t="inlineStr">
        <is>
          <t>needs-source-normalization</t>
        </is>
      </c>
      <c r="AA2" s="181" t="inlineStr">
        <is>
          <t>conversation-recovered</t>
        </is>
      </c>
      <c r="AB2" s="181" t="inlineStr">
        <is>
          <t>Recovered from prior batch output in this conversation</t>
        </is>
      </c>
      <c r="AC2" s="181" t="inlineStr">
        <is>
          <t>Recovered from prior batch output in this conversation</t>
        </is>
      </c>
      <c r="AD2" s="181" t="inlineStr">
        <is>
          <t>Recovered from prior batch output in this conversation</t>
        </is>
      </c>
      <c r="AE2" s="181" t="inlineStr">
        <is>
          <t>Recovered from prior batch output in this conversation</t>
        </is>
      </c>
      <c r="AF2" s="181" t="inlineStr">
        <is>
          <t>Separate root-based products from leaf-heavy extracts.</t>
        </is>
      </c>
      <c r="AG2" s="174" t="n">
        <v>2</v>
      </c>
      <c r="AH2" s="174" t="n">
        <v>3</v>
      </c>
      <c r="AI2" s="174" t="n">
        <v>1</v>
      </c>
      <c r="AJ2" s="174" t="n">
        <v>6</v>
      </c>
      <c r="AK2" t="inlineStr">
        <is>
          <t>High</t>
        </is>
      </c>
      <c r="AL2" t="inlineStr">
        <is>
          <t>Present</t>
        </is>
      </c>
      <c r="AM2" t="inlineStr">
        <is>
          <t>Conversation-recovered</t>
        </is>
      </c>
      <c r="AN2" s="175" t="n">
        <v>1</v>
      </c>
      <c r="AO2" s="11" t="inlineStr">
        <is>
          <t>Near ready</t>
        </is>
      </c>
      <c r="AP2" t="inlineStr">
        <is>
          <t>Research</t>
        </is>
      </c>
      <c r="AR2" t="inlineStr">
        <is>
          <t>Source review</t>
        </is>
      </c>
      <c r="AS2" t="inlineStr">
        <is>
          <t>Not started</t>
        </is>
      </c>
      <c r="AT2" t="inlineStr">
        <is>
          <t>No</t>
        </is>
      </c>
      <c r="AU2" t="inlineStr">
        <is>
          <t>No</t>
        </is>
      </c>
      <c r="AV2" t="inlineStr">
        <is>
          <t>Yes</t>
        </is>
      </c>
      <c r="AW2" t="inlineStr">
        <is>
          <t>Normalize source record</t>
        </is>
      </c>
      <c r="AX2" s="181" t="n">
        <v>1</v>
      </c>
      <c r="AY2" s="181" t="n"/>
      <c r="AZ2" s="181" t="n"/>
      <c r="BA2" s="181">
        <f>IF($AR2="Published","Published",IF($AS2="Passed","Approved",IF($AR2="Ready for QA","QA review",IF($AR2="Source review","Source review",IF($AR2="Editorial polish","Editorial review","Review pending")))))</f>
        <v/>
      </c>
      <c r="BB2" s="181">
        <f>IF(OR($AR2="Published",$AS2="Passed",AND($AY2&lt;&gt;"",$BD2&lt;&gt;"")),"Approved",IF(OR($AY2&lt;&gt;"",$BC2&lt;&gt;"",$BF2&lt;&gt;""),"In review","Pending"))</f>
        <v/>
      </c>
      <c r="BC2" s="181" t="n"/>
      <c r="BD2" s="176" t="n"/>
      <c r="BE2" s="176">
        <f>IF(OR($AY2&lt;&gt;"",$AZ2&lt;&gt;"",$BC2&lt;&gt;"",$BF2&lt;&gt;""),TODAY(),"")</f>
        <v/>
      </c>
      <c r="BF2" s="181" t="n"/>
      <c r="BG2" s="181">
        <f>$B2&amp;"-R"&amp;$AX2</f>
        <v/>
      </c>
      <c r="BH2" s="181">
        <f>COUNTIF('Change History'!$C:$C,$B2)</f>
        <v/>
      </c>
    </row>
    <row r="3">
      <c r="A3" s="9" t="inlineStr">
        <is>
          <t>Black Cohosh</t>
        </is>
      </c>
      <c r="B3" t="inlineStr">
        <is>
          <t>black-cohosh</t>
        </is>
      </c>
      <c r="C3" t="inlineStr">
        <is>
          <t>Actaea racemosa</t>
        </is>
      </c>
      <c r="D3" t="inlineStr">
        <is>
          <t>herb</t>
        </is>
      </c>
      <c r="E3" t="inlineStr">
        <is>
          <t>rhizome</t>
        </is>
      </c>
      <c r="F3" t="inlineStr">
        <is>
          <t>root; rhizome</t>
        </is>
      </c>
      <c r="G3" t="inlineStr">
        <is>
          <t>black cohosh; black snakeroot; Actaea racemosa</t>
        </is>
      </c>
      <c r="H3" t="inlineStr">
        <is>
          <t>Native to North America, especially the eastern United States.</t>
        </is>
      </c>
      <c r="I3" s="181" t="inlineStr">
        <is>
          <t>Black Cohosh (Actaea racemosa) is a rhizome monograph focused on the root; rhizome used in herbal preparations. It is associated with Native to North America, especially the eastern United States. Proposed mechanism based on preclinical and limited clinical data: black cohosh may act through serotonergic pathways, selective estrogen receptor modulation, and anti-inflammatory signaling rather than as a classical estrogen. Generally well tolerated in short-term studies, but rare cases of liver injury have been reported.</t>
        </is>
      </c>
      <c r="J3" s="181" t="inlineStr">
        <is>
          <t>Black Cohosh is represented here as a monograph-style entry centered on the root; rhizome. Key reported compounds include triterpene glycosides (actein, 23-epi-26-deoxyactein); cimifugoside; caffeic acid derivatives; fukinolic acid. Typical preparation forms: Root and rhizome used in standardized extracts, capsules, tablets, and tinctures. Proposed mechanism based on preclinical and limited clinical data: black cohosh may act through serotonergic pathways, selective estrogen receptor modulation, and anti-inflammatory signaling rather than as a classical estrogen. Interaction profile: Potential interactions with hepatotoxic drugs and with medications affecting estrogen or serotonergic pathways. Use caution or avoid in: Avoid in pregnancy and breastfeeding. Use caution in liver disease or hormone-sensitive conditions.</t>
        </is>
      </c>
      <c r="K3" s="181" t="inlineStr">
        <is>
          <t>triterpene glycosides (actein, 23-epi-26-deoxyactein); cimifugoside; caffeic acid derivatives; fukinolic acid</t>
        </is>
      </c>
      <c r="L3" s="181" t="inlineStr">
        <is>
          <t>actein; 23-epi-26-deoxyactein</t>
        </is>
      </c>
      <c r="M3" s="181" t="inlineStr">
        <is>
          <t>Proposed mechanism based on preclinical and limited clinical data: black cohosh may act through serotonergic pathways, selective estrogen receptor modulation, and anti-inflammatory signaling rather than as a classical estrogen.</t>
        </is>
      </c>
      <c r="N3" s="181" t="inlineStr">
        <is>
          <t>serotonergic; anti-inflammatory; hormonal</t>
        </is>
      </c>
      <c r="O3" s="181" t="inlineStr">
        <is>
          <t>preclinical + limited human</t>
        </is>
      </c>
      <c r="P3" s="181" t="inlineStr">
        <is>
          <t>Generally well tolerated in short-term studies, but rare cases of liver injury have been reported. Product contamination or misidentification is a known issue.</t>
        </is>
      </c>
      <c r="Q3" s="181" t="inlineStr">
        <is>
          <t>Potential interactions with hepatotoxic drugs and with medications affecting estrogen or serotonergic pathways.</t>
        </is>
      </c>
      <c r="R3" s="181" t="inlineStr">
        <is>
          <t>Avoid in pregnancy and breastfeeding. Use caution in liver disease or hormone-sensitive conditions.</t>
        </is>
      </c>
      <c r="S3" s="181" t="inlineStr">
        <is>
          <t>Root and rhizome used in standardized extracts, capsules, tablets, and tinctures.</t>
        </is>
      </c>
      <c r="T3" s="181" t="str"/>
      <c r="U3" s="181" t="str"/>
      <c r="V3" s="181" t="inlineStr">
        <is>
          <t>Adulteration/misidentification risk in commercial products.</t>
        </is>
      </c>
      <c r="W3" s="181" t="inlineStr">
        <is>
          <t>medium</t>
        </is>
      </c>
      <c r="X3" s="181" t="inlineStr">
        <is>
          <t>schema-upgraded</t>
        </is>
      </c>
      <c r="Y3" s="181" t="inlineStr">
        <is>
          <t>NCCIH; NIH ODS; PubMed mechanism review PMC3046019</t>
        </is>
      </c>
      <c r="Z3" s="181" t="inlineStr">
        <is>
          <t>present</t>
        </is>
      </c>
      <c r="AA3" s="181" t="inlineStr">
        <is>
          <t>NCCIH; NIH/ODS; PubMed/PMC</t>
        </is>
      </c>
      <c r="AB3" s="181" t="inlineStr">
        <is>
          <t>NCCIH; NIH ODS; PubMed mechanism review PMC3046019</t>
        </is>
      </c>
      <c r="AC3" s="181" t="inlineStr">
        <is>
          <t>NCCIH; NIH ODS; PubMed mechanism review PMC3046019</t>
        </is>
      </c>
      <c r="AD3" s="181" t="inlineStr">
        <is>
          <t>NCCIH; NIH ODS; PubMed mechanism review PMC3046019</t>
        </is>
      </c>
      <c r="AE3" s="181" t="inlineStr">
        <is>
          <t>NCCIH; NIH ODS; PubMed mechanism review PMC3046019</t>
        </is>
      </c>
      <c r="AF3" s="181" t="inlineStr">
        <is>
          <t>Treat menopausal mechanism claims as mixed evidence, not established estrogenic action.</t>
        </is>
      </c>
      <c r="AG3" s="174" t="n">
        <v>2</v>
      </c>
      <c r="AH3" s="174" t="n">
        <v>3</v>
      </c>
      <c r="AI3" s="174" t="n">
        <v>3</v>
      </c>
      <c r="AJ3" s="174" t="n">
        <v>8</v>
      </c>
      <c r="AK3" t="inlineStr">
        <is>
          <t>Medium</t>
        </is>
      </c>
      <c r="AL3" t="inlineStr">
        <is>
          <t>Missing</t>
        </is>
      </c>
      <c r="AM3" t="inlineStr">
        <is>
          <t>Linked primary/secondary</t>
        </is>
      </c>
      <c r="AN3" s="175" t="n">
        <v>0.8571428571428571</v>
      </c>
      <c r="AO3" s="11" t="inlineStr">
        <is>
          <t>Ready</t>
        </is>
      </c>
      <c r="AP3" t="inlineStr">
        <is>
          <t>Editorial</t>
        </is>
      </c>
      <c r="AR3" t="inlineStr">
        <is>
          <t>Ready for QA</t>
        </is>
      </c>
      <c r="AS3" t="inlineStr">
        <is>
          <t>Not started</t>
        </is>
      </c>
      <c r="AT3" t="inlineStr">
        <is>
          <t>Yes</t>
        </is>
      </c>
      <c r="AU3" t="inlineStr">
        <is>
          <t>Yes</t>
        </is>
      </c>
      <c r="AV3" t="inlineStr">
        <is>
          <t>Yes</t>
        </is>
      </c>
      <c r="AX3" s="181" t="n">
        <v>1</v>
      </c>
      <c r="AY3" s="181" t="n"/>
      <c r="AZ3" s="181" t="n"/>
      <c r="BA3" s="181">
        <f>IF($AR3="Published","Published",IF($AS3="Passed","Approved",IF($AR3="Ready for QA","QA review",IF($AR3="Source review","Source review",IF($AR3="Editorial polish","Editorial review","Review pending")))))</f>
        <v/>
      </c>
      <c r="BB3" s="181">
        <f>IF(OR($AR3="Published",$AS3="Passed",AND($AY3&lt;&gt;"",$BD3&lt;&gt;"")),"Approved",IF(OR($AY3&lt;&gt;"",$BC3&lt;&gt;"",$BF3&lt;&gt;""),"In review","Pending"))</f>
        <v/>
      </c>
      <c r="BC3" s="181" t="n"/>
      <c r="BD3" s="176" t="n"/>
      <c r="BE3" s="176">
        <f>IF(OR($AY3&lt;&gt;"",$AZ3&lt;&gt;"",$BC3&lt;&gt;"",$BF3&lt;&gt;""),TODAY(),"")</f>
        <v/>
      </c>
      <c r="BF3" s="181" t="n"/>
      <c r="BG3" s="181">
        <f>$B3&amp;"-R"&amp;$AX3</f>
        <v/>
      </c>
      <c r="BH3" s="181">
        <f>COUNTIF('Change History'!$C:$C,$B3)</f>
        <v/>
      </c>
    </row>
    <row r="4">
      <c r="A4" s="9" t="inlineStr">
        <is>
          <t>Echinacea Purpurea</t>
        </is>
      </c>
      <c r="B4" t="inlineStr">
        <is>
          <t>echinacea-purpurea</t>
        </is>
      </c>
      <c r="C4" t="inlineStr">
        <is>
          <t>Echinacea purpurea</t>
        </is>
      </c>
      <c r="D4" t="inlineStr">
        <is>
          <t>herb</t>
        </is>
      </c>
      <c r="E4" t="inlineStr">
        <is>
          <t>herb</t>
        </is>
      </c>
      <c r="F4" t="inlineStr">
        <is>
          <t>unspecified</t>
        </is>
      </c>
      <c r="G4" t="inlineStr">
        <is>
          <t>echinacea; purple coneflower</t>
        </is>
      </c>
      <c r="H4" t="inlineStr">
        <is>
          <t>Native to the central and eastern United States; now cultivated and introduced in Europe and other temperate regions【55003496660111†L75-L130】.</t>
        </is>
      </c>
      <c r="I4" s="181" t="inlineStr">
        <is>
          <t>Echinacea Purpurea (Echinacea purpurea) is a herb monograph focused on the unspecified used in herbal preparations. It is associated with Native to the central and eastern United States; now cultivated and introduced in Europe and other temperate regions【55003496660111†L75-L130】. Roots, leaves and flowers of Echinacea purpurea contain mixtures of lipophilic alkamides and hydrophilic caffeic acid derivatives such as chicoric acid and echinacoside, along with polysaccharides and glycoproteins【880087072039746†L166-L200】【840476591578855†L240-L305】. Short‑term use of echinacea extracts appears safe for most adults.</t>
        </is>
      </c>
      <c r="J4" s="181" t="inlineStr">
        <is>
          <t>Echinacea Purpurea is represented here as a monograph-style entry centered on the unspecified. Key reported compounds include alkamides; chicoric acid; echinacoside; caffeic acid; cynarin. Typical preparation forms: Medicinal products use the roots and aerial parts in teas, juices, tinctures and standardized extracts. 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 Interaction profile: Echinacea may interact with immunosuppressant drugs by stimulating immune activity and could affect the pharmacokinetics of drugs metabolised by cytochrome P450 enzymes; caution is advised when taken with hepatic substrates or caffeine. Use caution or avoid in: Individuals with autoimmune disorders or allergies to ragweed and other Asteraceae plants should avoid echinacea. Use during pregnancy or breastfeeding is not recommended. People taking immunosuppressant drugs should avoid echinacea due to potential antagonism.</t>
        </is>
      </c>
      <c r="K4" s="181" t="inlineStr">
        <is>
          <t>alkamides; chicoric acid; echinacoside; caffeic acid; cynarin</t>
        </is>
      </c>
      <c r="L4" s="181" t="str"/>
      <c r="M4" s="181" t="inlineStr">
        <is>
          <t>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t>
        </is>
      </c>
      <c r="N4" s="181" t="inlineStr">
        <is>
          <t>immunomodulatory</t>
        </is>
      </c>
      <c r="O4" s="181" t="str"/>
      <c r="P4" s="181" t="inlineStr">
        <is>
          <t>Short‑term use of echinacea extracts appears safe for most adults. Reported side effects include digestive upset and rash; allergic reactions can occur, especially in individuals sensitive to plants in the Asteraceae family. Some children have developed rashes after echinacea use. Safety during pregnancy or breastfeeding is not established. There is conflicting evidence about whether echinacea alters the metabolism of drugs processed by the liver; theoretical interactions with immunosuppressants or caffeine have been proposed【246299874455786†L194-L213】.</t>
        </is>
      </c>
      <c r="Q4" s="181" t="inlineStr">
        <is>
          <t>Echinacea may interact with immunosuppressant drugs by stimulating immune activity and could affect the pharmacokinetics of drugs metabolised by cytochrome P450 enzymes; caution is advised when taken with hepatic substrates or caffeine.</t>
        </is>
      </c>
      <c r="R4" s="181" t="inlineStr">
        <is>
          <t>Individuals with autoimmune disorders or allergies to ragweed and other Asteraceae plants should avoid echinacea. Use during pregnancy or breastfeeding is not recommended. People taking immunosuppressant drugs should avoid echinacea due to potential antagonism.</t>
        </is>
      </c>
      <c r="S4" s="181" t="inlineStr">
        <is>
          <t>Medicinal products use the roots and aerial parts in teas, juices, tinctures and standardized extracts.</t>
        </is>
      </c>
      <c r="T4" s="181" t="str"/>
      <c r="U4" s="181" t="str"/>
      <c r="V4" s="181" t="str"/>
      <c r="W4" s="181" t="inlineStr">
        <is>
          <t>medium</t>
        </is>
      </c>
      <c r="X4" s="181" t="inlineStr">
        <is>
          <t>schema-upgraded</t>
        </is>
      </c>
      <c r="Y4" s="181" t="inlineStr">
        <is>
          <t>【880087072039746†L166-L200】; 【880087072039746†L215-L243】; 【840476591578855†L240-L305】; 【246299874455786†L194-L213】; 【55003496660111†L75-L130】</t>
        </is>
      </c>
      <c r="Z4" s="181" t="inlineStr">
        <is>
          <t>present</t>
        </is>
      </c>
      <c r="AA4" s="181" t="inlineStr">
        <is>
          <t>PubMed/PMC</t>
        </is>
      </c>
      <c r="AB4" s="181" t="inlineStr">
        <is>
          <t>【880087072039746†L166-L200】; 【880087072039746†L215-L243】; 【840476591578855†L240-L305】; 【246299874455786†L194-L213】; 【55003496660111†L75-L130】</t>
        </is>
      </c>
      <c r="AC4" s="181" t="inlineStr">
        <is>
          <t>【880087072039746†L166-L200】; 【880087072039746†L215-L243】; 【840476591578855†L240-L305】; 【246299874455786†L194-L213】; 【55003496660111†L75-L130】</t>
        </is>
      </c>
      <c r="AD4" s="181" t="inlineStr">
        <is>
          <t>【880087072039746†L166-L200】; 【880087072039746†L215-L243】; 【840476591578855†L240-L305】; 【246299874455786†L194-L213】; 【55003496660111†L75-L130】</t>
        </is>
      </c>
      <c r="AE4" s="181" t="inlineStr">
        <is>
          <t>【880087072039746†L166-L200】; 【880087072039746†L215-L243】; 【840476591578855†L240-L305】; 【246299874455786†L194-L213】; 【55003496660111†L75-L130】</t>
        </is>
      </c>
      <c r="AF4" s="181" t="inlineStr">
        <is>
          <t>Mechanism preserved as qualified language where evidence is preclinical.</t>
        </is>
      </c>
      <c r="AG4" s="174" t="n">
        <v>2</v>
      </c>
      <c r="AH4" s="174" t="n">
        <v>1</v>
      </c>
      <c r="AI4" s="174" t="n">
        <v>3</v>
      </c>
      <c r="AJ4" s="174" t="n">
        <v>6</v>
      </c>
      <c r="AK4" t="inlineStr">
        <is>
          <t>Medium</t>
        </is>
      </c>
      <c r="AL4" t="inlineStr">
        <is>
          <t>Missing</t>
        </is>
      </c>
      <c r="AM4" t="inlineStr">
        <is>
          <t>Linked primary/secondary</t>
        </is>
      </c>
      <c r="AN4" s="175" t="n">
        <v>0.7142857142857143</v>
      </c>
      <c r="AO4" s="11" t="inlineStr">
        <is>
          <t>Near ready</t>
        </is>
      </c>
      <c r="AP4" t="inlineStr">
        <is>
          <t>Editorial</t>
        </is>
      </c>
      <c r="AR4" t="inlineStr">
        <is>
          <t>Editorial polish</t>
        </is>
      </c>
      <c r="AS4" t="inlineStr">
        <is>
          <t>Not started</t>
        </is>
      </c>
      <c r="AT4" t="inlineStr">
        <is>
          <t>Yes</t>
        </is>
      </c>
      <c r="AU4" t="inlineStr">
        <is>
          <t>No</t>
        </is>
      </c>
      <c r="AV4" t="inlineStr">
        <is>
          <t>Yes</t>
        </is>
      </c>
      <c r="AW4" t="inlineStr">
        <is>
          <t>Finalize remaining content gaps</t>
        </is>
      </c>
      <c r="AX4" s="181" t="n">
        <v>1</v>
      </c>
      <c r="AY4" s="181" t="n"/>
      <c r="AZ4" s="181" t="n"/>
      <c r="BA4" s="181">
        <f>IF($AR4="Published","Published",IF($AS4="Passed","Approved",IF($AR4="Ready for QA","QA review",IF($AR4="Source review","Source review",IF($AR4="Editorial polish","Editorial review","Review pending")))))</f>
        <v/>
      </c>
      <c r="BB4" s="181">
        <f>IF(OR($AR4="Published",$AS4="Passed",AND($AY4&lt;&gt;"",$BD4&lt;&gt;"")),"Approved",IF(OR($AY4&lt;&gt;"",$BC4&lt;&gt;"",$BF4&lt;&gt;""),"In review","Pending"))</f>
        <v/>
      </c>
      <c r="BC4" s="181" t="n"/>
      <c r="BD4" s="176" t="n"/>
      <c r="BE4" s="176">
        <f>IF(OR($AY4&lt;&gt;"",$AZ4&lt;&gt;"",$BC4&lt;&gt;"",$BF4&lt;&gt;""),TODAY(),"")</f>
        <v/>
      </c>
      <c r="BF4" s="181" t="n"/>
      <c r="BG4" s="181">
        <f>$B4&amp;"-R"&amp;$AX4</f>
        <v/>
      </c>
      <c r="BH4" s="181">
        <f>COUNTIF('Change History'!$C:$C,$B4)</f>
        <v/>
      </c>
    </row>
    <row r="5">
      <c r="A5" s="9" t="inlineStr">
        <is>
          <t>Garlic</t>
        </is>
      </c>
      <c r="B5" t="inlineStr">
        <is>
          <t>garlic</t>
        </is>
      </c>
      <c r="C5" t="inlineStr">
        <is>
          <t>Allium sativum</t>
        </is>
      </c>
      <c r="D5" t="inlineStr">
        <is>
          <t>herb</t>
        </is>
      </c>
      <c r="E5" t="inlineStr">
        <is>
          <t>bulb</t>
        </is>
      </c>
      <c r="F5" t="inlineStr">
        <is>
          <t>unspecified</t>
        </is>
      </c>
      <c r="G5" t="inlineStr">
        <is>
          <t>garlic; Allium sativum</t>
        </is>
      </c>
      <c r="H5" t="inlineStr">
        <is>
          <t>Native to parts of Central Asia including Iran, Kazakhstan, Kyrgyzstan, Tajikistan, Turkmenistan and Uzbekistan, but now cultivated worldwide【387438139344369†L214-L229】.</t>
        </is>
      </c>
      <c r="I5" s="181" t="inlineStr">
        <is>
          <t>Garlic (Allium sativum) is a bulb monograph focused on the unspecified used in herbal preparations. It is associated with Native to parts of Central Asia including Iran, Kazakhstan, Kyrgyzstan, Tajikistan, Turkmenistan and Uzbekistan, but now cultivated worldwide【387438139344369†L214-L229】. Garlic bulbs contain organosulfur compounds such as diallyl sulfide, diallyl disulfide, diallyl trisulfide, ajoene and S‑allyl‑cysteine. Oral garlic preparations are generally safe when used for up to seven years; side effects include breath and body odour, abdominal pain, flatulence and nausea.</t>
        </is>
      </c>
      <c r="J5" s="181" t="inlineStr">
        <is>
          <t>Garlic is represented here as a monograph-style entry centered on the unspecified. Key reported compounds include diallyl sulfide; diallyl disulfide; diallyl trisulfide; ajoene; S‑allyl‑cysteine. Typical preparation forms: Fresh or dried bulbs are used as food and in remedies. Commercial supplements include aged garlic extracts, oils and powders standardized for organosulfur content. 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 Interaction profile: Garlic may potentiate the effects of anticoagulant and antiplatelet drugs (e.g., warfarin, aspirin) and should be discontinued before surgery. It may also enhance the effects of antihypertensive or antidiabetic medicines. Use caution or avoid in: 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t>
        </is>
      </c>
      <c r="K5" s="181" t="inlineStr">
        <is>
          <t>diallyl sulfide; diallyl disulfide; diallyl trisulfide; ajoene; S‑allyl‑cysteine</t>
        </is>
      </c>
      <c r="L5" s="181" t="str"/>
      <c r="M5" s="181" t="inlineStr">
        <is>
          <t>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t>
        </is>
      </c>
      <c r="N5" s="181" t="inlineStr">
        <is>
          <t>anti-inflammatory; antioxidant; immunomodulatory</t>
        </is>
      </c>
      <c r="O5" s="181" t="str"/>
      <c r="P5" s="181" t="inlineStr">
        <is>
          <t>Oral garlic preparations are generally safe when used for up to seven years; side effects include breath and body odour, abdominal pain, flatulence and nausea. Because garlic can inhibit platelet aggregation it may increase the risk of bleeding, especially when combined with anticoagulants or antiplatelet drugs. Raw garlic applied to the skin can cause severe irritation or burns. The safety of garlic supplements during pregnancy or breastfeeding is uncertain【945608786527328†L190-L207】.</t>
        </is>
      </c>
      <c r="Q5" s="181" t="inlineStr">
        <is>
          <t>Garlic may potentiate the effects of anticoagulant and antiplatelet drugs (e.g., warfarin, aspirin) and should be discontinued before surgery. It may also enhance the effects of antihypertensive or antidiabetic medicines.</t>
        </is>
      </c>
      <c r="R5" s="181" t="inlineStr">
        <is>
          <t>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t>
        </is>
      </c>
      <c r="S5" s="181" t="inlineStr">
        <is>
          <t>Fresh or dried bulbs are used as food and in remedies. Commercial supplements include aged garlic extracts, oils and powders standardized for organosulfur content.</t>
        </is>
      </c>
      <c r="T5" s="181" t="str"/>
      <c r="U5" s="181" t="str"/>
      <c r="V5" s="181" t="str"/>
      <c r="W5" s="181" t="inlineStr">
        <is>
          <t>medium</t>
        </is>
      </c>
      <c r="X5" s="181" t="inlineStr">
        <is>
          <t>schema-upgraded</t>
        </is>
      </c>
      <c r="Y5" s="181" t="inlineStr">
        <is>
          <t>【170738571486764†L1208-L1216】; 【945608786527328†L190-L207】; 【387438139344369†L214-L229】</t>
        </is>
      </c>
      <c r="Z5" s="181" t="inlineStr">
        <is>
          <t>present</t>
        </is>
      </c>
      <c r="AA5" s="181" t="inlineStr">
        <is>
          <t>PubMed/PMC</t>
        </is>
      </c>
      <c r="AB5" s="181" t="inlineStr">
        <is>
          <t>【170738571486764†L1208-L1216】; 【945608786527328†L190-L207】; 【387438139344369†L214-L229】</t>
        </is>
      </c>
      <c r="AC5" s="181" t="inlineStr">
        <is>
          <t>【170738571486764†L1208-L1216】; 【945608786527328†L190-L207】; 【387438139344369†L214-L229】</t>
        </is>
      </c>
      <c r="AD5" s="181" t="inlineStr">
        <is>
          <t>【170738571486764†L1208-L1216】; 【945608786527328†L190-L207】; 【387438139344369†L214-L229】</t>
        </is>
      </c>
      <c r="AE5" s="181" t="inlineStr">
        <is>
          <t>【170738571486764†L1208-L1216】; 【945608786527328†L190-L207】; 【387438139344369†L214-L229】</t>
        </is>
      </c>
      <c r="AF5" s="181" t="inlineStr">
        <is>
          <t>Mechanism preserved as qualified language where evidence is preclinical.</t>
        </is>
      </c>
      <c r="AG5" s="174" t="n">
        <v>2</v>
      </c>
      <c r="AH5" s="174" t="n">
        <v>1</v>
      </c>
      <c r="AI5" s="174" t="n">
        <v>3</v>
      </c>
      <c r="AJ5" s="174" t="n">
        <v>6</v>
      </c>
      <c r="AK5" t="inlineStr">
        <is>
          <t>Medium</t>
        </is>
      </c>
      <c r="AL5" t="inlineStr">
        <is>
          <t>Missing</t>
        </is>
      </c>
      <c r="AM5" t="inlineStr">
        <is>
          <t>Linked primary/secondary</t>
        </is>
      </c>
      <c r="AN5" s="175" t="n">
        <v>0.7142857142857143</v>
      </c>
      <c r="AO5" s="11" t="inlineStr">
        <is>
          <t>Near ready</t>
        </is>
      </c>
      <c r="AP5" t="inlineStr">
        <is>
          <t>Editorial</t>
        </is>
      </c>
      <c r="AR5" t="inlineStr">
        <is>
          <t>Editorial polish</t>
        </is>
      </c>
      <c r="AS5" t="inlineStr">
        <is>
          <t>Not started</t>
        </is>
      </c>
      <c r="AT5" t="inlineStr">
        <is>
          <t>Yes</t>
        </is>
      </c>
      <c r="AU5" t="inlineStr">
        <is>
          <t>No</t>
        </is>
      </c>
      <c r="AV5" t="inlineStr">
        <is>
          <t>Yes</t>
        </is>
      </c>
      <c r="AW5" t="inlineStr">
        <is>
          <t>Finalize remaining content gaps</t>
        </is>
      </c>
      <c r="AX5" s="181" t="n">
        <v>1</v>
      </c>
      <c r="AY5" s="181" t="n"/>
      <c r="AZ5" s="181" t="n"/>
      <c r="BA5" s="181">
        <f>IF($AR5="Published","Published",IF($AS5="Passed","Approved",IF($AR5="Ready for QA","QA review",IF($AR5="Source review","Source review",IF($AR5="Editorial polish","Editorial review","Review pending")))))</f>
        <v/>
      </c>
      <c r="BB5" s="181">
        <f>IF(OR($AR5="Published",$AS5="Passed",AND($AY5&lt;&gt;"",$BD5&lt;&gt;"")),"Approved",IF(OR($AY5&lt;&gt;"",$BC5&lt;&gt;"",$BF5&lt;&gt;""),"In review","Pending"))</f>
        <v/>
      </c>
      <c r="BC5" s="181" t="n"/>
      <c r="BD5" s="176" t="n"/>
      <c r="BE5" s="176">
        <f>IF(OR($AY5&lt;&gt;"",$AZ5&lt;&gt;"",$BC5&lt;&gt;"",$BF5&lt;&gt;""),TODAY(),"")</f>
        <v/>
      </c>
      <c r="BF5" s="181" t="n"/>
      <c r="BG5" s="181">
        <f>$B5&amp;"-R"&amp;$AX5</f>
        <v/>
      </c>
      <c r="BH5" s="181">
        <f>COUNTIF('Change History'!$C:$C,$B5)</f>
        <v/>
      </c>
    </row>
    <row r="6">
      <c r="A6" s="9" t="inlineStr">
        <is>
          <t>Ginger</t>
        </is>
      </c>
      <c r="B6" t="inlineStr">
        <is>
          <t>ginger</t>
        </is>
      </c>
      <c r="C6" t="inlineStr">
        <is>
          <t>Zingiber officinale</t>
        </is>
      </c>
      <c r="D6" t="inlineStr">
        <is>
          <t>herb</t>
        </is>
      </c>
      <c r="E6" t="inlineStr">
        <is>
          <t>rhizome</t>
        </is>
      </c>
      <c r="F6" t="inlineStr">
        <is>
          <t>unspecified</t>
        </is>
      </c>
      <c r="G6" t="inlineStr">
        <is>
          <t>ginger; Zingiber officinale</t>
        </is>
      </c>
      <c r="H6" t="inlineStr">
        <is>
          <t>Ginger does not occur in the wild; it is believed to have originated in Southeast Asia and is now cultivated across the humid tropics with India as the largest producer【418916103730052†L148-L163】.</t>
        </is>
      </c>
      <c r="I6" s="181" t="inlineStr">
        <is>
          <t>Ginger (Zingiber officinale) is a rhizome monograph focused on the unspecified used in herbal preparations. It is associated with Ginger does not occur in the wild; it is believed to have originated in Southeast Asia and is now cultivated across the humid tropics with India as the largest producer【418916103730052†L148-L163】. Ginger rhizomes contain phenolic constituents such as gingerols, shogaols, zingerone and paradols. Ginger is widely consumed as a food and supplement and is generally regarded as safe.</t>
        </is>
      </c>
      <c r="J6" s="181" t="inlineStr">
        <is>
          <t>Ginger is represented here as a monograph-style entry centered on the unspecified. Key reported compounds include [6]-gingerol; shogaols; zingerone; paradols. Typical preparation forms: The rhizome is used fresh, dried, pickled, preserved, candied or powdered. Supplements include encapsulated dried powders and extracts【418916103730052†L176-L189】. 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 Interaction profile: Ginger may increase the risk of bleeding when taken with anticoagulant or antiplatelet drugs and could lower blood glucose or blood pressure, potentiating antidiabetic or antihypertensive medications. Use caution or avoid in: Use cautiously in pregnancy, gallstone disease or bleeding disorders. Discontinue before surgery and avoid high‑dose supplements when taking anticoagulants.</t>
        </is>
      </c>
      <c r="K6" s="181" t="inlineStr">
        <is>
          <t>[6]-gingerol; shogaols; zingerone; paradols</t>
        </is>
      </c>
      <c r="L6" s="181" t="str"/>
      <c r="M6" s="181" t="inlineStr">
        <is>
          <t>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t>
        </is>
      </c>
      <c r="N6" s="181" t="inlineStr">
        <is>
          <t>anti-inflammatory; antioxidant; immunomodulatory</t>
        </is>
      </c>
      <c r="O6" s="181" t="str"/>
      <c r="P6" s="181" t="inlineStr">
        <is>
          <t>Ginger is widely consumed as a food and supplement and is generally regarded as safe. Research suggests it may help with mild nausea and menstrual cramps. Reported side effects at high doses include abdominal discomfort, heartburn, diarrhoea and irritation of the mouth or throat【799387966105800†L29-L56】. Clinical studies using up to 1 000 mg/day of dried powdered extract report adverse event rates similar to placebo【739669106228210†L96-L133】. The safety of high‑dose ginger during pregnancy has not been conclusively established.</t>
        </is>
      </c>
      <c r="Q6" s="181" t="inlineStr">
        <is>
          <t>Ginger may increase the risk of bleeding when taken with anticoagulant or antiplatelet drugs and could lower blood glucose or blood pressure, potentiating antidiabetic or antihypertensive medications.</t>
        </is>
      </c>
      <c r="R6" s="181" t="inlineStr">
        <is>
          <t>Use cautiously in pregnancy, gallstone disease or bleeding disorders. Discontinue before surgery and avoid high‑dose supplements when taking anticoagulants.</t>
        </is>
      </c>
      <c r="S6" s="181" t="inlineStr">
        <is>
          <t>The rhizome is used fresh, dried, pickled, preserved, candied or powdered. Supplements include encapsulated dried powders and extracts【418916103730052†L176-L189】.</t>
        </is>
      </c>
      <c r="T6" s="181" t="inlineStr">
        <is>
          <t>Typical adult dose is up to 1 000 mg/day of dried powdered extract for gastrointestinal complaints【739669106228210†L96-L133】.</t>
        </is>
      </c>
      <c r="U6" s="181" t="str"/>
      <c r="V6" s="181" t="str"/>
      <c r="W6" s="181" t="inlineStr">
        <is>
          <t>high</t>
        </is>
      </c>
      <c r="X6" s="181" t="inlineStr">
        <is>
          <t>schema-upgraded</t>
        </is>
      </c>
      <c r="Y6" s="181" t="inlineStr">
        <is>
          <t>【69571933386645†L153-L169】; 【69571933386645†L240-L249】; 【799387966105800†L29-L56】; 【739669106228210†L96-L133】; 【418916103730052†L148-L163】; 【418916103730052†L176-L189】</t>
        </is>
      </c>
      <c r="Z6" s="181" t="inlineStr">
        <is>
          <t>present</t>
        </is>
      </c>
      <c r="AA6" s="181" t="inlineStr">
        <is>
          <t>PubMed/PMC</t>
        </is>
      </c>
      <c r="AB6" s="181" t="inlineStr">
        <is>
          <t>【69571933386645†L153-L169】; 【69571933386645†L240-L249】; 【799387966105800†L29-L56】; 【739669106228210†L96-L133】; 【418916103730052†L148-L163】; 【418916103730052†L176-L189】</t>
        </is>
      </c>
      <c r="AC6" s="181" t="inlineStr">
        <is>
          <t>【69571933386645†L153-L169】; 【69571933386645†L240-L249】; 【799387966105800†L29-L56】; 【739669106228210†L96-L133】; 【418916103730052†L148-L163】; 【418916103730052†L176-L189】</t>
        </is>
      </c>
      <c r="AD6" s="181" t="inlineStr">
        <is>
          <t>【69571933386645†L153-L169】; 【69571933386645†L240-L249】; 【799387966105800†L29-L56】; 【739669106228210†L96-L133】; 【418916103730052†L148-L163】; 【418916103730052†L176-L189】</t>
        </is>
      </c>
      <c r="AE6" s="181" t="inlineStr">
        <is>
          <t>【69571933386645†L153-L169】; 【69571933386645†L240-L249】; 【799387966105800†L29-L56】; 【739669106228210†L96-L133】; 【418916103730052†L148-L163】; 【418916103730052†L176-L189】</t>
        </is>
      </c>
      <c r="AF6" s="181" t="inlineStr">
        <is>
          <t>Mechanism preserved as qualified language where evidence is preclinical.</t>
        </is>
      </c>
      <c r="AG6" s="174" t="n">
        <v>3</v>
      </c>
      <c r="AH6" s="174" t="n">
        <v>1</v>
      </c>
      <c r="AI6" s="174" t="n">
        <v>3</v>
      </c>
      <c r="AJ6" s="174" t="n">
        <v>7</v>
      </c>
      <c r="AK6" t="inlineStr">
        <is>
          <t>Medium</t>
        </is>
      </c>
      <c r="AL6" t="inlineStr">
        <is>
          <t>Present</t>
        </is>
      </c>
      <c r="AM6" t="inlineStr">
        <is>
          <t>Linked primary/secondary</t>
        </is>
      </c>
      <c r="AN6" s="175" t="n">
        <v>0.7857142857142857</v>
      </c>
      <c r="AO6" s="11" t="inlineStr">
        <is>
          <t>Near ready</t>
        </is>
      </c>
      <c r="AP6" t="inlineStr">
        <is>
          <t>Editorial</t>
        </is>
      </c>
      <c r="AR6" t="inlineStr">
        <is>
          <t>Editorial polish</t>
        </is>
      </c>
      <c r="AS6" t="inlineStr">
        <is>
          <t>Not started</t>
        </is>
      </c>
      <c r="AT6" t="inlineStr">
        <is>
          <t>Yes</t>
        </is>
      </c>
      <c r="AU6" t="inlineStr">
        <is>
          <t>No</t>
        </is>
      </c>
      <c r="AV6" t="inlineStr">
        <is>
          <t>Yes</t>
        </is>
      </c>
      <c r="AW6" t="inlineStr">
        <is>
          <t>Finalize remaining content gaps</t>
        </is>
      </c>
      <c r="AX6" s="181" t="n">
        <v>1</v>
      </c>
      <c r="AY6" s="181" t="n"/>
      <c r="AZ6" s="181" t="n"/>
      <c r="BA6" s="181">
        <f>IF($AR6="Published","Published",IF($AS6="Passed","Approved",IF($AR6="Ready for QA","QA review",IF($AR6="Source review","Source review",IF($AR6="Editorial polish","Editorial review","Review pending")))))</f>
        <v/>
      </c>
      <c r="BB6" s="181">
        <f>IF(OR($AR6="Published",$AS6="Passed",AND($AY6&lt;&gt;"",$BD6&lt;&gt;"")),"Approved",IF(OR($AY6&lt;&gt;"",$BC6&lt;&gt;"",$BF6&lt;&gt;""),"In review","Pending"))</f>
        <v/>
      </c>
      <c r="BC6" s="181" t="n"/>
      <c r="BD6" s="176" t="n"/>
      <c r="BE6" s="176">
        <f>IF(OR($AY6&lt;&gt;"",$AZ6&lt;&gt;"",$BC6&lt;&gt;"",$BF6&lt;&gt;""),TODAY(),"")</f>
        <v/>
      </c>
      <c r="BF6" s="181" t="n"/>
      <c r="BG6" s="181">
        <f>$B6&amp;"-R"&amp;$AX6</f>
        <v/>
      </c>
      <c r="BH6" s="181">
        <f>COUNTIF('Change History'!$C:$C,$B6)</f>
        <v/>
      </c>
    </row>
    <row r="7">
      <c r="A7" s="9" t="inlineStr">
        <is>
          <t>Ginkgo Biloba</t>
        </is>
      </c>
      <c r="B7" t="inlineStr">
        <is>
          <t>ginkgo-biloba</t>
        </is>
      </c>
      <c r="C7" t="inlineStr">
        <is>
          <t>Ginkgo biloba</t>
        </is>
      </c>
      <c r="D7" t="inlineStr">
        <is>
          <t>herb</t>
        </is>
      </c>
      <c r="E7" t="inlineStr">
        <is>
          <t>tree</t>
        </is>
      </c>
      <c r="F7" t="inlineStr">
        <is>
          <t>leaf</t>
        </is>
      </c>
      <c r="G7" t="inlineStr">
        <is>
          <t>ginkgo; maidenhair tree</t>
        </is>
      </c>
      <c r="H7" t="inlineStr">
        <is>
          <t>Native to China; cultivated worldwide as an ornamental and medicinal tree.</t>
        </is>
      </c>
      <c r="I7" s="181" t="inlineStr">
        <is>
          <t>Ginkgo Biloba (Ginkgo biloba) is a tree monograph focused on the leaf used in herbal preparations. It is associated with Native to China; cultivated worldwide as an ornamental and medicinal tree. The standardized leaf extract (EGb 761) contains terpene lactones and flavone glycosides that modulate multiple neurotransmitter systems and platelet-activating factor pathways. Appears safe at recommended doses, but fresh seeds are toxic.</t>
        </is>
      </c>
      <c r="J7" s="181" t="inlineStr">
        <is>
          <t>Ginkgo Biloba is represented here as a monograph-style entry centered on the leaf. Key reported compounds include ginkgolides A, B, C, J; bilobalide; ginkgetin; bilobetin; sciadopitysin. Typical preparation forms: Standardized leaf extract (EGb 761). The standardized leaf extract (EGb 761) contains terpene lactones and flavone glycosides that modulate multiple neurotransmitter systems and platelet-activating factor pathways. Interaction profile: May potentiate NSAIDs, anticoagulants, antiplatelets, and interact with antidepressants and antidiabetic drugs. Use caution or avoid in: Pregnancy, breastfeeding, bleeding disorders, epilepsy, planned surgery.</t>
        </is>
      </c>
      <c r="K7" s="181" t="inlineStr">
        <is>
          <t>ginkgolides A, B, C, J; bilobalide; ginkgetin; bilobetin; sciadopitysin</t>
        </is>
      </c>
      <c r="L7" s="181" t="inlineStr">
        <is>
          <t>ginkgolides; bilobalide</t>
        </is>
      </c>
      <c r="M7" s="181" t="inlineStr">
        <is>
          <t>The standardized leaf extract (EGb 761) contains terpene lactones and flavone glycosides that modulate multiple neurotransmitter systems and platelet-activating factor pathways.</t>
        </is>
      </c>
      <c r="N7" s="181" t="inlineStr">
        <is>
          <t>dopaminergic; serotonergic; cholinergic; antioxidant</t>
        </is>
      </c>
      <c r="O7" s="181" t="inlineStr">
        <is>
          <t>human + preclinical</t>
        </is>
      </c>
      <c r="P7" s="181" t="inlineStr">
        <is>
          <t>Appears safe at recommended doses, but fresh seeds are toxic. May increase bleeding risk and lower seizure threshold.</t>
        </is>
      </c>
      <c r="Q7" s="181" t="inlineStr">
        <is>
          <t>May potentiate NSAIDs, anticoagulants, antiplatelets, and interact with antidepressants and antidiabetic drugs.</t>
        </is>
      </c>
      <c r="R7" s="181" t="inlineStr">
        <is>
          <t>Pregnancy, breastfeeding, bleeding disorders, epilepsy, planned surgery.</t>
        </is>
      </c>
      <c r="S7" s="181" t="inlineStr">
        <is>
          <t>Standardized leaf extract (EGb 761).</t>
        </is>
      </c>
      <c r="T7" s="181" t="inlineStr">
        <is>
          <t>120–240 mg/day standardized extract</t>
        </is>
      </c>
      <c r="U7" s="181" t="inlineStr">
        <is>
          <t>Typically 24% flavonoid glycosides and 6% terpene lactones.</t>
        </is>
      </c>
      <c r="V7" s="181" t="str"/>
      <c r="W7" s="181" t="inlineStr">
        <is>
          <t>high</t>
        </is>
      </c>
      <c r="X7" s="181" t="inlineStr">
        <is>
          <t>schema-upgraded</t>
        </is>
      </c>
      <c r="Y7" s="181" t="inlineStr">
        <is>
          <t>Recovered from prior batch output in this conversation</t>
        </is>
      </c>
      <c r="Z7" s="181" t="inlineStr">
        <is>
          <t>needs-source-normalization</t>
        </is>
      </c>
      <c r="AA7" s="181" t="inlineStr">
        <is>
          <t>conversation-recovered</t>
        </is>
      </c>
      <c r="AB7" s="181" t="inlineStr">
        <is>
          <t>Recovered from prior batch output in this conversation</t>
        </is>
      </c>
      <c r="AC7" s="181" t="inlineStr">
        <is>
          <t>Recovered from prior batch output in this conversation</t>
        </is>
      </c>
      <c r="AD7" s="181" t="inlineStr">
        <is>
          <t>Recovered from prior batch output in this conversation</t>
        </is>
      </c>
      <c r="AE7" s="181" t="inlineStr">
        <is>
          <t>Recovered from prior batch output in this conversation</t>
        </is>
      </c>
      <c r="AF7" s="181" t="inlineStr">
        <is>
          <t>Keep seed toxicity distinct from leaf-extract use.</t>
        </is>
      </c>
      <c r="AG7" s="174" t="n">
        <v>3</v>
      </c>
      <c r="AH7" s="174" t="n">
        <v>3</v>
      </c>
      <c r="AI7" s="174" t="n">
        <v>1</v>
      </c>
      <c r="AJ7" s="174" t="n">
        <v>7</v>
      </c>
      <c r="AK7" t="inlineStr">
        <is>
          <t>High</t>
        </is>
      </c>
      <c r="AL7" t="inlineStr">
        <is>
          <t>Present</t>
        </is>
      </c>
      <c r="AM7" t="inlineStr">
        <is>
          <t>Conversation-recovered</t>
        </is>
      </c>
      <c r="AN7" s="175" t="n">
        <v>1</v>
      </c>
      <c r="AO7" s="11" t="inlineStr">
        <is>
          <t>Near ready</t>
        </is>
      </c>
      <c r="AP7" t="inlineStr">
        <is>
          <t>Research</t>
        </is>
      </c>
      <c r="AR7" t="inlineStr">
        <is>
          <t>Source review</t>
        </is>
      </c>
      <c r="AS7" t="inlineStr">
        <is>
          <t>Not started</t>
        </is>
      </c>
      <c r="AT7" t="inlineStr">
        <is>
          <t>No</t>
        </is>
      </c>
      <c r="AU7" t="inlineStr">
        <is>
          <t>No</t>
        </is>
      </c>
      <c r="AV7" t="inlineStr">
        <is>
          <t>Yes</t>
        </is>
      </c>
      <c r="AW7" t="inlineStr">
        <is>
          <t>Normalize source record</t>
        </is>
      </c>
      <c r="AX7" s="181" t="n">
        <v>1</v>
      </c>
      <c r="AY7" s="181" t="n"/>
      <c r="AZ7" s="181" t="n"/>
      <c r="BA7" s="181">
        <f>IF($AR7="Published","Published",IF($AS7="Passed","Approved",IF($AR7="Ready for QA","QA review",IF($AR7="Source review","Source review",IF($AR7="Editorial polish","Editorial review","Review pending")))))</f>
        <v/>
      </c>
      <c r="BB7" s="181">
        <f>IF(OR($AR7="Published",$AS7="Passed",AND($AY7&lt;&gt;"",$BD7&lt;&gt;"")),"Approved",IF(OR($AY7&lt;&gt;"",$BC7&lt;&gt;"",$BF7&lt;&gt;""),"In review","Pending"))</f>
        <v/>
      </c>
      <c r="BC7" s="181" t="n"/>
      <c r="BD7" s="176" t="n"/>
      <c r="BE7" s="176">
        <f>IF(OR($AY7&lt;&gt;"",$AZ7&lt;&gt;"",$BC7&lt;&gt;"",$BF7&lt;&gt;""),TODAY(),"")</f>
        <v/>
      </c>
      <c r="BF7" s="181" t="n"/>
      <c r="BG7" s="181">
        <f>$B7&amp;"-R"&amp;$AX7</f>
        <v/>
      </c>
      <c r="BH7" s="181">
        <f>COUNTIF('Change History'!$C:$C,$B7)</f>
        <v/>
      </c>
    </row>
    <row r="8">
      <c r="A8" s="9" t="inlineStr">
        <is>
          <t>Holy Basil</t>
        </is>
      </c>
      <c r="B8" t="inlineStr">
        <is>
          <t>holy-basil</t>
        </is>
      </c>
      <c r="C8" t="inlineStr">
        <is>
          <t>Ocimum tenuiflorum</t>
        </is>
      </c>
      <c r="D8" t="inlineStr">
        <is>
          <t>herb</t>
        </is>
      </c>
      <c r="E8" t="inlineStr">
        <is>
          <t>herb</t>
        </is>
      </c>
      <c r="F8" t="inlineStr">
        <is>
          <t>leaf; aerial parts</t>
        </is>
      </c>
      <c r="H8" t="inlineStr">
        <is>
          <t>India, Southeast Asia</t>
        </is>
      </c>
      <c r="I8" s="181" t="inlineStr">
        <is>
          <t>Holy Basil (Ocimum tenuiflorum) is a herb monograph focused on the leaf; aerial parts used in herbal preparations. It is associated with India, Southeast Asia. Adaptogenic; anti-inflammatory; modulates cortisol and stress pathways. Generally safe; possible mild GI upset.</t>
        </is>
      </c>
      <c r="J8" s="181" t="inlineStr">
        <is>
          <t>Holy Basil is represented here as a monograph-style entry centered on the leaf; aerial parts. Key reported compounds include eugenol; ursolic acid; rosmarinic acid. Typical preparation forms: Leaf extracts, teas. Adaptogenic; anti-inflammatory; modulates cortisol and stress pathways. Interaction profile: Anticoagulants, antidiabetic drugs. Use caution or avoid in: Pregnancy (limited data).</t>
        </is>
      </c>
      <c r="K8" s="181" t="inlineStr">
        <is>
          <t>eugenol; ursolic acid; rosmarinic acid</t>
        </is>
      </c>
      <c r="L8" s="181" t="inlineStr">
        <is>
          <t>eugenol; ursolic acid</t>
        </is>
      </c>
      <c r="M8" s="181" t="inlineStr">
        <is>
          <t>Adaptogenic; anti-inflammatory; modulates cortisol and stress pathways</t>
        </is>
      </c>
      <c r="N8" s="181" t="inlineStr">
        <is>
          <t>adaptogen; anti-inflammatory; antioxidant</t>
        </is>
      </c>
      <c r="O8" s="181" t="inlineStr">
        <is>
          <t>preclinical + limited human</t>
        </is>
      </c>
      <c r="P8" s="181" t="inlineStr">
        <is>
          <t>Generally safe; possible mild GI upset</t>
        </is>
      </c>
      <c r="Q8" s="181" t="inlineStr">
        <is>
          <t>Anticoagulants, antidiabetic drugs</t>
        </is>
      </c>
      <c r="R8" s="181" t="inlineStr">
        <is>
          <t>Pregnancy (limited data)</t>
        </is>
      </c>
      <c r="S8" s="181" t="inlineStr">
        <is>
          <t>Leaf extracts, teas</t>
        </is>
      </c>
      <c r="T8" s="181" t="str"/>
      <c r="U8" s="181" t="inlineStr">
        <is>
          <t>Eugenol or ursolic acid content</t>
        </is>
      </c>
      <c r="V8" s="181" t="str"/>
      <c r="W8" s="181" t="inlineStr">
        <is>
          <t>medium</t>
        </is>
      </c>
      <c r="X8" s="181" t="inlineStr">
        <is>
          <t>schema-upgraded</t>
        </is>
      </c>
      <c r="Y8" s="181" t="inlineStr">
        <is>
          <t>NCCIH; PubMed</t>
        </is>
      </c>
      <c r="Z8" s="181" t="inlineStr">
        <is>
          <t>present</t>
        </is>
      </c>
      <c r="AA8" s="181" t="inlineStr">
        <is>
          <t>NCCIH; PubMed/PMC</t>
        </is>
      </c>
      <c r="AB8" s="181" t="inlineStr">
        <is>
          <t>NCCIH; PubMed</t>
        </is>
      </c>
      <c r="AC8" s="181" t="inlineStr">
        <is>
          <t>NCCIH; PubMed</t>
        </is>
      </c>
      <c r="AD8" s="181" t="inlineStr">
        <is>
          <t>NCCIH; PubMed</t>
        </is>
      </c>
      <c r="AE8" s="181" t="inlineStr">
        <is>
          <t>NCCIH; PubMed</t>
        </is>
      </c>
      <c r="AF8" s="181" t="inlineStr">
        <is>
          <t>Carried forward from batch CSV; needs source-linked monograph expansion.</t>
        </is>
      </c>
      <c r="AG8" s="174" t="n">
        <v>2</v>
      </c>
      <c r="AH8" s="174" t="n">
        <v>3</v>
      </c>
      <c r="AI8" s="174" t="n">
        <v>3</v>
      </c>
      <c r="AJ8" s="174" t="n">
        <v>8</v>
      </c>
      <c r="AK8" t="inlineStr">
        <is>
          <t>Medium</t>
        </is>
      </c>
      <c r="AL8" t="inlineStr">
        <is>
          <t>Missing</t>
        </is>
      </c>
      <c r="AM8" t="inlineStr">
        <is>
          <t>Linked primary/secondary</t>
        </is>
      </c>
      <c r="AN8" s="175" t="n">
        <v>0.9285714285714286</v>
      </c>
      <c r="AO8" s="11" t="inlineStr">
        <is>
          <t>Ready</t>
        </is>
      </c>
      <c r="AP8" t="inlineStr">
        <is>
          <t>Editorial</t>
        </is>
      </c>
      <c r="AR8" t="inlineStr">
        <is>
          <t>Ready for QA</t>
        </is>
      </c>
      <c r="AS8" t="inlineStr">
        <is>
          <t>Not started</t>
        </is>
      </c>
      <c r="AT8" t="inlineStr">
        <is>
          <t>Yes</t>
        </is>
      </c>
      <c r="AU8" t="inlineStr">
        <is>
          <t>Yes</t>
        </is>
      </c>
      <c r="AV8" t="inlineStr">
        <is>
          <t>Yes</t>
        </is>
      </c>
      <c r="AX8" s="181" t="n">
        <v>1</v>
      </c>
      <c r="AY8" s="181" t="n"/>
      <c r="AZ8" s="181" t="n"/>
      <c r="BA8" s="181">
        <f>IF($AR8="Published","Published",IF($AS8="Passed","Approved",IF($AR8="Ready for QA","QA review",IF($AR8="Source review","Source review",IF($AR8="Editorial polish","Editorial review","Review pending")))))</f>
        <v/>
      </c>
      <c r="BB8" s="181">
        <f>IF(OR($AR8="Published",$AS8="Passed",AND($AY8&lt;&gt;"",$BD8&lt;&gt;"")),"Approved",IF(OR($AY8&lt;&gt;"",$BC8&lt;&gt;"",$BF8&lt;&gt;""),"In review","Pending"))</f>
        <v/>
      </c>
      <c r="BC8" s="181" t="n"/>
      <c r="BD8" s="176" t="n"/>
      <c r="BE8" s="176">
        <f>IF(OR($AY8&lt;&gt;"",$AZ8&lt;&gt;"",$BC8&lt;&gt;"",$BF8&lt;&gt;""),TODAY(),"")</f>
        <v/>
      </c>
      <c r="BF8" s="181" t="n"/>
      <c r="BG8" s="181">
        <f>$B8&amp;"-R"&amp;$AX8</f>
        <v/>
      </c>
      <c r="BH8" s="181">
        <f>COUNTIF('Change History'!$C:$C,$B8)</f>
        <v/>
      </c>
    </row>
    <row r="9">
      <c r="A9" s="9" t="inlineStr">
        <is>
          <t>Kava</t>
        </is>
      </c>
      <c r="B9" t="inlineStr">
        <is>
          <t>kava</t>
        </is>
      </c>
      <c r="C9" t="inlineStr">
        <is>
          <t>Piper methysticum</t>
        </is>
      </c>
      <c r="D9" t="inlineStr">
        <is>
          <t>herb</t>
        </is>
      </c>
      <c r="E9" t="inlineStr">
        <is>
          <t>shrub</t>
        </is>
      </c>
      <c r="F9" t="inlineStr">
        <is>
          <t>root; rhizome</t>
        </is>
      </c>
      <c r="G9" t="inlineStr">
        <is>
          <t>kava; kava-kava; awa; yaqona</t>
        </is>
      </c>
      <c r="H9" t="inlineStr">
        <is>
          <t>Indigenous to the South Pacific islands (Polynesia, Melanesia and Micronesia).</t>
        </is>
      </c>
      <c r="I9" s="181" t="inlineStr">
        <is>
          <t>Kava (Piper methysticum) is a shrub monograph focused on the root; rhizome used in herbal preparations. It is associated with Indigenous to the South Pacific islands (Polynesia, Melanesia and Micronesia). Kavalactones modulate GABA-A receptors and ion channels, producing anxiolytic and sedative effects without classical benzodiazepine-site binding. Rare but serious liver injury has been reported, especially with nontraditional extracts or concurrent alcohol/hepatotoxic drug use.</t>
        </is>
      </c>
      <c r="J9" s="181" t="inlineStr">
        <is>
          <t>Kava is represented here as a monograph-style entry centered on the root; rhizome. Key reported compounds include kavain; dihydrokavain; methysticin; dihydromethysticin; yangonin; desmethoxyyangonin; flavokavain A/B/C. Typical preparation forms: Traditional aqueous root beverage; modern standardized root extracts. Kavalactones modulate GABA-A receptors and ion channels, producing anxiolytic and sedative effects without classical benzodiazepine-site binding. Interaction profile: Additive sedation with CNS depressants and alcohol; possible hepatic enzyme interactions. Use caution or avoid in: Liver disease, pregnancy, breastfeeding, concurrent CNS depressants or hepatotoxic drugs.</t>
        </is>
      </c>
      <c r="K9" s="181" t="inlineStr">
        <is>
          <t>kavain; dihydrokavain; methysticin; dihydromethysticin; yangonin; desmethoxyyangonin; flavokavain A/B/C</t>
        </is>
      </c>
      <c r="L9" s="181" t="inlineStr">
        <is>
          <t>total kavalactones</t>
        </is>
      </c>
      <c r="M9" s="181" t="inlineStr">
        <is>
          <t>Kavalactones modulate GABA-A receptors and ion channels, producing anxiolytic and sedative effects without classical benzodiazepine-site binding.</t>
        </is>
      </c>
      <c r="N9" s="181" t="inlineStr">
        <is>
          <t>gabaergic</t>
        </is>
      </c>
      <c r="O9" s="181" t="inlineStr">
        <is>
          <t>human + preclinical</t>
        </is>
      </c>
      <c r="P9" s="181" t="inlineStr">
        <is>
          <t>Rare but serious liver injury has been reported, especially with nontraditional extracts or concurrent alcohol/hepatotoxic drug use.</t>
        </is>
      </c>
      <c r="Q9" s="181" t="inlineStr">
        <is>
          <t>Additive sedation with CNS depressants and alcohol; possible hepatic enzyme interactions.</t>
        </is>
      </c>
      <c r="R9" s="181" t="inlineStr">
        <is>
          <t>Liver disease, pregnancy, breastfeeding, concurrent CNS depressants or hepatotoxic drugs.</t>
        </is>
      </c>
      <c r="S9" s="181" t="inlineStr">
        <is>
          <t>Traditional aqueous root beverage; modern standardized root extracts.</t>
        </is>
      </c>
      <c r="T9" s="181" t="inlineStr">
        <is>
          <t>~250 mg/day total kavalactones upper practical limit</t>
        </is>
      </c>
      <c r="U9" s="181" t="inlineStr">
        <is>
          <t>Standardized to kavalactone content.</t>
        </is>
      </c>
      <c r="V9" s="181" t="inlineStr">
        <is>
          <t>Avoid stems/leaves; extraction method matters.</t>
        </is>
      </c>
      <c r="W9" s="181" t="inlineStr">
        <is>
          <t>medium</t>
        </is>
      </c>
      <c r="X9" s="181" t="inlineStr">
        <is>
          <t>schema-upgraded</t>
        </is>
      </c>
      <c r="Y9" s="181" t="inlineStr">
        <is>
          <t>Recovered from prior batch output in this conversation</t>
        </is>
      </c>
      <c r="Z9" s="181" t="inlineStr">
        <is>
          <t>needs-source-normalization</t>
        </is>
      </c>
      <c r="AA9" s="181" t="inlineStr">
        <is>
          <t>conversation-recovered</t>
        </is>
      </c>
      <c r="AB9" s="181" t="inlineStr">
        <is>
          <t>Recovered from prior batch output in this conversation</t>
        </is>
      </c>
      <c r="AC9" s="181" t="inlineStr">
        <is>
          <t>Recovered from prior batch output in this conversation</t>
        </is>
      </c>
      <c r="AD9" s="181" t="inlineStr">
        <is>
          <t>Recovered from prior batch output in this conversation</t>
        </is>
      </c>
      <c r="AE9" s="181" t="inlineStr">
        <is>
          <t>Recovered from prior batch output in this conversation</t>
        </is>
      </c>
      <c r="AF9" s="181" t="inlineStr">
        <is>
          <t>Separate traditional aqueous prep from solvent extracts.</t>
        </is>
      </c>
      <c r="AG9" s="174" t="n">
        <v>2</v>
      </c>
      <c r="AH9" s="174" t="n">
        <v>3</v>
      </c>
      <c r="AI9" s="174" t="n">
        <v>1</v>
      </c>
      <c r="AJ9" s="174" t="n">
        <v>6</v>
      </c>
      <c r="AK9" t="inlineStr">
        <is>
          <t>High</t>
        </is>
      </c>
      <c r="AL9" t="inlineStr">
        <is>
          <t>Present</t>
        </is>
      </c>
      <c r="AM9" t="inlineStr">
        <is>
          <t>Conversation-recovered</t>
        </is>
      </c>
      <c r="AN9" s="175" t="n">
        <v>1</v>
      </c>
      <c r="AO9" s="11" t="inlineStr">
        <is>
          <t>Near ready</t>
        </is>
      </c>
      <c r="AP9" t="inlineStr">
        <is>
          <t>Research</t>
        </is>
      </c>
      <c r="AR9" t="inlineStr">
        <is>
          <t>Source review</t>
        </is>
      </c>
      <c r="AS9" t="inlineStr">
        <is>
          <t>Not started</t>
        </is>
      </c>
      <c r="AT9" t="inlineStr">
        <is>
          <t>No</t>
        </is>
      </c>
      <c r="AU9" t="inlineStr">
        <is>
          <t>No</t>
        </is>
      </c>
      <c r="AV9" t="inlineStr">
        <is>
          <t>Yes</t>
        </is>
      </c>
      <c r="AW9" t="inlineStr">
        <is>
          <t>Normalize source record</t>
        </is>
      </c>
      <c r="AX9" s="181" t="n">
        <v>1</v>
      </c>
      <c r="AY9" s="181" t="n"/>
      <c r="AZ9" s="181" t="n"/>
      <c r="BA9" s="181">
        <f>IF($AR9="Published","Published",IF($AS9="Passed","Approved",IF($AR9="Ready for QA","QA review",IF($AR9="Source review","Source review",IF($AR9="Editorial polish","Editorial review","Review pending")))))</f>
        <v/>
      </c>
      <c r="BB9" s="181">
        <f>IF(OR($AR9="Published",$AS9="Passed",AND($AY9&lt;&gt;"",$BD9&lt;&gt;"")),"Approved",IF(OR($AY9&lt;&gt;"",$BC9&lt;&gt;"",$BF9&lt;&gt;""),"In review","Pending"))</f>
        <v/>
      </c>
      <c r="BC9" s="181" t="n"/>
      <c r="BD9" s="176" t="n"/>
      <c r="BE9" s="176">
        <f>IF(OR($AY9&lt;&gt;"",$AZ9&lt;&gt;"",$BC9&lt;&gt;"",$BF9&lt;&gt;""),TODAY(),"")</f>
        <v/>
      </c>
      <c r="BF9" s="181" t="n"/>
      <c r="BG9" s="181">
        <f>$B9&amp;"-R"&amp;$AX9</f>
        <v/>
      </c>
      <c r="BH9" s="181">
        <f>COUNTIF('Change History'!$C:$C,$B9)</f>
        <v/>
      </c>
    </row>
    <row r="10">
      <c r="A10" s="9" t="inlineStr">
        <is>
          <t>Lemon Balm</t>
        </is>
      </c>
      <c r="B10" t="inlineStr">
        <is>
          <t>lemon-balm</t>
        </is>
      </c>
      <c r="C10" t="inlineStr">
        <is>
          <t>Melissa officinalis</t>
        </is>
      </c>
      <c r="D10" t="inlineStr">
        <is>
          <t>herb</t>
        </is>
      </c>
      <c r="E10" t="inlineStr">
        <is>
          <t>herb</t>
        </is>
      </c>
      <c r="F10" t="inlineStr">
        <is>
          <t>leaf; aerial parts</t>
        </is>
      </c>
      <c r="H10" t="inlineStr">
        <is>
          <t>Europe, Mediterranean</t>
        </is>
      </c>
      <c r="I10" s="181" t="inlineStr">
        <is>
          <t>Lemon Balm (Melissa officinalis) is a herb monograph focused on the leaf; aerial parts used in herbal preparations. It is associated with Europe, Mediterranean. GABAergic (GABA transaminase inhibition); mild cholinergic activity. Generally safe; mild sedation possible.</t>
        </is>
      </c>
      <c r="J10" s="181" t="inlineStr">
        <is>
          <t>Lemon Balm is represented here as a monograph-style entry centered on the leaf; aerial parts. Key reported compounds include rosmarinic acid; citral; citronellal; linalool; flavonoids. Typical preparation forms: Leaf extracts, teas, tinctures. GABAergic (GABA transaminase inhibition); mild cholinergic activity. Interaction profile: Sedatives, thyroid medications. Use caution or avoid in: Hypothyroidism (caution).</t>
        </is>
      </c>
      <c r="K10" s="181" t="inlineStr">
        <is>
          <t>rosmarinic acid; citral; citronellal; linalool; flavonoids</t>
        </is>
      </c>
      <c r="L10" s="181" t="inlineStr">
        <is>
          <t>rosmarinic acid</t>
        </is>
      </c>
      <c r="M10" s="181" t="inlineStr">
        <is>
          <t>GABAergic (GABA transaminase inhibition); mild cholinergic activity</t>
        </is>
      </c>
      <c r="N10" s="181" t="inlineStr">
        <is>
          <t>gabaergic; cholinergic; antioxidant</t>
        </is>
      </c>
      <c r="O10" s="181" t="inlineStr">
        <is>
          <t>preclinical + limited human</t>
        </is>
      </c>
      <c r="P10" s="181" t="inlineStr">
        <is>
          <t>Generally safe; mild sedation possible</t>
        </is>
      </c>
      <c r="Q10" s="181" t="inlineStr">
        <is>
          <t>Sedatives, thyroid medications</t>
        </is>
      </c>
      <c r="R10" s="181" t="inlineStr">
        <is>
          <t>Hypothyroidism (caution)</t>
        </is>
      </c>
      <c r="S10" s="181" t="inlineStr">
        <is>
          <t>Leaf extracts, teas, tinctures</t>
        </is>
      </c>
      <c r="T10" s="181" t="str"/>
      <c r="U10" s="181" t="inlineStr">
        <is>
          <t>Rosmarinic acid content</t>
        </is>
      </c>
      <c r="V10" s="181" t="str"/>
      <c r="W10" s="181" t="inlineStr">
        <is>
          <t>medium</t>
        </is>
      </c>
      <c r="X10" s="181" t="inlineStr">
        <is>
          <t>schema-upgraded</t>
        </is>
      </c>
      <c r="Y10" s="181" t="inlineStr">
        <is>
          <t>EMA herbal monograph; NCCIH</t>
        </is>
      </c>
      <c r="Z10" s="181" t="inlineStr">
        <is>
          <t>present</t>
        </is>
      </c>
      <c r="AA10" s="181" t="inlineStr">
        <is>
          <t>NCCIH; EMA</t>
        </is>
      </c>
      <c r="AB10" s="181" t="inlineStr">
        <is>
          <t>EMA herbal monograph; NCCIH</t>
        </is>
      </c>
      <c r="AC10" s="181" t="inlineStr">
        <is>
          <t>EMA herbal monograph; NCCIH</t>
        </is>
      </c>
      <c r="AD10" s="181" t="inlineStr">
        <is>
          <t>EMA herbal monograph; NCCIH</t>
        </is>
      </c>
      <c r="AE10" s="181" t="inlineStr">
        <is>
          <t>EMA herbal monograph; NCCIH</t>
        </is>
      </c>
      <c r="AF10" s="181" t="inlineStr">
        <is>
          <t>Carried forward from batch CSV; needs source-linked monograph expansion.</t>
        </is>
      </c>
      <c r="AG10" s="174" t="n">
        <v>2</v>
      </c>
      <c r="AH10" s="174" t="n">
        <v>3</v>
      </c>
      <c r="AI10" s="174" t="n">
        <v>3</v>
      </c>
      <c r="AJ10" s="174" t="n">
        <v>8</v>
      </c>
      <c r="AK10" t="inlineStr">
        <is>
          <t>Medium</t>
        </is>
      </c>
      <c r="AL10" t="inlineStr">
        <is>
          <t>Missing</t>
        </is>
      </c>
      <c r="AM10" t="inlineStr">
        <is>
          <t>Linked primary/secondary</t>
        </is>
      </c>
      <c r="AN10" s="175" t="n">
        <v>0.9285714285714286</v>
      </c>
      <c r="AO10" s="11" t="inlineStr">
        <is>
          <t>Ready</t>
        </is>
      </c>
      <c r="AP10" t="inlineStr">
        <is>
          <t>Editorial</t>
        </is>
      </c>
      <c r="AR10" t="inlineStr">
        <is>
          <t>Ready for QA</t>
        </is>
      </c>
      <c r="AS10" t="inlineStr">
        <is>
          <t>Not started</t>
        </is>
      </c>
      <c r="AT10" t="inlineStr">
        <is>
          <t>Yes</t>
        </is>
      </c>
      <c r="AU10" t="inlineStr">
        <is>
          <t>Yes</t>
        </is>
      </c>
      <c r="AV10" t="inlineStr">
        <is>
          <t>Yes</t>
        </is>
      </c>
      <c r="AX10" s="181" t="n">
        <v>1</v>
      </c>
      <c r="AY10" s="181" t="n"/>
      <c r="AZ10" s="181" t="n"/>
      <c r="BA10" s="181">
        <f>IF($AR10="Published","Published",IF($AS10="Passed","Approved",IF($AR10="Ready for QA","QA review",IF($AR10="Source review","Source review",IF($AR10="Editorial polish","Editorial review","Review pending")))))</f>
        <v/>
      </c>
      <c r="BB10" s="181">
        <f>IF(OR($AR10="Published",$AS10="Passed",AND($AY10&lt;&gt;"",$BD10&lt;&gt;"")),"Approved",IF(OR($AY10&lt;&gt;"",$BC10&lt;&gt;"",$BF10&lt;&gt;""),"In review","Pending"))</f>
        <v/>
      </c>
      <c r="BC10" s="181" t="n"/>
      <c r="BD10" s="176" t="n"/>
      <c r="BE10" s="176">
        <f>IF(OR($AY10&lt;&gt;"",$AZ10&lt;&gt;"",$BC10&lt;&gt;"",$BF10&lt;&gt;""),TODAY(),"")</f>
        <v/>
      </c>
      <c r="BF10" s="181" t="n"/>
      <c r="BG10" s="181">
        <f>$B10&amp;"-R"&amp;$AX10</f>
        <v/>
      </c>
      <c r="BH10" s="181">
        <f>COUNTIF('Change History'!$C:$C,$B10)</f>
        <v/>
      </c>
    </row>
    <row r="11">
      <c r="A11" s="9" t="inlineStr">
        <is>
          <t>Maca</t>
        </is>
      </c>
      <c r="B11" t="inlineStr">
        <is>
          <t>maca</t>
        </is>
      </c>
      <c r="C11" t="inlineStr">
        <is>
          <t>Lepidium meyenii</t>
        </is>
      </c>
      <c r="D11" t="inlineStr">
        <is>
          <t>herb</t>
        </is>
      </c>
      <c r="E11" t="inlineStr">
        <is>
          <t>root</t>
        </is>
      </c>
      <c r="F11" t="inlineStr">
        <is>
          <t>root; hypocotyl</t>
        </is>
      </c>
      <c r="H11" t="inlineStr">
        <is>
          <t>Peru (Andes)</t>
        </is>
      </c>
      <c r="I11" s="181" t="inlineStr">
        <is>
          <t>Maca (Lepidium meyenii) is a root monograph focused on the root; hypocotyl used in herbal preparations. It is associated with Peru (Andes). May influence endocrine signaling and energy metabolism (unclear mechanism). Generally safe; mild GI upset possible.</t>
        </is>
      </c>
      <c r="J11" s="181" t="inlineStr">
        <is>
          <t>Maca is represented here as a monograph-style entry centered on the root; hypocotyl. Key reported compounds include macamides; macaenes; glucosinolates. Typical preparation forms: Dried root powder, extracts. May influence endocrine signaling and energy metabolism (unclear mechanism). Interaction profile: Limited data. Use caution or avoid in: Hormone-sensitive conditions (caution).</t>
        </is>
      </c>
      <c r="K11" s="181" t="inlineStr">
        <is>
          <t>macamides; macaenes; glucosinolates</t>
        </is>
      </c>
      <c r="L11" s="181" t="inlineStr">
        <is>
          <t>macamides</t>
        </is>
      </c>
      <c r="M11" s="181" t="inlineStr">
        <is>
          <t>May influence endocrine signaling and energy metabolism (unclear mechanism)</t>
        </is>
      </c>
      <c r="N11" s="181" t="inlineStr">
        <is>
          <t>adaptogen; hormonal</t>
        </is>
      </c>
      <c r="O11" s="181" t="inlineStr">
        <is>
          <t>preclinical + limited human</t>
        </is>
      </c>
      <c r="P11" s="181" t="inlineStr">
        <is>
          <t>Generally safe; mild GI upset possible</t>
        </is>
      </c>
      <c r="Q11" s="181" t="inlineStr">
        <is>
          <t>Limited data</t>
        </is>
      </c>
      <c r="R11" s="181" t="inlineStr">
        <is>
          <t>Hormone-sensitive conditions (caution)</t>
        </is>
      </c>
      <c r="S11" s="181" t="inlineStr">
        <is>
          <t>Dried root powder, extracts</t>
        </is>
      </c>
      <c r="T11" s="181" t="str"/>
      <c r="U11" s="181" t="str"/>
      <c r="V11" s="181" t="str"/>
      <c r="W11" s="181" t="inlineStr">
        <is>
          <t>medium</t>
        </is>
      </c>
      <c r="X11" s="181" t="inlineStr">
        <is>
          <t>schema-upgraded</t>
        </is>
      </c>
      <c r="Y11" s="181" t="inlineStr">
        <is>
          <t>PubMed; NIH</t>
        </is>
      </c>
      <c r="Z11" s="181" t="inlineStr">
        <is>
          <t>present</t>
        </is>
      </c>
      <c r="AA11" s="181" t="inlineStr">
        <is>
          <t>NIH/ODS; PubMed/PMC</t>
        </is>
      </c>
      <c r="AB11" s="181" t="inlineStr">
        <is>
          <t>PubMed; NIH</t>
        </is>
      </c>
      <c r="AC11" s="181" t="inlineStr">
        <is>
          <t>PubMed; NIH</t>
        </is>
      </c>
      <c r="AD11" s="181" t="inlineStr">
        <is>
          <t>PubMed; NIH</t>
        </is>
      </c>
      <c r="AE11" s="181" t="inlineStr">
        <is>
          <t>PubMed; NIH</t>
        </is>
      </c>
      <c r="AF11" s="181" t="inlineStr">
        <is>
          <t>Carried forward from batch CSV; needs source-linked monograph expansion.</t>
        </is>
      </c>
      <c r="AG11" s="174" t="n">
        <v>2</v>
      </c>
      <c r="AH11" s="174" t="n">
        <v>3</v>
      </c>
      <c r="AI11" s="174" t="n">
        <v>3</v>
      </c>
      <c r="AJ11" s="174" t="n">
        <v>8</v>
      </c>
      <c r="AK11" t="inlineStr">
        <is>
          <t>Medium</t>
        </is>
      </c>
      <c r="AL11" t="inlineStr">
        <is>
          <t>Missing</t>
        </is>
      </c>
      <c r="AM11" t="inlineStr">
        <is>
          <t>Linked primary/secondary</t>
        </is>
      </c>
      <c r="AN11" s="175" t="n">
        <v>0.8571428571428571</v>
      </c>
      <c r="AO11" s="11" t="inlineStr">
        <is>
          <t>Ready</t>
        </is>
      </c>
      <c r="AP11" t="inlineStr">
        <is>
          <t>Editorial</t>
        </is>
      </c>
      <c r="AR11" t="inlineStr">
        <is>
          <t>Ready for QA</t>
        </is>
      </c>
      <c r="AS11" t="inlineStr">
        <is>
          <t>Not started</t>
        </is>
      </c>
      <c r="AT11" t="inlineStr">
        <is>
          <t>Yes</t>
        </is>
      </c>
      <c r="AU11" t="inlineStr">
        <is>
          <t>Yes</t>
        </is>
      </c>
      <c r="AV11" t="inlineStr">
        <is>
          <t>Yes</t>
        </is>
      </c>
      <c r="AX11" s="181" t="n">
        <v>1</v>
      </c>
      <c r="AY11" s="181" t="n"/>
      <c r="AZ11" s="181" t="n"/>
      <c r="BA11" s="181">
        <f>IF($AR11="Published","Published",IF($AS11="Passed","Approved",IF($AR11="Ready for QA","QA review",IF($AR11="Source review","Source review",IF($AR11="Editorial polish","Editorial review","Review pending")))))</f>
        <v/>
      </c>
      <c r="BB11" s="181">
        <f>IF(OR($AR11="Published",$AS11="Passed",AND($AY11&lt;&gt;"",$BD11&lt;&gt;"")),"Approved",IF(OR($AY11&lt;&gt;"",$BC11&lt;&gt;"",$BF11&lt;&gt;""),"In review","Pending"))</f>
        <v/>
      </c>
      <c r="BC11" s="181" t="n"/>
      <c r="BD11" s="176" t="n"/>
      <c r="BE11" s="176">
        <f>IF(OR($AY11&lt;&gt;"",$AZ11&lt;&gt;"",$BC11&lt;&gt;"",$BF11&lt;&gt;""),TODAY(),"")</f>
        <v/>
      </c>
      <c r="BF11" s="181" t="n"/>
      <c r="BG11" s="181">
        <f>$B11&amp;"-R"&amp;$AX11</f>
        <v/>
      </c>
      <c r="BH11" s="181">
        <f>COUNTIF('Change History'!$C:$C,$B11)</f>
        <v/>
      </c>
    </row>
    <row r="12">
      <c r="A12" s="9" t="inlineStr">
        <is>
          <t>Milk Thistle</t>
        </is>
      </c>
      <c r="B12" t="inlineStr">
        <is>
          <t>milk-thistle</t>
        </is>
      </c>
      <c r="C12" t="inlineStr">
        <is>
          <t>Silybum marianum</t>
        </is>
      </c>
      <c r="D12" t="inlineStr">
        <is>
          <t>herb</t>
        </is>
      </c>
      <c r="E12" t="inlineStr">
        <is>
          <t>herb</t>
        </is>
      </c>
      <c r="F12" t="inlineStr">
        <is>
          <t>seed; fruit</t>
        </is>
      </c>
      <c r="G12" t="inlineStr">
        <is>
          <t>milk thistle; St. Mary's thistle; blessed milkthistle</t>
        </is>
      </c>
      <c r="H12" t="inlineStr">
        <is>
          <t>Native to the Mediterranean region; now naturalized worldwide.</t>
        </is>
      </c>
      <c r="I12" s="181" t="inlineStr">
        <is>
          <t>Milk Thistle (Silybum marianum) is a herb monograph focused on the seed; fruit used in herbal preparations. It is associated with Native to the Mediterranean region; now naturalized worldwide. Silymarin flavonolignans exhibit antioxidant, anti-inflammatory and antifibrotic activity relevant to hepatoprotection. Generally well tolerated; mild GI side effects and occasional allergic reactions.</t>
        </is>
      </c>
      <c r="J12" s="181" t="inlineStr">
        <is>
          <t>Milk Thistle is represented here as a monograph-style entry centered on the seed; fruit. Key reported compounds include silybin A/B; isosilybin A/B; silychristin; silydianin; isosilychristin. Typical preparation forms: Seed/fruit extracts standardized to silymarin. Silymarin flavonolignans exhibit antioxidant, anti-inflammatory and antifibrotic activity relevant to hepatoprotection. Interaction profile: Possible CYP2C9/CYP3A4 interaction risk; may affect warfarin and some other drugs. Use caution or avoid in: Asteraceae allergy; caution in pregnancy/breastfeeding.</t>
        </is>
      </c>
      <c r="K12" s="181" t="inlineStr">
        <is>
          <t>silybin A/B; isosilybin A/B; silychristin; silydianin; isosilychristin</t>
        </is>
      </c>
      <c r="L12" s="181" t="inlineStr">
        <is>
          <t>silymarin; silybin</t>
        </is>
      </c>
      <c r="M12" s="181" t="inlineStr">
        <is>
          <t>Silymarin flavonolignans exhibit antioxidant, anti-inflammatory and antifibrotic activity relevant to hepatoprotection.</t>
        </is>
      </c>
      <c r="N12" s="181" t="inlineStr">
        <is>
          <t>antioxidant; anti-inflammatory; hepatoprotective</t>
        </is>
      </c>
      <c r="O12" s="181" t="inlineStr">
        <is>
          <t>human + preclinical</t>
        </is>
      </c>
      <c r="P12" s="181" t="inlineStr">
        <is>
          <t>Generally well tolerated; mild GI side effects and occasional allergic reactions.</t>
        </is>
      </c>
      <c r="Q12" s="181" t="inlineStr">
        <is>
          <t>Possible CYP2C9/CYP3A4 interaction risk; may affect warfarin and some other drugs.</t>
        </is>
      </c>
      <c r="R12" s="181" t="inlineStr">
        <is>
          <t>Asteraceae allergy; caution in pregnancy/breastfeeding.</t>
        </is>
      </c>
      <c r="S12" s="181" t="inlineStr">
        <is>
          <t>Seed/fruit extracts standardized to silymarin.</t>
        </is>
      </c>
      <c r="T12" s="181" t="inlineStr">
        <is>
          <t>250–750 mg silymarin 2–3 times daily</t>
        </is>
      </c>
      <c r="U12" s="181" t="inlineStr">
        <is>
          <t>Typically 70–80% silymarin.</t>
        </is>
      </c>
      <c r="V12" s="181" t="str"/>
      <c r="W12" s="181" t="inlineStr">
        <is>
          <t>high</t>
        </is>
      </c>
      <c r="X12" s="181" t="inlineStr">
        <is>
          <t>schema-upgraded</t>
        </is>
      </c>
      <c r="Y12" s="181" t="inlineStr">
        <is>
          <t>Recovered from prior batch output in this conversation</t>
        </is>
      </c>
      <c r="Z12" s="181" t="inlineStr">
        <is>
          <t>needs-source-normalization</t>
        </is>
      </c>
      <c r="AA12" s="181" t="inlineStr">
        <is>
          <t>conversation-recovered</t>
        </is>
      </c>
      <c r="AB12" s="181" t="inlineStr">
        <is>
          <t>Recovered from prior batch output in this conversation</t>
        </is>
      </c>
      <c r="AC12" s="181" t="inlineStr">
        <is>
          <t>Recovered from prior batch output in this conversation</t>
        </is>
      </c>
      <c r="AD12" s="181" t="inlineStr">
        <is>
          <t>Recovered from prior batch output in this conversation</t>
        </is>
      </c>
      <c r="AE12" s="181" t="inlineStr">
        <is>
          <t>Recovered from prior batch output in this conversation</t>
        </is>
      </c>
      <c r="AF12" s="181" t="inlineStr">
        <is>
          <t>Keep hepatoprotective claims narrower than “treats liver disease.”</t>
        </is>
      </c>
      <c r="AG12" s="174" t="n">
        <v>3</v>
      </c>
      <c r="AH12" s="174" t="n">
        <v>3</v>
      </c>
      <c r="AI12" s="174" t="n">
        <v>1</v>
      </c>
      <c r="AJ12" s="174" t="n">
        <v>7</v>
      </c>
      <c r="AK12" t="inlineStr">
        <is>
          <t>High</t>
        </is>
      </c>
      <c r="AL12" t="inlineStr">
        <is>
          <t>Present</t>
        </is>
      </c>
      <c r="AM12" t="inlineStr">
        <is>
          <t>Conversation-recovered</t>
        </is>
      </c>
      <c r="AN12" s="175" t="n">
        <v>1</v>
      </c>
      <c r="AO12" s="11" t="inlineStr">
        <is>
          <t>Near ready</t>
        </is>
      </c>
      <c r="AP12" t="inlineStr">
        <is>
          <t>Research</t>
        </is>
      </c>
      <c r="AR12" t="inlineStr">
        <is>
          <t>Source review</t>
        </is>
      </c>
      <c r="AS12" t="inlineStr">
        <is>
          <t>Not started</t>
        </is>
      </c>
      <c r="AT12" t="inlineStr">
        <is>
          <t>No</t>
        </is>
      </c>
      <c r="AU12" t="inlineStr">
        <is>
          <t>No</t>
        </is>
      </c>
      <c r="AV12" t="inlineStr">
        <is>
          <t>Yes</t>
        </is>
      </c>
      <c r="AW12" t="inlineStr">
        <is>
          <t>Normalize source record</t>
        </is>
      </c>
      <c r="AX12" s="181" t="n">
        <v>1</v>
      </c>
      <c r="AY12" s="181" t="n"/>
      <c r="AZ12" s="181" t="n"/>
      <c r="BA12" s="181">
        <f>IF($AR12="Published","Published",IF($AS12="Passed","Approved",IF($AR12="Ready for QA","QA review",IF($AR12="Source review","Source review",IF($AR12="Editorial polish","Editorial review","Review pending")))))</f>
        <v/>
      </c>
      <c r="BB12" s="181">
        <f>IF(OR($AR12="Published",$AS12="Passed",AND($AY12&lt;&gt;"",$BD12&lt;&gt;"")),"Approved",IF(OR($AY12&lt;&gt;"",$BC12&lt;&gt;"",$BF12&lt;&gt;""),"In review","Pending"))</f>
        <v/>
      </c>
      <c r="BC12" s="181" t="n"/>
      <c r="BD12" s="176" t="n"/>
      <c r="BE12" s="176">
        <f>IF(OR($AY12&lt;&gt;"",$AZ12&lt;&gt;"",$BC12&lt;&gt;"",$BF12&lt;&gt;""),TODAY(),"")</f>
        <v/>
      </c>
      <c r="BF12" s="181" t="n"/>
      <c r="BG12" s="181">
        <f>$B12&amp;"-R"&amp;$AX12</f>
        <v/>
      </c>
      <c r="BH12" s="181">
        <f>COUNTIF('Change History'!$C:$C,$B12)</f>
        <v/>
      </c>
    </row>
    <row r="13">
      <c r="A13" s="9" t="inlineStr">
        <is>
          <t>Peppermint</t>
        </is>
      </c>
      <c r="B13" t="inlineStr">
        <is>
          <t>peppermint</t>
        </is>
      </c>
      <c r="C13" t="inlineStr">
        <is>
          <t>Mentha × piperita</t>
        </is>
      </c>
      <c r="D13" t="inlineStr">
        <is>
          <t>herb</t>
        </is>
      </c>
      <c r="E13" t="inlineStr">
        <is>
          <t>herb</t>
        </is>
      </c>
      <c r="F13" t="inlineStr">
        <is>
          <t>unspecified</t>
        </is>
      </c>
      <c r="G13" t="inlineStr">
        <is>
          <t>peppermint; Mentha × piperita</t>
        </is>
      </c>
      <c r="H13" t="inlineStr">
        <is>
          <t>Peppermint is a hybrid between water mint and spearmint that grows throughout Europe, North America and the Mediterranean【376436993997216†L159-L162】.</t>
        </is>
      </c>
      <c r="I13" s="181" t="inlineStr">
        <is>
          <t>Peppermint (Mentha × piperita) is a herb monograph focused on the unspecified used in herbal preparations. It is associated with Peppermint is a hybrid between water mint and spearmint that grows throughout Europe, North America and the Mediterranean【376436993997216†L159-L162】. Peppermint oil contains more than 80 constituents; menthol is the main bioactive component. Menthol is generally regarded as safe.</t>
        </is>
      </c>
      <c r="J13" s="181" t="inlineStr">
        <is>
          <t>Peppermint is represented here as a monograph-style entry centered on the unspecified. Key reported compounds include l‑menthol; l‑menthone; isomenthone; menthyl acetate; 1,8‑cineole (eucalyptol); menthofuran; limonene. Typical preparation forms: Leaves and flowering tops are used fresh or dried to make teas and flavourings. Medicinal products include enteric‑coated capsules of peppermint oil and topical preparations. 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 Interaction profile: Peppermint oil may inhibit cytochrome P450 enzymes (e.g., CYP2A6 and UGT2B7) and could theoretically interact with drugs metabolised by these pathways. Use caution or avoid in: Avoid in infants and young children, and in people with gastro‑oesophageal reflux disease or bile duct obstruction. Use cautiously in those taking hepatotoxic drugs due to potential pulegone/menthofuran toxicity.</t>
        </is>
      </c>
      <c r="K13" s="181" t="inlineStr">
        <is>
          <t>l‑menthol; l‑menthone; isomenthone; menthyl acetate; 1,8‑cineole (eucalyptol); menthofuran; limonene</t>
        </is>
      </c>
      <c r="L13" s="181" t="str"/>
      <c r="M13" s="181" t="inlineStr">
        <is>
          <t>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t>
        </is>
      </c>
      <c r="N13" s="181" t="inlineStr">
        <is>
          <t>anti-inflammatory; spasmolytic; antimicrobial</t>
        </is>
      </c>
      <c r="O13" s="181" t="str"/>
      <c r="P13" s="181" t="inlineStr">
        <is>
          <t>Menthol is generally regarded as safe. Enteric‑coated peppermint oil is well tolerated; the most common adverse effects reported in clinical trials are heartburn, nausea, abdominal pain and dry mouth【220193048567304†L45-L53】. High doses of minor constituents such as pulegone or menthofuran can cause hepatotoxicity in animals, but typical medicinal doses contain negligible amounts and no cases of human hepatotoxicity have been reported【271856535371736†L1296-L1354】. Peppermint oil should not be applied near the faces of infants or young children because menthol inhalation can cause serious adverse reactions【220193048567304†L45-L53】.</t>
        </is>
      </c>
      <c r="Q13" s="181" t="inlineStr">
        <is>
          <t>Peppermint oil may inhibit cytochrome P450 enzymes (e.g., CYP2A6 and UGT2B7) and could theoretically interact with drugs metabolised by these pathways.</t>
        </is>
      </c>
      <c r="R13" s="181" t="inlineStr">
        <is>
          <t>Avoid in infants and young children, and in people with gastro‑oesophageal reflux disease or bile duct obstruction. Use cautiously in those taking hepatotoxic drugs due to potential pulegone/menthofuran toxicity.</t>
        </is>
      </c>
      <c r="S13" s="181" t="inlineStr">
        <is>
          <t>Leaves and flowering tops are used fresh or dried to make teas and flavourings. Medicinal products include enteric‑coated capsules of peppermint oil and topical preparations.</t>
        </is>
      </c>
      <c r="T13" s="181" t="str"/>
      <c r="U13" s="181" t="str"/>
      <c r="V13" s="181" t="str"/>
      <c r="W13" s="181" t="inlineStr">
        <is>
          <t>medium</t>
        </is>
      </c>
      <c r="X13" s="181" t="inlineStr">
        <is>
          <t>schema-upgraded</t>
        </is>
      </c>
      <c r="Y13" s="181" t="inlineStr">
        <is>
          <t>【697136726945063†L340-L345】; 【271856535371736†L224-L289】; 【271856535371736†L312-L333】; 【220193048567304†L45-L53】; 【271856535371736†L1296-L1354】; 【376436993997216†L159-L162】</t>
        </is>
      </c>
      <c r="Z13" s="181" t="inlineStr">
        <is>
          <t>present</t>
        </is>
      </c>
      <c r="AA13" s="181" t="inlineStr">
        <is>
          <t>PubMed/PMC</t>
        </is>
      </c>
      <c r="AB13" s="181" t="inlineStr">
        <is>
          <t>【697136726945063†L340-L345】; 【271856535371736†L224-L289】; 【271856535371736†L312-L333】; 【220193048567304†L45-L53】; 【271856535371736†L1296-L1354】; 【376436993997216†L159-L162】</t>
        </is>
      </c>
      <c r="AC13" s="181" t="inlineStr">
        <is>
          <t>【697136726945063†L340-L345】; 【271856535371736†L224-L289】; 【271856535371736†L312-L333】; 【220193048567304†L45-L53】; 【271856535371736†L1296-L1354】; 【376436993997216†L159-L162】</t>
        </is>
      </c>
      <c r="AD13" s="181" t="inlineStr">
        <is>
          <t>【697136726945063†L340-L345】; 【271856535371736†L224-L289】; 【271856535371736†L312-L333】; 【220193048567304†L45-L53】; 【271856535371736†L1296-L1354】; 【376436993997216†L159-L162】</t>
        </is>
      </c>
      <c r="AE13" s="181" t="inlineStr">
        <is>
          <t>【697136726945063†L340-L345】; 【271856535371736†L224-L289】; 【271856535371736†L312-L333】; 【220193048567304†L45-L53】; 【271856535371736†L1296-L1354】; 【376436993997216†L159-L162】</t>
        </is>
      </c>
      <c r="AF13" s="181" t="inlineStr">
        <is>
          <t>Mechanism preserved as qualified language where evidence is preclinical.</t>
        </is>
      </c>
      <c r="AG13" s="174" t="n">
        <v>2</v>
      </c>
      <c r="AH13" s="174" t="n">
        <v>1</v>
      </c>
      <c r="AI13" s="174" t="n">
        <v>3</v>
      </c>
      <c r="AJ13" s="174" t="n">
        <v>6</v>
      </c>
      <c r="AK13" t="inlineStr">
        <is>
          <t>Medium</t>
        </is>
      </c>
      <c r="AL13" t="inlineStr">
        <is>
          <t>Missing</t>
        </is>
      </c>
      <c r="AM13" t="inlineStr">
        <is>
          <t>Linked primary/secondary</t>
        </is>
      </c>
      <c r="AN13" s="175" t="n">
        <v>0.7142857142857143</v>
      </c>
      <c r="AO13" s="11" t="inlineStr">
        <is>
          <t>Near ready</t>
        </is>
      </c>
      <c r="AP13" t="inlineStr">
        <is>
          <t>Editorial</t>
        </is>
      </c>
      <c r="AR13" t="inlineStr">
        <is>
          <t>Editorial polish</t>
        </is>
      </c>
      <c r="AS13" t="inlineStr">
        <is>
          <t>Not started</t>
        </is>
      </c>
      <c r="AT13" t="inlineStr">
        <is>
          <t>Yes</t>
        </is>
      </c>
      <c r="AU13" t="inlineStr">
        <is>
          <t>No</t>
        </is>
      </c>
      <c r="AV13" t="inlineStr">
        <is>
          <t>Yes</t>
        </is>
      </c>
      <c r="AW13" t="inlineStr">
        <is>
          <t>Finalize remaining content gaps</t>
        </is>
      </c>
      <c r="AX13" s="181" t="n">
        <v>1</v>
      </c>
      <c r="AY13" s="181" t="n"/>
      <c r="AZ13" s="181" t="n"/>
      <c r="BA13" s="181">
        <f>IF($AR13="Published","Published",IF($AS13="Passed","Approved",IF($AR13="Ready for QA","QA review",IF($AR13="Source review","Source review",IF($AR13="Editorial polish","Editorial review","Review pending")))))</f>
        <v/>
      </c>
      <c r="BB13" s="181">
        <f>IF(OR($AR13="Published",$AS13="Passed",AND($AY13&lt;&gt;"",$BD13&lt;&gt;"")),"Approved",IF(OR($AY13&lt;&gt;"",$BC13&lt;&gt;"",$BF13&lt;&gt;""),"In review","Pending"))</f>
        <v/>
      </c>
      <c r="BC13" s="181" t="n"/>
      <c r="BD13" s="176" t="n"/>
      <c r="BE13" s="176">
        <f>IF(OR($AY13&lt;&gt;"",$AZ13&lt;&gt;"",$BC13&lt;&gt;"",$BF13&lt;&gt;""),TODAY(),"")</f>
        <v/>
      </c>
      <c r="BF13" s="181" t="n"/>
      <c r="BG13" s="181">
        <f>$B13&amp;"-R"&amp;$AX13</f>
        <v/>
      </c>
      <c r="BH13" s="181">
        <f>COUNTIF('Change History'!$C:$C,$B13)</f>
        <v/>
      </c>
    </row>
    <row r="14">
      <c r="A14" s="9" t="inlineStr">
        <is>
          <t>Rhodiola Rosea</t>
        </is>
      </c>
      <c r="B14" t="inlineStr">
        <is>
          <t>rhodiola-rosea</t>
        </is>
      </c>
      <c r="C14" t="inlineStr">
        <is>
          <t>Rhodiola rosea</t>
        </is>
      </c>
      <c r="D14" t="inlineStr">
        <is>
          <t>herb</t>
        </is>
      </c>
      <c r="E14" t="inlineStr">
        <is>
          <t>adaptogenic root</t>
        </is>
      </c>
      <c r="F14" t="inlineStr">
        <is>
          <t>root</t>
        </is>
      </c>
      <c r="H14" t="inlineStr">
        <is>
          <t>Europe, Asia (cold regions)</t>
        </is>
      </c>
      <c r="I14" s="181" t="inlineStr">
        <is>
          <t>Rhodiola Rosea (Rhodiola rosea) is a adaptogenic root monograph focused on the root used in herbal preparations. It is associated with Europe, Asia (cold regions). Adaptogen; modulates HPA axis; influences serotonin, dopamine, norepinephrine; antioxidant. Generally well tolerated; possible dizziness, dry mouth, insomnia.</t>
        </is>
      </c>
      <c r="J14" s="181" t="inlineStr">
        <is>
          <t>Rhodiola Rosea is represented here as a monograph-style entry centered on the root. Key reported compounds include rosavin; rosarin; rosin; salidroside; tyrosol. Typical preparation forms: Standardized root extracts. Adaptogen; modulates HPA axis; influences serotonin, dopamine, norepinephrine; antioxidant. Interaction profile: SSRIs, MAOIs, stimulants. Use caution or avoid in: Bipolar disorder; avoid high doses before sleep.</t>
        </is>
      </c>
      <c r="K14" s="181" t="inlineStr">
        <is>
          <t>rosavin; rosarin; rosin; salidroside; tyrosol</t>
        </is>
      </c>
      <c r="L14" s="181" t="inlineStr">
        <is>
          <t>rosavins; salidroside</t>
        </is>
      </c>
      <c r="M14" s="181" t="inlineStr">
        <is>
          <t>Adaptogen; modulates HPA axis; influences serotonin, dopamine, norepinephrine; antioxidant</t>
        </is>
      </c>
      <c r="N14" s="181" t="inlineStr">
        <is>
          <t>adaptogen; serotonergic; dopaminergic; antioxidant</t>
        </is>
      </c>
      <c r="O14" s="181" t="inlineStr">
        <is>
          <t>preclinical + limited human</t>
        </is>
      </c>
      <c r="P14" s="181" t="inlineStr">
        <is>
          <t>Generally well tolerated; possible dizziness, dry mouth, insomnia</t>
        </is>
      </c>
      <c r="Q14" s="181" t="inlineStr">
        <is>
          <t>SSRIs, MAOIs, stimulants</t>
        </is>
      </c>
      <c r="R14" s="181" t="inlineStr">
        <is>
          <t>Bipolar disorder; avoid high doses before sleep</t>
        </is>
      </c>
      <c r="S14" s="181" t="inlineStr">
        <is>
          <t>Standardized root extracts</t>
        </is>
      </c>
      <c r="T14" s="181" t="str"/>
      <c r="U14" s="181" t="inlineStr">
        <is>
          <t>Typically 3% rosavins, 1% salidroside</t>
        </is>
      </c>
      <c r="V14" s="181" t="str"/>
      <c r="W14" s="181" t="inlineStr">
        <is>
          <t>medium</t>
        </is>
      </c>
      <c r="X14" s="181" t="inlineStr">
        <is>
          <t>schema-upgraded</t>
        </is>
      </c>
      <c r="Y14" s="181" t="inlineStr">
        <is>
          <t>NCCIH; PubMed adaptogen reviews</t>
        </is>
      </c>
      <c r="Z14" s="181" t="inlineStr">
        <is>
          <t>present</t>
        </is>
      </c>
      <c r="AA14" s="181" t="inlineStr">
        <is>
          <t>NCCIH; PubMed/PMC</t>
        </is>
      </c>
      <c r="AB14" s="181" t="inlineStr">
        <is>
          <t>NCCIH; PubMed adaptogen reviews</t>
        </is>
      </c>
      <c r="AC14" s="181" t="inlineStr">
        <is>
          <t>NCCIH; PubMed adaptogen reviews</t>
        </is>
      </c>
      <c r="AD14" s="181" t="inlineStr">
        <is>
          <t>NCCIH; PubMed adaptogen reviews</t>
        </is>
      </c>
      <c r="AE14" s="181" t="inlineStr">
        <is>
          <t>NCCIH; PubMed adaptogen reviews</t>
        </is>
      </c>
      <c r="AF14" s="181" t="inlineStr">
        <is>
          <t>Carried forward from batch CSV; needs source-linked monograph expansion.</t>
        </is>
      </c>
      <c r="AG14" s="174" t="n">
        <v>2</v>
      </c>
      <c r="AH14" s="174" t="n">
        <v>3</v>
      </c>
      <c r="AI14" s="174" t="n">
        <v>3</v>
      </c>
      <c r="AJ14" s="174" t="n">
        <v>8</v>
      </c>
      <c r="AK14" t="inlineStr">
        <is>
          <t>Medium</t>
        </is>
      </c>
      <c r="AL14" t="inlineStr">
        <is>
          <t>Missing</t>
        </is>
      </c>
      <c r="AM14" t="inlineStr">
        <is>
          <t>Linked primary/secondary</t>
        </is>
      </c>
      <c r="AN14" s="175" t="n">
        <v>0.9285714285714286</v>
      </c>
      <c r="AO14" s="11" t="inlineStr">
        <is>
          <t>Ready</t>
        </is>
      </c>
      <c r="AP14" t="inlineStr">
        <is>
          <t>Editorial</t>
        </is>
      </c>
      <c r="AR14" t="inlineStr">
        <is>
          <t>Ready for QA</t>
        </is>
      </c>
      <c r="AS14" t="inlineStr">
        <is>
          <t>Not started</t>
        </is>
      </c>
      <c r="AT14" t="inlineStr">
        <is>
          <t>Yes</t>
        </is>
      </c>
      <c r="AU14" t="inlineStr">
        <is>
          <t>Yes</t>
        </is>
      </c>
      <c r="AV14" t="inlineStr">
        <is>
          <t>Yes</t>
        </is>
      </c>
      <c r="AX14" s="181" t="n">
        <v>1</v>
      </c>
      <c r="AY14" s="181" t="n"/>
      <c r="AZ14" s="181" t="n"/>
      <c r="BA14" s="181">
        <f>IF($AR14="Published","Published",IF($AS14="Passed","Approved",IF($AR14="Ready for QA","QA review",IF($AR14="Source review","Source review",IF($AR14="Editorial polish","Editorial review","Review pending")))))</f>
        <v/>
      </c>
      <c r="BB14" s="181">
        <f>IF(OR($AR14="Published",$AS14="Passed",AND($AY14&lt;&gt;"",$BD14&lt;&gt;"")),"Approved",IF(OR($AY14&lt;&gt;"",$BC14&lt;&gt;"",$BF14&lt;&gt;""),"In review","Pending"))</f>
        <v/>
      </c>
      <c r="BC14" s="181" t="n"/>
      <c r="BD14" s="176" t="n"/>
      <c r="BE14" s="176">
        <f>IF(OR($AY14&lt;&gt;"",$AZ14&lt;&gt;"",$BC14&lt;&gt;"",$BF14&lt;&gt;""),TODAY(),"")</f>
        <v/>
      </c>
      <c r="BF14" s="181" t="n"/>
      <c r="BG14" s="181">
        <f>$B14&amp;"-R"&amp;$AX14</f>
        <v/>
      </c>
      <c r="BH14" s="181">
        <f>COUNTIF('Change History'!$C:$C,$B14)</f>
        <v/>
      </c>
    </row>
    <row r="15">
      <c r="A15" s="9" t="inlineStr">
        <is>
          <t>Saw Palmetto</t>
        </is>
      </c>
      <c r="B15" t="inlineStr">
        <is>
          <t>saw-palmetto</t>
        </is>
      </c>
      <c r="C15" t="inlineStr">
        <is>
          <t>Serenoa repens</t>
        </is>
      </c>
      <c r="D15" t="inlineStr">
        <is>
          <t>herb</t>
        </is>
      </c>
      <c r="E15" t="inlineStr">
        <is>
          <t>berry extract</t>
        </is>
      </c>
      <c r="F15" t="inlineStr">
        <is>
          <t>berry</t>
        </is>
      </c>
      <c r="H15" t="inlineStr">
        <is>
          <t>Southeastern United States</t>
        </is>
      </c>
      <c r="I15" s="181" t="inlineStr">
        <is>
          <t>Saw Palmetto (Serenoa repens) is a berry extract monograph focused on the berry used in herbal preparations. It is associated with Southeastern United States. 5-alpha-reductase inhibition; anti-androgenic effects. Generally safe; mild GI upset, headache.</t>
        </is>
      </c>
      <c r="J15" s="181" t="inlineStr">
        <is>
          <t>Saw Palmetto is represented here as a monograph-style entry centered on the berry. Key reported compounds include fatty acids; phytosterols (beta-sitosterol). Typical preparation forms: Berry extracts. 5-alpha-reductase inhibition; anti-androgenic effects. Interaction profile: Hormonal therapies, anticoagulants. Use caution or avoid in: Pregnancy.</t>
        </is>
      </c>
      <c r="K15" s="181" t="inlineStr">
        <is>
          <t>fatty acids; phytosterols (beta-sitosterol)</t>
        </is>
      </c>
      <c r="L15" s="181" t="inlineStr">
        <is>
          <t>fatty acids; beta-sitosterol</t>
        </is>
      </c>
      <c r="M15" s="181" t="inlineStr">
        <is>
          <t>5-alpha-reductase inhibition; anti-androgenic effects</t>
        </is>
      </c>
      <c r="N15" s="181" t="inlineStr">
        <is>
          <t>hormonal; anti-androgenic</t>
        </is>
      </c>
      <c r="O15" s="181" t="inlineStr">
        <is>
          <t>preclinical + limited human</t>
        </is>
      </c>
      <c r="P15" s="181" t="inlineStr">
        <is>
          <t>Generally safe; mild GI upset, headache</t>
        </is>
      </c>
      <c r="Q15" s="181" t="inlineStr">
        <is>
          <t>Hormonal therapies, anticoagulants</t>
        </is>
      </c>
      <c r="R15" s="181" t="inlineStr">
        <is>
          <t>Pregnancy</t>
        </is>
      </c>
      <c r="S15" s="181" t="inlineStr">
        <is>
          <t>Berry extracts</t>
        </is>
      </c>
      <c r="T15" s="181" t="str"/>
      <c r="U15" s="181" t="inlineStr">
        <is>
          <t>Standardized to fatty acid content</t>
        </is>
      </c>
      <c r="V15" s="181" t="str"/>
      <c r="W15" s="181" t="inlineStr">
        <is>
          <t>medium</t>
        </is>
      </c>
      <c r="X15" s="181" t="inlineStr">
        <is>
          <t>schema-upgraded</t>
        </is>
      </c>
      <c r="Y15" s="181" t="inlineStr">
        <is>
          <t>NIH ODS; EMA</t>
        </is>
      </c>
      <c r="Z15" s="181" t="inlineStr">
        <is>
          <t>present</t>
        </is>
      </c>
      <c r="AA15" s="181" t="inlineStr">
        <is>
          <t>NIH/ODS; EMA</t>
        </is>
      </c>
      <c r="AB15" s="181" t="inlineStr">
        <is>
          <t>NIH ODS; EMA</t>
        </is>
      </c>
      <c r="AC15" s="181" t="inlineStr">
        <is>
          <t>NIH ODS; EMA</t>
        </is>
      </c>
      <c r="AD15" s="181" t="inlineStr">
        <is>
          <t>NIH ODS; EMA</t>
        </is>
      </c>
      <c r="AE15" s="181" t="inlineStr">
        <is>
          <t>NIH ODS; EMA</t>
        </is>
      </c>
      <c r="AF15" s="181" t="inlineStr">
        <is>
          <t>Carried forward from batch CSV; needs source-linked monograph expansion.</t>
        </is>
      </c>
      <c r="AG15" s="174" t="n">
        <v>2</v>
      </c>
      <c r="AH15" s="174" t="n">
        <v>3</v>
      </c>
      <c r="AI15" s="174" t="n">
        <v>3</v>
      </c>
      <c r="AJ15" s="174" t="n">
        <v>8</v>
      </c>
      <c r="AK15" t="inlineStr">
        <is>
          <t>Medium</t>
        </is>
      </c>
      <c r="AL15" t="inlineStr">
        <is>
          <t>Missing</t>
        </is>
      </c>
      <c r="AM15" t="inlineStr">
        <is>
          <t>Linked primary/secondary</t>
        </is>
      </c>
      <c r="AN15" s="175" t="n">
        <v>0.9285714285714286</v>
      </c>
      <c r="AO15" s="11" t="inlineStr">
        <is>
          <t>Ready</t>
        </is>
      </c>
      <c r="AP15" t="inlineStr">
        <is>
          <t>Editorial</t>
        </is>
      </c>
      <c r="AR15" t="inlineStr">
        <is>
          <t>Ready for QA</t>
        </is>
      </c>
      <c r="AS15" t="inlineStr">
        <is>
          <t>Not started</t>
        </is>
      </c>
      <c r="AT15" t="inlineStr">
        <is>
          <t>Yes</t>
        </is>
      </c>
      <c r="AU15" t="inlineStr">
        <is>
          <t>Yes</t>
        </is>
      </c>
      <c r="AV15" t="inlineStr">
        <is>
          <t>Yes</t>
        </is>
      </c>
      <c r="AX15" s="181" t="n">
        <v>1</v>
      </c>
      <c r="AY15" s="181" t="n"/>
      <c r="AZ15" s="181" t="n"/>
      <c r="BA15" s="181">
        <f>IF($AR15="Published","Published",IF($AS15="Passed","Approved",IF($AR15="Ready for QA","QA review",IF($AR15="Source review","Source review",IF($AR15="Editorial polish","Editorial review","Review pending")))))</f>
        <v/>
      </c>
      <c r="BB15" s="181">
        <f>IF(OR($AR15="Published",$AS15="Passed",AND($AY15&lt;&gt;"",$BD15&lt;&gt;"")),"Approved",IF(OR($AY15&lt;&gt;"",$BC15&lt;&gt;"",$BF15&lt;&gt;""),"In review","Pending"))</f>
        <v/>
      </c>
      <c r="BC15" s="181" t="n"/>
      <c r="BD15" s="176" t="n"/>
      <c r="BE15" s="176">
        <f>IF(OR($AY15&lt;&gt;"",$AZ15&lt;&gt;"",$BC15&lt;&gt;"",$BF15&lt;&gt;""),TODAY(),"")</f>
        <v/>
      </c>
      <c r="BF15" s="181" t="n"/>
      <c r="BG15" s="181">
        <f>$B15&amp;"-R"&amp;$AX15</f>
        <v/>
      </c>
      <c r="BH15" s="181">
        <f>COUNTIF('Change History'!$C:$C,$B15)</f>
        <v/>
      </c>
    </row>
    <row r="16">
      <c r="A16" s="9" t="inlineStr">
        <is>
          <t>St Johns Wort</t>
        </is>
      </c>
      <c r="B16" t="inlineStr">
        <is>
          <t>st-johns-wort</t>
        </is>
      </c>
      <c r="C16" t="inlineStr">
        <is>
          <t>Hypericum perforatum</t>
        </is>
      </c>
      <c r="D16" t="inlineStr">
        <is>
          <t>herb</t>
        </is>
      </c>
      <c r="E16" t="inlineStr">
        <is>
          <t>herb</t>
        </is>
      </c>
      <c r="F16" t="inlineStr">
        <is>
          <t>flowering tops</t>
        </is>
      </c>
      <c r="G16" t="inlineStr">
        <is>
          <t>St. John's wort; Hypericum; goatweed</t>
        </is>
      </c>
      <c r="H16" t="inlineStr">
        <is>
          <t>Native to Europe and West Asia; naturalized in North America and other temperate regions.</t>
        </is>
      </c>
      <c r="I16" s="181" t="inlineStr">
        <is>
          <t>St. John's wort (Hypericum perforatum) is a herb monograph focused on the flowering tops used in herbal preparations. It is associated with Native to Europe and West Asia; naturalized in North America and other temperate regions. Hyperforin and related compounds inhibit monoamine reuptake and affect TRPC6-linked neuroplasticity; additional monoamine oxidase and stress-pathway effects have been proposed. Can cause photosensitivity, GI upset, dizziness, insomnia, restlessness.</t>
        </is>
      </c>
      <c r="J16" s="181" t="inlineStr">
        <is>
          <t>St. John's wort is represented here as a monograph-style entry centered on the flowering tops. Key reported compounds include hyperforin; hypericin; pseudohypericin; quercetin; rutin; kaempferol. Typical preparation forms: Dried flowering tops or standardized extracts. Hyperforin and related compounds inhibit monoamine reuptake and affect TRPC6-linked neuroplasticity; additional monoamine oxidase and stress-pathway effects have been proposed. Interaction profile: Major interactions with antidepressants, oral contraceptives, cyclosporine, tacrolimus, HIV meds, anticancer drugs, warfarin, digoxin and others. Use caution or avoid in: Pregnancy, breastfeeding, bipolar disorder, concomitant prescription meds with CYP/P-gp liability.</t>
        </is>
      </c>
      <c r="K16" s="181" t="inlineStr">
        <is>
          <t>hyperforin; hypericin; pseudohypericin; quercetin; rutin; kaempferol</t>
        </is>
      </c>
      <c r="L16" s="181" t="inlineStr">
        <is>
          <t>hyperforin; hypericin</t>
        </is>
      </c>
      <c r="M16" s="181" t="inlineStr">
        <is>
          <t>Hyperforin and related compounds inhibit monoamine reuptake and affect TRPC6-linked neuroplasticity; additional monoamine oxidase and stress-pathway effects have been proposed.</t>
        </is>
      </c>
      <c r="N16" s="181" t="inlineStr">
        <is>
          <t>serotonergic; dopaminergic</t>
        </is>
      </c>
      <c r="O16" s="181" t="inlineStr">
        <is>
          <t>human + preclinical</t>
        </is>
      </c>
      <c r="P16" s="181" t="inlineStr">
        <is>
          <t>Can cause photosensitivity, GI upset, dizziness, insomnia, restlessness. Strong inducer of CYP3A4 and P-gp.</t>
        </is>
      </c>
      <c r="Q16" s="181" t="inlineStr">
        <is>
          <t>Major interactions with antidepressants, oral contraceptives, cyclosporine, tacrolimus, HIV meds, anticancer drugs, warfarin, digoxin and others.</t>
        </is>
      </c>
      <c r="R16" s="181" t="inlineStr">
        <is>
          <t>Pregnancy, breastfeeding, bipolar disorder, concomitant prescription meds with CYP/P-gp liability.</t>
        </is>
      </c>
      <c r="S16" s="181" t="inlineStr">
        <is>
          <t>Dried flowering tops or standardized extracts.</t>
        </is>
      </c>
      <c r="T16" s="181" t="inlineStr">
        <is>
          <t>300 mg extract three times daily</t>
        </is>
      </c>
      <c r="U16" s="181" t="inlineStr">
        <is>
          <t>Often 0.3% hypericin or 2–5% hyperforin.</t>
        </is>
      </c>
      <c r="V16" s="181" t="str"/>
      <c r="W16" s="181" t="inlineStr">
        <is>
          <t>high</t>
        </is>
      </c>
      <c r="X16" s="181" t="inlineStr">
        <is>
          <t>schema-upgraded</t>
        </is>
      </c>
      <c r="Y16" s="181" t="inlineStr">
        <is>
          <t>Recovered from prior batch output in this conversation</t>
        </is>
      </c>
      <c r="Z16" s="181" t="inlineStr">
        <is>
          <t>needs-source-normalization</t>
        </is>
      </c>
      <c r="AA16" s="181" t="inlineStr">
        <is>
          <t>conversation-recovered</t>
        </is>
      </c>
      <c r="AB16" s="181" t="inlineStr">
        <is>
          <t>Recovered from prior batch output in this conversation</t>
        </is>
      </c>
      <c r="AC16" s="181" t="inlineStr">
        <is>
          <t>Recovered from prior batch output in this conversation</t>
        </is>
      </c>
      <c r="AD16" s="181" t="inlineStr">
        <is>
          <t>Recovered from prior batch output in this conversation</t>
        </is>
      </c>
      <c r="AE16" s="181" t="inlineStr">
        <is>
          <t>Recovered from prior batch output in this conversation</t>
        </is>
      </c>
      <c r="AF16" s="181" t="inlineStr">
        <is>
          <t>Flag as high-interaction herb.</t>
        </is>
      </c>
      <c r="AG16" s="174" t="n">
        <v>3</v>
      </c>
      <c r="AH16" s="174" t="n">
        <v>3</v>
      </c>
      <c r="AI16" s="174" t="n">
        <v>1</v>
      </c>
      <c r="AJ16" s="174" t="n">
        <v>7</v>
      </c>
      <c r="AK16" t="inlineStr">
        <is>
          <t>High</t>
        </is>
      </c>
      <c r="AL16" t="inlineStr">
        <is>
          <t>Present</t>
        </is>
      </c>
      <c r="AM16" t="inlineStr">
        <is>
          <t>Conversation-recovered</t>
        </is>
      </c>
      <c r="AN16" s="175" t="n">
        <v>1</v>
      </c>
      <c r="AO16" s="11" t="inlineStr">
        <is>
          <t>Near ready</t>
        </is>
      </c>
      <c r="AP16" t="inlineStr">
        <is>
          <t>Research</t>
        </is>
      </c>
      <c r="AR16" t="inlineStr">
        <is>
          <t>Source review</t>
        </is>
      </c>
      <c r="AS16" t="inlineStr">
        <is>
          <t>Not started</t>
        </is>
      </c>
      <c r="AT16" t="inlineStr">
        <is>
          <t>No</t>
        </is>
      </c>
      <c r="AU16" t="inlineStr">
        <is>
          <t>No</t>
        </is>
      </c>
      <c r="AV16" t="inlineStr">
        <is>
          <t>Yes</t>
        </is>
      </c>
      <c r="AW16" t="inlineStr">
        <is>
          <t>Normalize source record</t>
        </is>
      </c>
      <c r="AX16" s="181" t="n">
        <v>1</v>
      </c>
      <c r="AY16" s="181" t="n"/>
      <c r="AZ16" s="181" t="n"/>
      <c r="BA16" s="181">
        <f>IF($AR16="Published","Published",IF($AS16="Passed","Approved",IF($AR16="Ready for QA","QA review",IF($AR16="Source review","Source review",IF($AR16="Editorial polish","Editorial review","Review pending")))))</f>
        <v/>
      </c>
      <c r="BB16" s="181">
        <f>IF(OR($AR16="Published",$AS16="Passed",AND($AY16&lt;&gt;"",$BD16&lt;&gt;"")),"Approved",IF(OR($AY16&lt;&gt;"",$BC16&lt;&gt;"",$BF16&lt;&gt;""),"In review","Pending"))</f>
        <v/>
      </c>
      <c r="BC16" s="181" t="n"/>
      <c r="BD16" s="176" t="n"/>
      <c r="BE16" s="176">
        <f>IF(OR($AY16&lt;&gt;"",$AZ16&lt;&gt;"",$BC16&lt;&gt;"",$BF16&lt;&gt;""),TODAY(),"")</f>
        <v/>
      </c>
      <c r="BF16" s="181" t="n"/>
      <c r="BG16" s="181">
        <f>$B16&amp;"-R"&amp;$AX16</f>
        <v/>
      </c>
      <c r="BH16" s="181">
        <f>COUNTIF('Change History'!$C:$C,$B16)</f>
        <v/>
      </c>
    </row>
    <row r="17">
      <c r="A17" s="9" t="inlineStr">
        <is>
          <t>Turmeric</t>
        </is>
      </c>
      <c r="B17" t="inlineStr">
        <is>
          <t>turmeric</t>
        </is>
      </c>
      <c r="C17" t="inlineStr">
        <is>
          <t>Curcuma longa</t>
        </is>
      </c>
      <c r="D17" t="inlineStr">
        <is>
          <t>herb</t>
        </is>
      </c>
      <c r="E17" t="inlineStr">
        <is>
          <t>rhizome</t>
        </is>
      </c>
      <c r="F17" t="inlineStr">
        <is>
          <t>unspecified</t>
        </is>
      </c>
      <c r="G17" t="inlineStr">
        <is>
          <t>turmeric; Curcuma longa</t>
        </is>
      </c>
      <c r="H17" t="inlineStr">
        <is>
          <t>Native to India and cultivated throughout the tropics; turmeric is not found in the wild and is grown as a domesticated plant【754431674042811†L224-L241】.</t>
        </is>
      </c>
      <c r="I17" s="181" t="inlineStr">
        <is>
          <t>Turmeric (Curcuma longa) is a rhizome monograph focused on the unspecified used in herbal preparations. It is associated with Native to India and cultivated throughout the tropics; turmeric is not found in the wild and is grown as a domesticated plant【754431674042811†L224-L241】. The golden rhizomes of turmeric contain non‑volatile curcuminoids—curcumin (curcumin I), demethoxycurcumin (curcumin II) and bisdemethoxycurcumin (curcumin III)—as well as volatile mono‑ and sesquiterpenoids【768158627760254†L420-L432】【768158627760254†L442-L468】. Conventional oral preparations of turmeric or curcumin appear safe for up to 2–3 months.</t>
        </is>
      </c>
      <c r="J17" s="181" t="inlineStr">
        <is>
          <t>Turmeric is represented here as a monograph-style entry centered on the unspecified. Key reported compounds include curcumin; demethoxycurcumin; bisdemethoxycurcumin. Typical preparation forms: The rhizomes are boiled, dried and ground into powder used as a spice, dye and supplement. Extracts standardized for curcuminoid content are available as capsules or tablets. 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 Interaction profile: Curcumin may enhance the effects of anticoagulant, antiplatelet or antidiabetic drugs and could interact with drugs metabolized by cytochrome P450 enzymes; caution is advised. Use caution or avoid in: Avoid high‑dose turmeric supplements in people with gallbladder obstruction, bleeding disorders or those taking anticoagulant or antiplatelet medications. Use is not recommended during pregnancy or breastfeeding.</t>
        </is>
      </c>
      <c r="K17" s="181" t="inlineStr">
        <is>
          <t>curcumin; demethoxycurcumin; bisdemethoxycurcumin</t>
        </is>
      </c>
      <c r="L17" s="181" t="str"/>
      <c r="M17" s="181" t="inlineStr">
        <is>
          <t>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t>
        </is>
      </c>
      <c r="N17" s="181" t="inlineStr">
        <is>
          <t>anti-inflammatory; antioxidant</t>
        </is>
      </c>
      <c r="O17" s="181" t="str"/>
      <c r="P17" s="181" t="inlineStr">
        <is>
          <t>Conventional oral preparations of turmeric or curcumin appear safe for up to 2–3 months. Reported adverse effects include nausea, vomiting, acid reflux, stomach upset, diarrhoea or constipation. Highly bioavailable curcumin products have been linked to liver damage in rare cases. The safety of turmeric supplements during pregnancy or breastfeeding is uncertain【628537290338832†L207-L223】.</t>
        </is>
      </c>
      <c r="Q17" s="181" t="inlineStr">
        <is>
          <t>Curcumin may enhance the effects of anticoagulant, antiplatelet or antidiabetic drugs and could interact with drugs metabolized by cytochrome P450 enzymes; caution is advised.</t>
        </is>
      </c>
      <c r="R17" s="181" t="inlineStr">
        <is>
          <t>Avoid high‑dose turmeric supplements in people with gallbladder obstruction, bleeding disorders or those taking anticoagulant or antiplatelet medications. Use is not recommended during pregnancy or breastfeeding.</t>
        </is>
      </c>
      <c r="S17" s="181" t="inlineStr">
        <is>
          <t>The rhizomes are boiled, dried and ground into powder used as a spice, dye and supplement. Extracts standardized for curcuminoid content are available as capsules or tablets.</t>
        </is>
      </c>
      <c r="T17" s="181" t="str"/>
      <c r="U17" s="181" t="str"/>
      <c r="V17" s="181" t="str"/>
      <c r="W17" s="181" t="inlineStr">
        <is>
          <t>medium</t>
        </is>
      </c>
      <c r="X17" s="181" t="inlineStr">
        <is>
          <t>schema-upgraded</t>
        </is>
      </c>
      <c r="Y17" s="181" t="inlineStr">
        <is>
          <t>【768158627760254†L420-L432】; 【768158627760254†L442-L468】; 【628537290338832†L207-L223】; 【754431674042811†L224-L241】</t>
        </is>
      </c>
      <c r="Z17" s="181" t="inlineStr">
        <is>
          <t>present</t>
        </is>
      </c>
      <c r="AA17" s="181" t="inlineStr">
        <is>
          <t>PubMed/PMC</t>
        </is>
      </c>
      <c r="AB17" s="181" t="inlineStr">
        <is>
          <t>【768158627760254†L420-L432】; 【768158627760254†L442-L468】; 【628537290338832†L207-L223】; 【754431674042811†L224-L241】</t>
        </is>
      </c>
      <c r="AC17" s="181" t="inlineStr">
        <is>
          <t>【768158627760254†L420-L432】; 【768158627760254†L442-L468】; 【628537290338832†L207-L223】; 【754431674042811†L224-L241】</t>
        </is>
      </c>
      <c r="AD17" s="181" t="inlineStr">
        <is>
          <t>【768158627760254†L420-L432】; 【768158627760254†L442-L468】; 【628537290338832†L207-L223】; 【754431674042811†L224-L241】</t>
        </is>
      </c>
      <c r="AE17" s="181" t="inlineStr">
        <is>
          <t>【768158627760254†L420-L432】; 【768158627760254†L442-L468】; 【628537290338832†L207-L223】; 【754431674042811†L224-L241】</t>
        </is>
      </c>
      <c r="AF17" s="181" t="inlineStr">
        <is>
          <t>Mechanism preserved as qualified language where evidence is preclinical.</t>
        </is>
      </c>
      <c r="AG17" s="174" t="n">
        <v>2</v>
      </c>
      <c r="AH17" s="174" t="n">
        <v>1</v>
      </c>
      <c r="AI17" s="174" t="n">
        <v>3</v>
      </c>
      <c r="AJ17" s="174" t="n">
        <v>6</v>
      </c>
      <c r="AK17" t="inlineStr">
        <is>
          <t>Medium</t>
        </is>
      </c>
      <c r="AL17" t="inlineStr">
        <is>
          <t>Missing</t>
        </is>
      </c>
      <c r="AM17" t="inlineStr">
        <is>
          <t>Linked primary/secondary</t>
        </is>
      </c>
      <c r="AN17" s="175" t="n">
        <v>0.7142857142857143</v>
      </c>
      <c r="AO17" s="11" t="inlineStr">
        <is>
          <t>Near ready</t>
        </is>
      </c>
      <c r="AP17" t="inlineStr">
        <is>
          <t>Editorial</t>
        </is>
      </c>
      <c r="AR17" t="inlineStr">
        <is>
          <t>Editorial polish</t>
        </is>
      </c>
      <c r="AS17" t="inlineStr">
        <is>
          <t>Not started</t>
        </is>
      </c>
      <c r="AT17" t="inlineStr">
        <is>
          <t>Yes</t>
        </is>
      </c>
      <c r="AU17" t="inlineStr">
        <is>
          <t>No</t>
        </is>
      </c>
      <c r="AV17" t="inlineStr">
        <is>
          <t>Yes</t>
        </is>
      </c>
      <c r="AW17" t="inlineStr">
        <is>
          <t>Finalize remaining content gaps</t>
        </is>
      </c>
      <c r="AX17" s="181" t="n">
        <v>1</v>
      </c>
      <c r="AY17" s="181" t="n"/>
      <c r="AZ17" s="181" t="n"/>
      <c r="BA17" s="181">
        <f>IF($AR17="Published","Published",IF($AS17="Passed","Approved",IF($AR17="Ready for QA","QA review",IF($AR17="Source review","Source review",IF($AR17="Editorial polish","Editorial review","Review pending")))))</f>
        <v/>
      </c>
      <c r="BB17" s="181">
        <f>IF(OR($AR17="Published",$AS17="Passed",AND($AY17&lt;&gt;"",$BD17&lt;&gt;"")),"Approved",IF(OR($AY17&lt;&gt;"",$BC17&lt;&gt;"",$BF17&lt;&gt;""),"In review","Pending"))</f>
        <v/>
      </c>
      <c r="BC17" s="181" t="n"/>
      <c r="BD17" s="176" t="n"/>
      <c r="BE17" s="176">
        <f>IF(OR($AY17&lt;&gt;"",$AZ17&lt;&gt;"",$BC17&lt;&gt;"",$BF17&lt;&gt;""),TODAY(),"")</f>
        <v/>
      </c>
      <c r="BF17" s="181" t="n"/>
      <c r="BG17" s="181">
        <f>$B17&amp;"-R"&amp;$AX17</f>
        <v/>
      </c>
      <c r="BH17" s="181">
        <f>COUNTIF('Change History'!$C:$C,$B17)</f>
        <v/>
      </c>
    </row>
    <row r="18">
      <c r="A18" s="12" t="inlineStr">
        <is>
          <t>Valerian</t>
        </is>
      </c>
      <c r="B18" s="13" t="inlineStr">
        <is>
          <t>valerian</t>
        </is>
      </c>
      <c r="C18" s="13" t="inlineStr">
        <is>
          <t>Valeriana officinalis</t>
        </is>
      </c>
      <c r="D18" s="13" t="inlineStr">
        <is>
          <t>herb</t>
        </is>
      </c>
      <c r="E18" s="13" t="inlineStr">
        <is>
          <t>herb</t>
        </is>
      </c>
      <c r="F18" s="13" t="inlineStr">
        <is>
          <t>root; rhizome</t>
        </is>
      </c>
      <c r="G18" s="13" t="inlineStr">
        <is>
          <t>valerian; all-heal; garden heliotrope</t>
        </is>
      </c>
      <c r="H18" s="13" t="inlineStr">
        <is>
          <t>Native to Europe and Asia; naturalized in North America and other temperate regions.</t>
        </is>
      </c>
      <c r="I18" s="16" t="inlineStr">
        <is>
          <t>Valerian (Valeriana officinalis) is a herb monograph focused on the root; rhizome used in herbal preparations. It is associated with Native to Europe and Asia; naturalized in North America and other temperate regions. Valerenic acid derivatives modulate GABA-A signaling and may inhibit GABA breakdown. Short-term use appears safe; side effects include headache, GI upset, mental dullness, excitability, vivid dreams.</t>
        </is>
      </c>
      <c r="J18" s="16" t="inlineStr">
        <is>
          <t>Valerian is represented here as a monograph-style entry centered on the root; rhizome. Key reported compounds include valerenic acid; valerenol; valerenal; valepotriates (valtrate, isovaltrate); sesquiterpenoids. Typical preparation forms: Dried roots/rhizomes as teas, tinctures, or extracts. Valerenic acid derivatives modulate GABA-A signaling and may inhibit GABA breakdown. Interaction profile: May potentiate sedatives and alcohol. Use caution or avoid in: Pregnancy, breastfeeding, liver disease, concurrent CNS depressants.</t>
        </is>
      </c>
      <c r="K18" s="16" t="inlineStr">
        <is>
          <t>valerenic acid; valerenol; valerenal; valepotriates (valtrate, isovaltrate); sesquiterpenoids</t>
        </is>
      </c>
      <c r="L18" s="16" t="inlineStr">
        <is>
          <t>valerenic acid</t>
        </is>
      </c>
      <c r="M18" s="16" t="inlineStr">
        <is>
          <t>Valerenic acid derivatives modulate GABA-A signaling and may inhibit GABA breakdown.</t>
        </is>
      </c>
      <c r="N18" s="16" t="inlineStr">
        <is>
          <t>gabaergic</t>
        </is>
      </c>
      <c r="O18" s="16" t="inlineStr">
        <is>
          <t>preclinical + limited human</t>
        </is>
      </c>
      <c r="P18" s="16" t="inlineStr">
        <is>
          <t>Short-term use appears safe; side effects include headache, GI upset, mental dullness, excitability, vivid dreams. Rare liver injury reported.</t>
        </is>
      </c>
      <c r="Q18" s="16" t="inlineStr">
        <is>
          <t>May potentiate sedatives and alcohol.</t>
        </is>
      </c>
      <c r="R18" s="16" t="inlineStr">
        <is>
          <t>Pregnancy, breastfeeding, liver disease, concurrent CNS depressants.</t>
        </is>
      </c>
      <c r="S18" s="16" t="inlineStr">
        <is>
          <t>Dried roots/rhizomes as teas, tinctures, or extracts.</t>
        </is>
      </c>
      <c r="T18" s="16" t="inlineStr">
        <is>
          <t>300–600 mg extract</t>
        </is>
      </c>
      <c r="U18" s="16" t="str"/>
      <c r="V18" s="16" t="str"/>
      <c r="W18" s="16" t="inlineStr">
        <is>
          <t>medium</t>
        </is>
      </c>
      <c r="X18" s="16" t="inlineStr">
        <is>
          <t>schema-upgraded</t>
        </is>
      </c>
      <c r="Y18" s="16" t="inlineStr">
        <is>
          <t>Recovered from prior batch output in this conversation</t>
        </is>
      </c>
      <c r="Z18" s="16" t="inlineStr">
        <is>
          <t>needs-source-normalization</t>
        </is>
      </c>
      <c r="AA18" s="16" t="inlineStr">
        <is>
          <t>conversation-recovered</t>
        </is>
      </c>
      <c r="AB18" s="16" t="inlineStr">
        <is>
          <t>Recovered from prior batch output in this conversation</t>
        </is>
      </c>
      <c r="AC18" s="16" t="inlineStr">
        <is>
          <t>Recovered from prior batch output in this conversation</t>
        </is>
      </c>
      <c r="AD18" s="16" t="inlineStr">
        <is>
          <t>Recovered from prior batch output in this conversation</t>
        </is>
      </c>
      <c r="AE18" s="16" t="inlineStr">
        <is>
          <t>Recovered from prior batch output in this conversation</t>
        </is>
      </c>
      <c r="AF18" s="16" t="inlineStr">
        <is>
          <t>Mechanism should stay qualified, not stated as established in humans.</t>
        </is>
      </c>
      <c r="AG18" s="177" t="n">
        <v>2</v>
      </c>
      <c r="AH18" s="177" t="n">
        <v>3</v>
      </c>
      <c r="AI18" s="177" t="n">
        <v>1</v>
      </c>
      <c r="AJ18" s="177" t="n">
        <v>6</v>
      </c>
      <c r="AK18" s="13" t="inlineStr">
        <is>
          <t>High</t>
        </is>
      </c>
      <c r="AL18" s="13" t="inlineStr">
        <is>
          <t>Present</t>
        </is>
      </c>
      <c r="AM18" s="13" t="inlineStr">
        <is>
          <t>Conversation-recovered</t>
        </is>
      </c>
      <c r="AN18" s="178" t="n">
        <v>0.9285714285714286</v>
      </c>
      <c r="AO18" s="14" t="inlineStr">
        <is>
          <t>Near ready</t>
        </is>
      </c>
      <c r="AP18" t="inlineStr">
        <is>
          <t>Research</t>
        </is>
      </c>
      <c r="AR18" t="inlineStr">
        <is>
          <t>Source review</t>
        </is>
      </c>
      <c r="AS18" t="inlineStr">
        <is>
          <t>Not started</t>
        </is>
      </c>
      <c r="AT18" t="inlineStr">
        <is>
          <t>No</t>
        </is>
      </c>
      <c r="AU18" t="inlineStr">
        <is>
          <t>No</t>
        </is>
      </c>
      <c r="AV18" t="inlineStr">
        <is>
          <t>Yes</t>
        </is>
      </c>
      <c r="AW18" t="inlineStr">
        <is>
          <t>Normalize source record</t>
        </is>
      </c>
      <c r="AX18" s="181" t="n">
        <v>1</v>
      </c>
      <c r="AY18" s="181" t="n"/>
      <c r="AZ18" s="181" t="n"/>
      <c r="BA18" s="181">
        <f>IF($AR18="Published","Published",IF($AS18="Passed","Approved",IF($AR18="Ready for QA","QA review",IF($AR18="Source review","Source review",IF($AR18="Editorial polish","Editorial review","Review pending")))))</f>
        <v/>
      </c>
      <c r="BB18" s="181">
        <f>IF(OR($AR18="Published",$AS18="Passed",AND($AY18&lt;&gt;"",$BD18&lt;&gt;"")),"Approved",IF(OR($AY18&lt;&gt;"",$BC18&lt;&gt;"",$BF18&lt;&gt;""),"In review","Pending"))</f>
        <v/>
      </c>
      <c r="BC18" s="181" t="n"/>
      <c r="BD18" s="176" t="n"/>
      <c r="BE18" s="176">
        <f>IF(OR($AY18&lt;&gt;"",$AZ18&lt;&gt;"",$BC18&lt;&gt;"",$BF18&lt;&gt;""),TODAY(),"")</f>
        <v/>
      </c>
      <c r="BF18" s="181" t="n"/>
      <c r="BG18" s="181">
        <f>$B18&amp;"-R"&amp;$AX18</f>
        <v/>
      </c>
      <c r="BH18" s="181">
        <f>COUNTIF('Change History'!$C:$C,$B18)</f>
        <v/>
      </c>
    </row>
    <row r="19">
      <c r="A19" t="inlineStr">
        <is>
          <t>American Skullcap</t>
        </is>
      </c>
      <c r="B19" t="inlineStr">
        <is>
          <t>american-skullcap</t>
        </is>
      </c>
      <c r="C19" t="inlineStr">
        <is>
          <t>Scutellaria lateriflora</t>
        </is>
      </c>
      <c r="D19" t="inlineStr">
        <is>
          <t>herb</t>
        </is>
      </c>
      <c r="E19" t="inlineStr">
        <is>
          <t>herb</t>
        </is>
      </c>
      <c r="F19" t="inlineStr">
        <is>
          <t>aerial parts</t>
        </is>
      </c>
      <c r="G19" t="inlineStr">
        <is>
          <t>American skullcap; mad-dog skullcap; Scutellaria lateriflora</t>
        </is>
      </c>
      <c r="H19" t="inlineStr">
        <is>
          <t>Native to North America; especially eastern and central United States and Canada.</t>
        </is>
      </c>
      <c r="I19" t="inlineStr">
        <is>
          <t>American skullcap is an aerial-parts monograph used primarily for calm, tension, and sleep-adjacent positioning. It is stack-relevant for gentle GABAergic support, but product identity matters because American and Chinese skullcap are not interchangeable.</t>
        </is>
      </c>
      <c r="J19" t="inlineStr">
        <is>
          <t>American skullcap is used in teas, tinctures, capsules, and extracts. Reported flavones include baicalin, baicalein, and scutellarin. Position as calming and nervous-system support rather than as a generic 'sedative' shortcut, and keep species identity explicit in frontend labels.</t>
        </is>
      </c>
      <c r="K19" t="inlineStr">
        <is>
          <t>baicalin; baicalein; scutellarin</t>
        </is>
      </c>
      <c r="L19" t="inlineStr">
        <is>
          <t>baicalin; baicalein</t>
        </is>
      </c>
      <c r="M19" t="inlineStr">
        <is>
          <t>Proposed mechanism centers on flavone-driven GABAergic and neuroinhibitory support with additional anti-inflammatory and antioxidant effects.</t>
        </is>
      </c>
      <c r="N19" t="inlineStr">
        <is>
          <t>gabaergic; calming; antioxidant; anti-inflammatory</t>
        </is>
      </c>
      <c r="O19" t="inlineStr">
        <is>
          <t>limited human + preclinical</t>
        </is>
      </c>
      <c r="P19" t="inlineStr">
        <is>
          <t>Usually tolerated, but drowsiness, dizziness, or additive sedation are possible in sensitive users or higher-dose combinations.</t>
        </is>
      </c>
      <c r="Q19" t="inlineStr">
        <is>
          <t>Use caution with sedatives, alcohol, anticonvulsants, and polyherbal sleep formulas.</t>
        </is>
      </c>
      <c r="R19" t="inlineStr">
        <is>
          <t>Pregnancy and breastfeeding: insufficient safety data. Use caution in heavy-sedation contexts and in users combining multiple CNS depressants.</t>
        </is>
      </c>
      <c r="S19" t="inlineStr">
        <is>
          <t>Teas, tinctures, capsules, and aerial-parts extracts.</t>
        </is>
      </c>
      <c r="T19" t="inlineStr">
        <is>
          <t>Product-specific extract dosing; traditional tea/tincture use common</t>
        </is>
      </c>
      <c r="U19" t="inlineStr">
        <is>
          <t>Species identity should distinguish American skullcap from Chinese skullcap; extract standardization is inconsistent.</t>
        </is>
      </c>
      <c r="V19" t="inlineStr">
        <is>
          <t>Mislabeling between skullcap species materially changes chemistry and positioning.</t>
        </is>
      </c>
      <c r="W19" t="inlineStr">
        <is>
          <t>medium</t>
        </is>
      </c>
      <c r="X19" t="inlineStr">
        <is>
          <t>schema-upgraded</t>
        </is>
      </c>
      <c r="Y19" t="inlineStr">
        <is>
          <t>https://plants.sc.egov.usda.gov/home/search?query=Scutellaria%20lateriflora | https://pubchem.ncbi.nlm.nih.gov/compound/Baicalin | https://pubchem.ncbi.nlm.nih.gov/compound/Baicalein | https://pubchem.ncbi.nlm.nih.gov/#query=scutellarin</t>
        </is>
      </c>
      <c r="Z19" t="inlineStr">
        <is>
          <t>present</t>
        </is>
      </c>
      <c r="AA19" t="inlineStr">
        <is>
          <t>USDA Plants + PubChem</t>
        </is>
      </c>
      <c r="AB19" t="inlineStr">
        <is>
          <t>https://plants.sc.egov.usda.gov/home/search?query=Scutellaria%20lateriflora | https://pubchem.ncbi.nlm.nih.gov/compound/Baicalin</t>
        </is>
      </c>
      <c r="AC19" t="inlineStr">
        <is>
          <t>https://pubchem.ncbi.nlm.nih.gov/compound/Baicalein | https://pubchem.ncbi.nlm.nih.gov/#query=scutellarin</t>
        </is>
      </c>
      <c r="AD19" t="inlineStr">
        <is>
          <t>https://plants.sc.egov.usda.gov/home/search?query=Scutellaria%20lateriflora</t>
        </is>
      </c>
      <c r="AE19" t="inlineStr">
        <is>
          <t>https://plants.sc.egov.usda.gov/home/search?query=Scutellaria%20lateriflora</t>
        </is>
      </c>
      <c r="AF19" t="inlineStr">
        <is>
          <t>Keep species-separated from Chinese skullcap in stacks and frontend copy.</t>
        </is>
      </c>
      <c r="AG19" t="n">
        <v>2</v>
      </c>
      <c r="AH19" t="n">
        <v>2</v>
      </c>
      <c r="AI19" t="n">
        <v>3</v>
      </c>
      <c r="AJ19" t="n">
        <v>7</v>
      </c>
      <c r="AK19" t="inlineStr">
        <is>
          <t>Medium</t>
        </is>
      </c>
      <c r="AL19" t="inlineStr">
        <is>
          <t>Present</t>
        </is>
      </c>
      <c r="AM19" t="inlineStr">
        <is>
          <t>Linked primary/secondary</t>
        </is>
      </c>
      <c r="AN19" t="n">
        <v>0.8100000000000001</v>
      </c>
      <c r="AO19" t="inlineStr">
        <is>
          <t>Ready</t>
        </is>
      </c>
      <c r="AP19" t="inlineStr">
        <is>
          <t>Research</t>
        </is>
      </c>
      <c r="AR19" t="inlineStr">
        <is>
          <t>Ready for QA</t>
        </is>
      </c>
      <c r="AS19" t="inlineStr">
        <is>
          <t>Not started</t>
        </is>
      </c>
      <c r="AT19" t="inlineStr">
        <is>
          <t>Yes</t>
        </is>
      </c>
      <c r="AU19" t="inlineStr">
        <is>
          <t>Yes</t>
        </is>
      </c>
      <c r="AV19" t="inlineStr">
        <is>
          <t>Yes</t>
        </is>
      </c>
      <c r="AX19" t="n">
        <v>1</v>
      </c>
      <c r="BA19" t="inlineStr">
        <is>
          <t>QA review</t>
        </is>
      </c>
      <c r="BB19" t="inlineStr">
        <is>
          <t>Pending</t>
        </is>
      </c>
      <c r="BG19" t="inlineStr">
        <is>
          <t>american-skullcap-R1</t>
        </is>
      </c>
      <c r="BH19" t="n">
        <v>0</v>
      </c>
    </row>
    <row r="20">
      <c r="A20" t="inlineStr">
        <is>
          <t>Motherwort</t>
        </is>
      </c>
      <c r="B20" t="inlineStr">
        <is>
          <t>motherwort</t>
        </is>
      </c>
      <c r="C20" t="inlineStr">
        <is>
          <t>Leonurus cardiaca</t>
        </is>
      </c>
      <c r="D20" t="inlineStr">
        <is>
          <t>herb</t>
        </is>
      </c>
      <c r="E20" t="inlineStr">
        <is>
          <t>herb</t>
        </is>
      </c>
      <c r="F20" t="inlineStr">
        <is>
          <t>aerial parts</t>
        </is>
      </c>
      <c r="G20" t="inlineStr">
        <is>
          <t>motherwort; Leonurus cardiaca; lion's tail</t>
        </is>
      </c>
      <c r="H20" t="inlineStr">
        <is>
          <t>Native to Eurasia; naturalized widely in North America.</t>
        </is>
      </c>
      <c r="I20" t="inlineStr">
        <is>
          <t>Motherwort is an aerial-parts monograph with historical use around calm, palpitations, and menstrual-support positioning. It is useful for the system because it combines calming relevance with cardiovascular and uterine caution logic.</t>
        </is>
      </c>
      <c r="J20" t="inlineStr">
        <is>
          <t>Motherwort is used in teas, tinctures, and capsules. Reported constituents include leonurine and stachydrine along with flavonoid fractions. Position cautiously: calming and cycle-support language can coexist with stronger contraindication gating for pregnancy and cardiovascular-medication overlap.</t>
        </is>
      </c>
      <c r="K20" t="inlineStr">
        <is>
          <t>leonurine; stachydrine; flavonoids</t>
        </is>
      </c>
      <c r="L20" t="inlineStr">
        <is>
          <t>leonurine; stachydrine</t>
        </is>
      </c>
      <c r="M20" t="inlineStr">
        <is>
          <t>Proposed mechanism includes mild GABAergic and autonomic-calming effects with additional cardiometabolic and smooth-muscle-adjacent actions attributed to leonurine and related alkaloids.</t>
        </is>
      </c>
      <c r="N20" t="inlineStr">
        <is>
          <t>calming; cardiovascular-adjacent; smooth-muscle-adjacent</t>
        </is>
      </c>
      <c r="O20" t="inlineStr">
        <is>
          <t>traditional use + preclinical</t>
        </is>
      </c>
      <c r="P20" t="inlineStr">
        <is>
          <t>May cause GI upset, sedation, or dizziness in some users; avoid framing as universally gentle because uterine and cardiovascular considerations matter.</t>
        </is>
      </c>
      <c r="Q20" t="inlineStr">
        <is>
          <t>Use caution with anticoagulants, antihypertensives, sedatives, and other agents affecting uterine tone or bleeding.</t>
        </is>
      </c>
      <c r="R20" t="inlineStr">
        <is>
          <t>Avoid in pregnancy. Use caution with heavy menstrual bleeding, anticoagulant use, low blood pressure, or arrhythmia management.</t>
        </is>
      </c>
      <c r="S20" t="inlineStr">
        <is>
          <t>Teas, tinctures, and aerial-parts extracts.</t>
        </is>
      </c>
      <c r="T20" t="inlineStr">
        <is>
          <t>Product-specific tincture/extract dosing</t>
        </is>
      </c>
      <c r="U20" t="inlineStr">
        <is>
          <t>Standardization is inconsistent and many products are positioned more by tradition than compound assay.</t>
        </is>
      </c>
      <c r="V20" t="inlineStr">
        <is>
          <t>Species identity and extract standardization vary; safety framing should outweigh casual wellness positioning.</t>
        </is>
      </c>
      <c r="W20" t="inlineStr">
        <is>
          <t>medium</t>
        </is>
      </c>
      <c r="X20" t="inlineStr">
        <is>
          <t>schema-upgraded</t>
        </is>
      </c>
      <c r="Y20" t="inlineStr">
        <is>
          <t>https://plants.sc.egov.usda.gov/home/search?query=Leonurus%20cardiaca | https://pubchem.ncbi.nlm.nih.gov/compound/Leonurine | https://pubchem.ncbi.nlm.nih.gov/compound/Stachydrine</t>
        </is>
      </c>
      <c r="Z20" t="inlineStr">
        <is>
          <t>present</t>
        </is>
      </c>
      <c r="AA20" t="inlineStr">
        <is>
          <t>USDA Plants + PubChem</t>
        </is>
      </c>
      <c r="AB20" t="inlineStr">
        <is>
          <t>https://plants.sc.egov.usda.gov/home/search?query=Leonurus%20cardiaca | https://pubchem.ncbi.nlm.nih.gov/compound/Leonurine</t>
        </is>
      </c>
      <c r="AC20" t="inlineStr">
        <is>
          <t>https://pubchem.ncbi.nlm.nih.gov/compound/Stachydrine</t>
        </is>
      </c>
      <c r="AD20" t="inlineStr">
        <is>
          <t>https://plants.sc.egov.usda.gov/home/search?query=Leonurus%20cardiaca</t>
        </is>
      </c>
      <c r="AE20" t="inlineStr">
        <is>
          <t>https://plants.sc.egov.usda.gov/home/search?query=Leonurus%20cardiaca</t>
        </is>
      </c>
      <c r="AF20" t="inlineStr">
        <is>
          <t>Gate hard for pregnancy and bleeding-risk contexts.</t>
        </is>
      </c>
      <c r="AG20" t="n">
        <v>2</v>
      </c>
      <c r="AH20" t="n">
        <v>2</v>
      </c>
      <c r="AI20" t="n">
        <v>3</v>
      </c>
      <c r="AJ20" t="n">
        <v>7</v>
      </c>
      <c r="AK20" t="inlineStr">
        <is>
          <t>Medium</t>
        </is>
      </c>
      <c r="AL20" t="inlineStr">
        <is>
          <t>Present</t>
        </is>
      </c>
      <c r="AM20" t="inlineStr">
        <is>
          <t>Linked primary/secondary</t>
        </is>
      </c>
      <c r="AN20" t="n">
        <v>0.79</v>
      </c>
      <c r="AO20" t="inlineStr">
        <is>
          <t>Ready</t>
        </is>
      </c>
      <c r="AP20" t="inlineStr">
        <is>
          <t>Research</t>
        </is>
      </c>
      <c r="AR20" t="inlineStr">
        <is>
          <t>Ready for QA</t>
        </is>
      </c>
      <c r="AS20" t="inlineStr">
        <is>
          <t>Not started</t>
        </is>
      </c>
      <c r="AT20" t="inlineStr">
        <is>
          <t>Yes</t>
        </is>
      </c>
      <c r="AU20" t="inlineStr">
        <is>
          <t>Yes</t>
        </is>
      </c>
      <c r="AV20" t="inlineStr">
        <is>
          <t>Yes</t>
        </is>
      </c>
      <c r="AX20" t="n">
        <v>1</v>
      </c>
      <c r="BA20" t="inlineStr">
        <is>
          <t>QA review</t>
        </is>
      </c>
      <c r="BB20" t="inlineStr">
        <is>
          <t>Pending</t>
        </is>
      </c>
      <c r="BG20" t="inlineStr">
        <is>
          <t>motherwort-R1</t>
        </is>
      </c>
      <c r="BH20" t="n">
        <v>0</v>
      </c>
    </row>
    <row r="21">
      <c r="A21" t="inlineStr">
        <is>
          <t>Saffron</t>
        </is>
      </c>
      <c r="B21" t="inlineStr">
        <is>
          <t>saffron</t>
        </is>
      </c>
      <c r="C21" t="inlineStr">
        <is>
          <t>Crocus sativus</t>
        </is>
      </c>
      <c r="D21" t="inlineStr">
        <is>
          <t>herb</t>
        </is>
      </c>
      <c r="E21" t="inlineStr">
        <is>
          <t>stigma</t>
        </is>
      </c>
      <c r="F21" t="inlineStr">
        <is>
          <t>stigma</t>
        </is>
      </c>
      <c r="G21" t="inlineStr">
        <is>
          <t>saffron; Crocus sativus</t>
        </is>
      </c>
      <c r="H21" t="inlineStr">
        <is>
          <t>Cultivated in Southwest Asia, the Mediterranean, and other dry temperate regions.</t>
        </is>
      </c>
      <c r="I21" t="inlineStr">
        <is>
          <t>Saffron is a stigma monograph with mood-support and sensory-positioning relevance. It is high-value for the system because it has frontend appeal, a relatively distinct chemistry, and practical differentiation from generic calming herbs.</t>
        </is>
      </c>
      <c r="J21" t="inlineStr">
        <is>
          <t>Saffron is used as culinary stigma threads, powders, and standardized extracts. Key compounds include crocin, safranal, and picrocrocin. Position around mood/stress support with restrained claims and careful cost/quality framing because adulteration risk is meaningful.</t>
        </is>
      </c>
      <c r="K21" t="inlineStr">
        <is>
          <t>crocin; safranal; picrocrocin</t>
        </is>
      </c>
      <c r="L21" t="inlineStr">
        <is>
          <t>crocin; safranal</t>
        </is>
      </c>
      <c r="M21" t="inlineStr">
        <is>
          <t>Proposed mechanism includes serotonergic and glutamatergic modulation together with antioxidant and neuroprotective effects associated with crocins and volatile constituents such as safranal.</t>
        </is>
      </c>
      <c r="N21" t="inlineStr">
        <is>
          <t>mood-support; serotonergic-adjacent; antioxidant; neuroprotective</t>
        </is>
      </c>
      <c r="O21" t="inlineStr">
        <is>
          <t>mixed human + preclinical</t>
        </is>
      </c>
      <c r="P21" t="inlineStr">
        <is>
          <t>Usually tolerated in supplement-range doses, but dizziness, GI upset, headache, or overstimulation are possible in some users.</t>
        </is>
      </c>
      <c r="Q21" t="inlineStr">
        <is>
          <t>Use caution with serotonergic drugs, anticoagulants, antihypertensives, and mood-active stacks.</t>
        </is>
      </c>
      <c r="R21" t="inlineStr">
        <is>
          <t>Pregnancy: avoid high-dose medicinal use. Use caution in bipolar-spectrum activation risk or in serotonergic polypharmacy.</t>
        </is>
      </c>
      <c r="S21" t="inlineStr">
        <is>
          <t>Whole stigma, powders, capsules, and standardized extracts.</t>
        </is>
      </c>
      <c r="T21" t="inlineStr">
        <is>
          <t>Product-specific extract dosing</t>
        </is>
      </c>
      <c r="U21" t="inlineStr">
        <is>
          <t>High-value ingredient with meaningful adulteration and color-standardization issues; extract identity should be explicit.</t>
        </is>
      </c>
      <c r="V21" t="inlineStr">
        <is>
          <t>Adulteration/substitution risk is significant; distinguish culinary stigma from extract products.</t>
        </is>
      </c>
      <c r="W21" t="inlineStr">
        <is>
          <t>medium-high</t>
        </is>
      </c>
      <c r="X21" t="inlineStr">
        <is>
          <t>schema-upgraded</t>
        </is>
      </c>
      <c r="Y21" t="inlineStr">
        <is>
          <t>https://plants.sc.egov.usda.gov/home/search?query=Crocus%20sativus | https://pubchem.ncbi.nlm.nih.gov/#query=crocin | https://pubchem.ncbi.nlm.nih.gov/#query=safranal | https://pubchem.ncbi.nlm.nih.gov/#query=picrocrocin</t>
        </is>
      </c>
      <c r="Z21" t="inlineStr">
        <is>
          <t>present</t>
        </is>
      </c>
      <c r="AA21" t="inlineStr">
        <is>
          <t>USDA Plants + PubChem</t>
        </is>
      </c>
      <c r="AB21" t="inlineStr">
        <is>
          <t>https://plants.sc.egov.usda.gov/home/search?query=Crocus%20sativus | https://pubchem.ncbi.nlm.nih.gov/#query=crocin</t>
        </is>
      </c>
      <c r="AC21" t="inlineStr">
        <is>
          <t>https://pubchem.ncbi.nlm.nih.gov/#query=safranal | https://pubchem.ncbi.nlm.nih.gov/#query=picrocrocin</t>
        </is>
      </c>
      <c r="AD21" t="inlineStr">
        <is>
          <t>https://plants.sc.egov.usda.gov/home/search?query=Crocus%20sativus</t>
        </is>
      </c>
      <c r="AE21" t="inlineStr">
        <is>
          <t>https://plants.sc.egov.usda.gov/home/search?query=Crocus%20sativus</t>
        </is>
      </c>
      <c r="AF21" t="inlineStr">
        <is>
          <t>Keep premium-ingredient positioning but reinforce serotonergic and pregnancy caution.</t>
        </is>
      </c>
      <c r="AG21" t="n">
        <v>3</v>
      </c>
      <c r="AH21" t="n">
        <v>2</v>
      </c>
      <c r="AI21" t="n">
        <v>3</v>
      </c>
      <c r="AJ21" t="n">
        <v>8</v>
      </c>
      <c r="AK21" t="inlineStr">
        <is>
          <t>High</t>
        </is>
      </c>
      <c r="AL21" t="inlineStr">
        <is>
          <t>Present</t>
        </is>
      </c>
      <c r="AM21" t="inlineStr">
        <is>
          <t>Linked primary/secondary</t>
        </is>
      </c>
      <c r="AN21" t="n">
        <v>0.84</v>
      </c>
      <c r="AO21" t="inlineStr">
        <is>
          <t>Ready</t>
        </is>
      </c>
      <c r="AP21" t="inlineStr">
        <is>
          <t>Research</t>
        </is>
      </c>
      <c r="AR21" t="inlineStr">
        <is>
          <t>Ready for QA</t>
        </is>
      </c>
      <c r="AS21" t="inlineStr">
        <is>
          <t>Not started</t>
        </is>
      </c>
      <c r="AT21" t="inlineStr">
        <is>
          <t>Yes</t>
        </is>
      </c>
      <c r="AU21" t="inlineStr">
        <is>
          <t>Yes</t>
        </is>
      </c>
      <c r="AV21" t="inlineStr">
        <is>
          <t>Yes</t>
        </is>
      </c>
      <c r="AX21" t="n">
        <v>1</v>
      </c>
      <c r="BA21" t="inlineStr">
        <is>
          <t>QA review</t>
        </is>
      </c>
      <c r="BB21" t="inlineStr">
        <is>
          <t>Pending</t>
        </is>
      </c>
      <c r="BG21" t="inlineStr">
        <is>
          <t>saffron-R1</t>
        </is>
      </c>
      <c r="BH21" t="n">
        <v>0</v>
      </c>
    </row>
    <row r="22">
      <c r="A22" t="inlineStr">
        <is>
          <t>Licorice</t>
        </is>
      </c>
      <c r="B22" t="inlineStr">
        <is>
          <t>licorice</t>
        </is>
      </c>
      <c r="C22" t="inlineStr">
        <is>
          <t>Glycyrrhiza glabra</t>
        </is>
      </c>
      <c r="D22" t="inlineStr">
        <is>
          <t>herb</t>
        </is>
      </c>
      <c r="E22" t="inlineStr">
        <is>
          <t>root</t>
        </is>
      </c>
      <c r="F22" t="inlineStr">
        <is>
          <t>root</t>
        </is>
      </c>
      <c r="G22" t="inlineStr">
        <is>
          <t>licorice; liquorice; sweet root</t>
        </is>
      </c>
      <c r="H22" t="inlineStr">
        <is>
          <t>Native to southwestern Asia and parts of Europe; cultivated broadly.</t>
        </is>
      </c>
      <c r="I22" t="inlineStr">
        <is>
          <t>Licorice is a root monograph used for soothing GI/respiratory positioning and for endocrine-adjacent effects driven largely by glycyrrhizin. It is a high-leverage addition because whole-root licorice and DGL are not interchangeable from a safety standpoint.</t>
        </is>
      </c>
      <c r="J22" t="inlineStr">
        <is>
          <t>Licorice root is used as tea, decoction, powder, extract, and deglycyrrhizinated licorice (DGL) products. Major constituents include glycyrrhizin, liquiritigenin, isoliquiritigenin, and glabridin. Frontend logic should split whole-root licorice from DGL whenever blood-pressure or potassium risk matters.</t>
        </is>
      </c>
      <c r="K22" t="inlineStr">
        <is>
          <t>glycyrrhizin; liquiritigenin; isoliquiritigenin; glabridin</t>
        </is>
      </c>
      <c r="L22" t="inlineStr">
        <is>
          <t>glycyrrhizin; liquiritigenin</t>
        </is>
      </c>
      <c r="M22" t="inlineStr">
        <is>
          <t>Mechanism includes 11beta-HSD2 inhibition with downstream mineralocorticoid-like effects plus anti-inflammatory and mucosal-support activity from flavonoid constituents.</t>
        </is>
      </c>
      <c r="N22" t="inlineStr">
        <is>
          <t>endocrine-modulating; anti-inflammatory; demulcent</t>
        </is>
      </c>
      <c r="O22" t="inlineStr">
        <is>
          <t>limited human + preclinical</t>
        </is>
      </c>
      <c r="P22" t="inlineStr">
        <is>
          <t>Chronic or high-glycyrrhizin intake can raise blood pressure, lower potassium, and increase edema or arrhythmia risk in susceptible users.</t>
        </is>
      </c>
      <c r="Q22" t="inlineStr">
        <is>
          <t>Use caution with diuretics, corticosteroids, digoxin, antihypertensives, warfarin, and other drugs affected by potassium or blood-pressure shifts.</t>
        </is>
      </c>
      <c r="R22" t="inlineStr">
        <is>
          <t>Avoid in pregnancy, uncontrolled hypertension, kidney disease, hypokalemia, heart failure, or edema-prone users unless clinically supervised.</t>
        </is>
      </c>
      <c r="S22" t="inlineStr">
        <is>
          <t>Teas, decoctions, powders, extracts, and DGL chewables/capsules.</t>
        </is>
      </c>
      <c r="T22" t="inlineStr">
        <is>
          <t>Product-specific dosing; DGL and whole-root licorice must be separated</t>
        </is>
      </c>
      <c r="U22" t="inlineStr">
        <is>
          <t>Glycyrrhizin content varies widely; DGL removes most glycyrrhizin and changes risk profile materially.</t>
        </is>
      </c>
      <c r="V22" t="inlineStr">
        <is>
          <t>DGL vs whole-root confusion materially changes safety and frontend recommendation logic.</t>
        </is>
      </c>
      <c r="W22" t="inlineStr">
        <is>
          <t>medium-high</t>
        </is>
      </c>
      <c r="X22" t="inlineStr">
        <is>
          <t>schema-upgraded</t>
        </is>
      </c>
      <c r="Y22" t="inlineStr">
        <is>
          <t>https://www.nccih.nih.gov/health/licorice-root | https://pubchem.ncbi.nlm.nih.gov/compound/Glycyrrhizin | https://pubchem.ncbi.nlm.nih.gov/compound/Liquiritigenin | https://pubchem.ncbi.nlm.nih.gov/compound/Isoliquiritigenin | https://pubchem.ncbi.nlm.nih.gov/compound/Glabridin</t>
        </is>
      </c>
      <c r="Z22" t="inlineStr">
        <is>
          <t>present</t>
        </is>
      </c>
      <c r="AA22" t="inlineStr">
        <is>
          <t>NCCIH + PubChem</t>
        </is>
      </c>
      <c r="AB22" t="inlineStr">
        <is>
          <t>https://www.nccih.nih.gov/health/licorice-root | https://pubchem.ncbi.nlm.nih.gov/compound/Glycyrrhizin</t>
        </is>
      </c>
      <c r="AC22" t="inlineStr">
        <is>
          <t>https://pubchem.ncbi.nlm.nih.gov/compound/Liquiritigenin | https://pubchem.ncbi.nlm.nih.gov/compound/Isoliquiritigenin | https://pubchem.ncbi.nlm.nih.gov/compound/Glabridin</t>
        </is>
      </c>
      <c r="AD22" t="inlineStr">
        <is>
          <t>https://www.nccih.nih.gov/health/licorice-root</t>
        </is>
      </c>
      <c r="AE22" t="inlineStr">
        <is>
          <t>https://www.nccih.nih.gov/health/licorice-root</t>
        </is>
      </c>
      <c r="AF22" t="inlineStr">
        <is>
          <t>Frontend must distinguish DGL from glycyrrhizin-containing licorice.</t>
        </is>
      </c>
      <c r="AG22" t="n">
        <v>3</v>
      </c>
      <c r="AH22" t="n">
        <v>2</v>
      </c>
      <c r="AI22" t="n">
        <v>3</v>
      </c>
      <c r="AJ22" t="n">
        <v>8</v>
      </c>
      <c r="AK22" t="inlineStr">
        <is>
          <t>High</t>
        </is>
      </c>
      <c r="AL22" t="inlineStr">
        <is>
          <t>Present</t>
        </is>
      </c>
      <c r="AM22" t="inlineStr">
        <is>
          <t>Linked primary/secondary</t>
        </is>
      </c>
      <c r="AN22" t="n">
        <v>0.86</v>
      </c>
      <c r="AO22" t="inlineStr">
        <is>
          <t>Ready</t>
        </is>
      </c>
      <c r="AP22" t="inlineStr">
        <is>
          <t>Research</t>
        </is>
      </c>
      <c r="AR22" t="inlineStr">
        <is>
          <t>Ready for QA</t>
        </is>
      </c>
      <c r="AS22" t="inlineStr">
        <is>
          <t>Not started</t>
        </is>
      </c>
      <c r="AT22" t="inlineStr">
        <is>
          <t>Yes</t>
        </is>
      </c>
      <c r="AU22" t="inlineStr">
        <is>
          <t>Yes</t>
        </is>
      </c>
      <c r="AV22" t="inlineStr">
        <is>
          <t>Yes</t>
        </is>
      </c>
      <c r="AX22" t="n">
        <v>1</v>
      </c>
      <c r="BA22" t="inlineStr">
        <is>
          <t>QA review</t>
        </is>
      </c>
      <c r="BB22" t="inlineStr">
        <is>
          <t>Pending</t>
        </is>
      </c>
      <c r="BG22" t="inlineStr">
        <is>
          <t>licorice-R1</t>
        </is>
      </c>
      <c r="BH22" t="n">
        <v>0</v>
      </c>
    </row>
    <row r="23">
      <c r="A23" t="inlineStr">
        <is>
          <t>lemon-balm</t>
        </is>
      </c>
      <c r="B23" t="inlineStr">
        <is>
          <t>Melissa officinalis</t>
        </is>
      </c>
      <c r="C23" t="inlineStr">
        <is>
          <t>GABA transaminase inhibition, calming</t>
        </is>
      </c>
      <c r="D23" t="inlineStr">
        <is>
          <t>rosmarinic acid</t>
        </is>
      </c>
      <c r="E23" t="inlineStr">
        <is>
          <t>mild sedation</t>
        </is>
      </c>
    </row>
    <row r="24">
      <c r="A24" t="inlineStr">
        <is>
          <t>holy-basil</t>
        </is>
      </c>
      <c r="B24" t="inlineStr">
        <is>
          <t>Ocimum sanctum</t>
        </is>
      </c>
      <c r="C24" t="inlineStr">
        <is>
          <t>adaptogenic, cortisol modulation</t>
        </is>
      </c>
      <c r="D24" t="inlineStr">
        <is>
          <t>eugenol</t>
        </is>
      </c>
      <c r="E24" t="inlineStr">
        <is>
          <t>generally safe</t>
        </is>
      </c>
    </row>
    <row r="25">
      <c r="A25" t="inlineStr">
        <is>
          <t>valerian</t>
        </is>
      </c>
      <c r="B25" t="inlineStr">
        <is>
          <t>Valeriana officinalis</t>
        </is>
      </c>
      <c r="C25" t="inlineStr">
        <is>
          <t>GABAergic sedation</t>
        </is>
      </c>
      <c r="D25" t="inlineStr">
        <is>
          <t>valerenic acids</t>
        </is>
      </c>
      <c r="E25" t="inlineStr">
        <is>
          <t>sedation; avoid alcohol</t>
        </is>
      </c>
    </row>
    <row r="26">
      <c r="A26" t="inlineStr">
        <is>
          <t>cordyceps</t>
        </is>
      </c>
      <c r="B26" t="inlineStr">
        <is>
          <t>Cordyceps militaris</t>
        </is>
      </c>
      <c r="C26" t="inlineStr">
        <is>
          <t>ATP production support, adaptogenic</t>
        </is>
      </c>
      <c r="D26" t="inlineStr">
        <is>
          <t>cordycepin</t>
        </is>
      </c>
      <c r="E26" t="inlineStr">
        <is>
          <t>generally safe</t>
        </is>
      </c>
    </row>
    <row r="27">
      <c r="A27" t="inlineStr">
        <is>
          <t>turmeric</t>
        </is>
      </c>
      <c r="B27" t="inlineStr">
        <is>
          <t>Curcuma longa</t>
        </is>
      </c>
      <c r="C27" t="inlineStr">
        <is>
          <t>anti-inflammatory, NF-kB modulation</t>
        </is>
      </c>
      <c r="D27" t="inlineStr">
        <is>
          <t>curcuminoids</t>
        </is>
      </c>
      <c r="E27" t="inlineStr">
        <is>
          <t>low bioavailability; may interact with anticoagulants</t>
        </is>
      </c>
    </row>
    <row r="28">
      <c r="A28" t="inlineStr">
        <is>
          <t>ginger</t>
        </is>
      </c>
      <c r="B28" t="inlineStr">
        <is>
          <t>Zingiber officinale</t>
        </is>
      </c>
      <c r="C28" t="inlineStr">
        <is>
          <t>anti-inflammatory, GI motility support</t>
        </is>
      </c>
      <c r="D28" t="inlineStr">
        <is>
          <t>gingerols, shogaols</t>
        </is>
      </c>
      <c r="E28" t="inlineStr">
        <is>
          <t>generally safe</t>
        </is>
      </c>
    </row>
    <row r="29">
      <c r="A29" t="inlineStr">
        <is>
          <t>green-tea</t>
        </is>
      </c>
      <c r="B29" t="inlineStr">
        <is>
          <t>Camellia sinensis</t>
        </is>
      </c>
      <c r="C29" t="inlineStr">
        <is>
          <t>antioxidant, mild stimulant</t>
        </is>
      </c>
      <c r="D29" t="inlineStr">
        <is>
          <t>EGCG, caffeine</t>
        </is>
      </c>
      <c r="E29" t="inlineStr">
        <is>
          <t>caffeine sensitivity</t>
        </is>
      </c>
    </row>
    <row r="30">
      <c r="A30" t="inlineStr">
        <is>
          <t>kava</t>
        </is>
      </c>
      <c r="B30" t="inlineStr">
        <is>
          <t>Piper methysticum</t>
        </is>
      </c>
      <c r="C30" t="inlineStr">
        <is>
          <t>GABAergic, anxiolytic</t>
        </is>
      </c>
      <c r="D30" t="inlineStr">
        <is>
          <t>kavalactones</t>
        </is>
      </c>
      <c r="E30" t="inlineStr">
        <is>
          <t>liver toxicity risk with misuse</t>
        </is>
      </c>
    </row>
    <row r="31">
      <c r="A31" t="inlineStr">
        <is>
          <t>reishi</t>
        </is>
      </c>
      <c r="B31" t="inlineStr">
        <is>
          <t>Ganoderma lucidum</t>
        </is>
      </c>
      <c r="C31" t="inlineStr">
        <is>
          <t>immunomodulatory, adaptogenic</t>
        </is>
      </c>
      <c r="D31" t="inlineStr">
        <is>
          <t>beta-glucans, triterpenes</t>
        </is>
      </c>
      <c r="E31" t="inlineStr">
        <is>
          <t>generally safe; may affect blood pressure</t>
        </is>
      </c>
    </row>
    <row r="32">
      <c r="A32" t="inlineStr">
        <is>
          <t>lions-mane</t>
        </is>
      </c>
      <c r="B32" t="inlineStr">
        <is>
          <t>Hericium erinaceus</t>
        </is>
      </c>
      <c r="C32" t="inlineStr">
        <is>
          <t>neurotrophic, NGF stimulation</t>
        </is>
      </c>
      <c r="D32" t="inlineStr">
        <is>
          <t>hericenones, erinacines</t>
        </is>
      </c>
      <c r="E32" t="inlineStr">
        <is>
          <t>generally safe</t>
        </is>
      </c>
    </row>
    <row r="33">
      <c r="A33" t="inlineStr">
        <is>
          <t>peppermint</t>
        </is>
      </c>
      <c r="B33" t="inlineStr">
        <is>
          <t>Mentha piperita</t>
        </is>
      </c>
      <c r="C33" t="inlineStr">
        <is>
          <t>smooth muscle relaxation, GI relief</t>
        </is>
      </c>
      <c r="D33" t="inlineStr">
        <is>
          <t>menthol</t>
        </is>
      </c>
      <c r="E33" t="inlineStr">
        <is>
          <t>may worsen reflux in some</t>
        </is>
      </c>
    </row>
    <row r="34">
      <c r="A34" t="inlineStr">
        <is>
          <t>black-seed</t>
        </is>
      </c>
      <c r="B34" t="inlineStr">
        <is>
          <t>Nigella sativa</t>
        </is>
      </c>
      <c r="C34" t="inlineStr">
        <is>
          <t>anti-inflammatory, antioxidant</t>
        </is>
      </c>
      <c r="D34" t="inlineStr">
        <is>
          <t>thymoquinone</t>
        </is>
      </c>
      <c r="E34" t="inlineStr">
        <is>
          <t>generally safe</t>
        </is>
      </c>
    </row>
    <row r="35">
      <c r="A35" t="inlineStr">
        <is>
          <t>milk-thistle</t>
        </is>
      </c>
      <c r="B35" t="inlineStr">
        <is>
          <t>Silybum marianum</t>
        </is>
      </c>
      <c r="C35" t="inlineStr">
        <is>
          <t>hepatoprotective, antioxidant</t>
        </is>
      </c>
      <c r="D35" t="inlineStr">
        <is>
          <t>silymarin</t>
        </is>
      </c>
      <c r="E35" t="inlineStr">
        <is>
          <t>generally safe; mild GI upset</t>
        </is>
      </c>
    </row>
    <row r="36">
      <c r="A36" t="inlineStr">
        <is>
          <t>st-johns-wort</t>
        </is>
      </c>
      <c r="B36" t="inlineStr">
        <is>
          <t>Hypericum perforatum</t>
        </is>
      </c>
      <c r="C36" t="inlineStr">
        <is>
          <t>serotonergic modulation, antidepressant</t>
        </is>
      </c>
      <c r="D36" t="inlineStr">
        <is>
          <t>hypericin, hyperforin</t>
        </is>
      </c>
      <c r="E36" t="inlineStr">
        <is>
          <t>major drug interactions (CYP induction)</t>
        </is>
      </c>
    </row>
    <row r="37">
      <c r="A37" t="inlineStr">
        <is>
          <t>yerba-mate</t>
        </is>
      </c>
      <c r="B37" t="inlineStr">
        <is>
          <t>Ilex paraguariensis</t>
        </is>
      </c>
      <c r="C37" t="inlineStr">
        <is>
          <t>stimulant, antioxidant</t>
        </is>
      </c>
      <c r="D37" t="inlineStr">
        <is>
          <t>caffeine, theobromine</t>
        </is>
      </c>
      <c r="E37" t="inlineStr">
        <is>
          <t>caffeine sensitivity</t>
        </is>
      </c>
    </row>
    <row r="38">
      <c r="A38" t="inlineStr">
        <is>
          <t>damiana</t>
        </is>
      </c>
      <c r="B38" t="inlineStr">
        <is>
          <t>Turnera diffusa</t>
        </is>
      </c>
      <c r="C38" t="inlineStr">
        <is>
          <t>mild stimulant, aphrodisiac (traditional use)</t>
        </is>
      </c>
      <c r="D38" t="inlineStr">
        <is>
          <t>flavonoids, terpenes</t>
        </is>
      </c>
      <c r="E38" t="inlineStr">
        <is>
          <t>limited human data</t>
        </is>
      </c>
    </row>
    <row r="39">
      <c r="A39" s="181" t="inlineStr">
        <is>
          <t>nettles</t>
        </is>
      </c>
      <c r="B39" s="181" t="inlineStr">
        <is>
          <t>Urtica dioica</t>
        </is>
      </c>
      <c r="C39" s="181" t="inlineStr">
        <is>
          <t>anti-inflammatory, mineral support, mild antihistamine activity</t>
        </is>
      </c>
      <c r="D39" s="181" t="inlineStr">
        <is>
          <t>quercetin, lignans, polysaccharides</t>
        </is>
      </c>
      <c r="E39" s="181" t="inlineStr">
        <is>
          <t>generally safe; caution with diuretics</t>
        </is>
      </c>
    </row>
    <row r="40">
      <c r="A40" s="181" t="inlineStr">
        <is>
          <t>maca</t>
        </is>
      </c>
      <c r="B40" s="181" t="inlineStr">
        <is>
          <t>Lepidium meyenii</t>
        </is>
      </c>
      <c r="C40" s="181" t="inlineStr">
        <is>
          <t>adaptogenic, endocrine modulation (traditional use), energy support</t>
        </is>
      </c>
      <c r="D40" s="181" t="inlineStr">
        <is>
          <t>macamides, macaenes</t>
        </is>
      </c>
      <c r="E40" s="181" t="inlineStr">
        <is>
          <t>generally safe; limited mechanistic clarity</t>
        </is>
      </c>
    </row>
    <row r="41">
      <c r="A41" s="181" t="inlineStr">
        <is>
          <t>artichoke</t>
        </is>
      </c>
      <c r="B41" s="181" t="inlineStr">
        <is>
          <t>Cynara scolymus</t>
        </is>
      </c>
      <c r="C41" s="181" t="inlineStr">
        <is>
          <t>bile flow support, hepatometabolic support</t>
        </is>
      </c>
      <c r="D41" s="181" t="inlineStr">
        <is>
          <t>cynarin, chlorogenic acid</t>
        </is>
      </c>
      <c r="E41" s="181" t="inlineStr">
        <is>
          <t>avoid with bile duct obstruction</t>
        </is>
      </c>
    </row>
    <row r="42">
      <c r="A42" s="181" t="inlineStr">
        <is>
          <t>rosemary</t>
        </is>
      </c>
      <c r="B42" s="181" t="inlineStr">
        <is>
          <t>Rosmarinus officinalis</t>
        </is>
      </c>
      <c r="C42" s="181" t="inlineStr">
        <is>
          <t>cholinergic support, antioxidant, circulation support</t>
        </is>
      </c>
      <c r="D42" s="181" t="inlineStr">
        <is>
          <t>rosmarinic acid, carnosic acid</t>
        </is>
      </c>
      <c r="E42" s="181" t="inlineStr">
        <is>
          <t>generally safe; concentrated extracts may irritate</t>
        </is>
      </c>
    </row>
    <row r="43">
      <c r="A43" t="inlineStr">
        <is>
          <t>sage</t>
        </is>
      </c>
      <c r="B43" t="inlineStr">
        <is>
          <t>Salvia officinalis</t>
        </is>
      </c>
      <c r="C43" t="inlineStr">
        <is>
          <t>cholinergic support, antioxidant</t>
        </is>
      </c>
      <c r="D43" t="inlineStr">
        <is>
          <t>rosmarinic acid, thujone</t>
        </is>
      </c>
      <c r="E43" t="inlineStr">
        <is>
          <t>high doses may be neurotoxic</t>
        </is>
      </c>
    </row>
    <row r="44">
      <c r="A44" t="inlineStr">
        <is>
          <t>oregano</t>
        </is>
      </c>
      <c r="B44" t="inlineStr">
        <is>
          <t>Origanum vulgare</t>
        </is>
      </c>
      <c r="C44" t="inlineStr">
        <is>
          <t>antimicrobial, antioxidant</t>
        </is>
      </c>
      <c r="D44" t="inlineStr">
        <is>
          <t>carvacrol, thymol</t>
        </is>
      </c>
      <c r="E44" t="inlineStr">
        <is>
          <t>generally safe</t>
        </is>
      </c>
    </row>
    <row r="45">
      <c r="A45" t="inlineStr">
        <is>
          <t>thyme</t>
        </is>
      </c>
      <c r="B45" t="inlineStr">
        <is>
          <t>Thymus vulgaris</t>
        </is>
      </c>
      <c r="C45" t="inlineStr">
        <is>
          <t>antimicrobial, respiratory support</t>
        </is>
      </c>
      <c r="D45" t="inlineStr">
        <is>
          <t>thymol</t>
        </is>
      </c>
      <c r="E45" t="inlineStr">
        <is>
          <t>generally safe</t>
        </is>
      </c>
    </row>
    <row r="46">
      <c r="A46" t="inlineStr">
        <is>
          <t>clove</t>
        </is>
      </c>
      <c r="B46" t="inlineStr">
        <is>
          <t>Syzygium aromaticum</t>
        </is>
      </c>
      <c r="C46" t="inlineStr">
        <is>
          <t>analgesic, antimicrobial</t>
        </is>
      </c>
      <c r="D46" t="inlineStr">
        <is>
          <t>eugenol</t>
        </is>
      </c>
      <c r="E46" t="inlineStr">
        <is>
          <t>high doses may irritate</t>
        </is>
      </c>
    </row>
  </sheetData>
  <conditionalFormatting sqref="W2:W18">
    <cfRule type="expression" priority="1" dxfId="0">
      <formula>W2="high"</formula>
    </cfRule>
    <cfRule type="expression" priority="2" dxfId="1">
      <formula>W2="medium"</formula>
    </cfRule>
    <cfRule type="expression" priority="3" dxfId="2">
      <formula>W2="low"</formula>
    </cfRule>
  </conditionalFormatting>
  <conditionalFormatting sqref="Z2:Z18">
    <cfRule type="expression" priority="4" dxfId="0">
      <formula>Z2="present"</formula>
    </cfRule>
    <cfRule type="expression" priority="5" dxfId="1">
      <formula>Z2="needs-source-normalization"</formula>
    </cfRule>
  </conditionalFormatting>
  <conditionalFormatting sqref="AJ2:AJ18">
    <cfRule type="colorScale" priority="6">
      <colorScale>
        <cfvo type="min"/>
        <cfvo type="percentile" val="50"/>
        <cfvo type="max"/>
        <color rgb="00FEE2E2"/>
        <color rgb="00FEF3C7"/>
        <color rgb="00DCFCE7"/>
      </colorScale>
    </cfRule>
  </conditionalFormatting>
  <conditionalFormatting sqref="AK2:AK18">
    <cfRule type="expression" priority="7" dxfId="2">
      <formula>AK2="High"</formula>
    </cfRule>
    <cfRule type="expression" priority="8" dxfId="1">
      <formula>AK2="Medium"</formula>
    </cfRule>
    <cfRule type="expression" priority="9" dxfId="0">
      <formula>AK2="Low"</formula>
    </cfRule>
  </conditionalFormatting>
  <conditionalFormatting sqref="AN2:AN18">
    <cfRule type="dataBar" priority="10">
      <dataBar>
        <cfvo type="min"/>
        <cfvo type="max"/>
        <color rgb="000F766E"/>
      </dataBar>
    </cfRule>
  </conditionalFormatting>
  <conditionalFormatting sqref="AR2:AR18">
    <cfRule type="expression" priority="11" dxfId="0">
      <formula>AR2="Ready for QA"</formula>
    </cfRule>
    <cfRule type="expression" priority="12" dxfId="15">
      <formula>AR2="Source review"</formula>
    </cfRule>
    <cfRule type="expression" priority="13" dxfId="1">
      <formula>AR2="Editorial polish"</formula>
    </cfRule>
  </conditionalFormatting>
  <conditionalFormatting sqref="AS2:AS18">
    <cfRule type="expression" priority="14" dxfId="17">
      <formula>AS2="Not started"</formula>
    </cfRule>
  </conditionalFormatting>
  <conditionalFormatting sqref="BB2:BB18">
    <cfRule type="expression" priority="15" dxfId="18">
      <formula>BB2="Approved"</formula>
    </cfRule>
    <cfRule type="expression" priority="16" dxfId="19">
      <formula>BB2="In review"</formula>
    </cfRule>
    <cfRule type="expression" priority="17" dxfId="20">
      <formula>BB2="Pending"</formula>
    </cfRule>
  </conditionalFormatting>
  <dataValidations count="3">
    <dataValidation sqref="AZ2:AZ18" showDropDown="0" showInputMessage="0" showErrorMessage="0" allowBlank="0" type="list">
      <formula1>"Research,Editorial,QA,Medical,Final"</formula1>
    </dataValidation>
    <dataValidation sqref="BB2:BB18" showDropDown="0" showInputMessage="0" showErrorMessage="0" allowBlank="0" type="list">
      <formula1>"Pending,In review,Approved"</formula1>
    </dataValidation>
    <dataValidation sqref="AY2:AY18" showDropDown="0" showInputMessage="0" showErrorMessage="0" allowBlank="0" type="list">
      <formula1>"Research,Editorial,QA,Medical,Founder"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20" customWidth="1" style="76" min="1" max="1"/>
    <col width="22" customWidth="1" style="76" min="2" max="2"/>
    <col width="28" customWidth="1" style="76" min="3" max="3"/>
    <col width="22" customWidth="1" style="76" min="4" max="4"/>
    <col width="12" customWidth="1" style="76" min="5" max="5"/>
    <col width="22" customWidth="1" style="76" min="6" max="6"/>
    <col width="14" customWidth="1" style="76" min="7" max="7"/>
    <col width="12" customWidth="1" style="76" min="8" max="8"/>
    <col width="14" customWidth="1" style="76" min="9" max="9"/>
    <col width="14" customWidth="1" style="76" min="10" max="10"/>
  </cols>
  <sheetData>
    <row r="1">
      <c r="A1" s="5" t="inlineStr">
        <is>
          <t>slug</t>
        </is>
      </c>
      <c r="B1" s="5" t="inlineStr">
        <is>
          <t>scientificName</t>
        </is>
      </c>
      <c r="C1" s="5" t="inlineStr">
        <is>
          <t>mechanismTags</t>
        </is>
      </c>
      <c r="D1" s="5" t="inlineStr">
        <is>
          <t>evidenceLevel</t>
        </is>
      </c>
      <c r="E1" s="5" t="inlineStr">
        <is>
          <t>confidence</t>
        </is>
      </c>
      <c r="F1" s="5" t="inlineStr">
        <is>
          <t>citationStatus</t>
        </is>
      </c>
      <c r="G1" s="5" t="inlineStr">
        <is>
          <t>reviewPriority</t>
        </is>
      </c>
      <c r="H1" s="5" t="inlineStr">
        <is>
          <t>totalScore</t>
        </is>
      </c>
      <c r="I1" s="5" t="inlineStr">
        <is>
          <t>completenessPct</t>
        </is>
      </c>
      <c r="J1" s="5" t="inlineStr">
        <is>
          <t>readinessFlag</t>
        </is>
      </c>
    </row>
    <row r="2">
      <c r="A2" t="inlineStr">
        <is>
          <t>ashwagandha</t>
        </is>
      </c>
      <c r="B2" t="inlineStr">
        <is>
          <t>Withania somnifera</t>
        </is>
      </c>
      <c r="C2" s="181" t="inlineStr">
        <is>
          <t>adaptogen; anti-inflammatory; antioxidant; gabaergic</t>
        </is>
      </c>
      <c r="D2" t="inlineStr">
        <is>
          <t>human + preclinical</t>
        </is>
      </c>
      <c r="E2" t="inlineStr">
        <is>
          <t>medium</t>
        </is>
      </c>
      <c r="F2" t="inlineStr">
        <is>
          <t>needs-source-normalization</t>
        </is>
      </c>
      <c r="G2" t="inlineStr">
        <is>
          <t>High</t>
        </is>
      </c>
      <c r="H2" s="174" t="n">
        <v>6</v>
      </c>
      <c r="I2" s="175" t="n">
        <v>1</v>
      </c>
      <c r="J2" t="inlineStr">
        <is>
          <t>Near ready</t>
        </is>
      </c>
    </row>
    <row r="3">
      <c r="A3" t="inlineStr">
        <is>
          <t>black-cohosh</t>
        </is>
      </c>
      <c r="B3" t="inlineStr">
        <is>
          <t>Actaea racemosa</t>
        </is>
      </c>
      <c r="C3" s="181" t="inlineStr">
        <is>
          <t>serotonergic; anti-inflammatory; hormonal</t>
        </is>
      </c>
      <c r="D3" t="inlineStr">
        <is>
          <t>preclinical + limited human</t>
        </is>
      </c>
      <c r="E3" t="inlineStr">
        <is>
          <t>medium</t>
        </is>
      </c>
      <c r="F3" t="inlineStr">
        <is>
          <t>present</t>
        </is>
      </c>
      <c r="G3" t="inlineStr">
        <is>
          <t>Medium</t>
        </is>
      </c>
      <c r="H3" s="174" t="n">
        <v>8</v>
      </c>
      <c r="I3" s="175" t="n">
        <v>0.8571428571428571</v>
      </c>
      <c r="J3" t="inlineStr">
        <is>
          <t>Ready</t>
        </is>
      </c>
    </row>
    <row r="4">
      <c r="A4" t="inlineStr">
        <is>
          <t>echinacea-purpurea</t>
        </is>
      </c>
      <c r="B4" t="inlineStr">
        <is>
          <t>Echinacea purpurea</t>
        </is>
      </c>
      <c r="C4" s="181" t="inlineStr">
        <is>
          <t>immunomodulatory</t>
        </is>
      </c>
      <c r="E4" t="inlineStr">
        <is>
          <t>medium</t>
        </is>
      </c>
      <c r="F4" t="inlineStr">
        <is>
          <t>present</t>
        </is>
      </c>
      <c r="G4" t="inlineStr">
        <is>
          <t>Medium</t>
        </is>
      </c>
      <c r="H4" s="174" t="n">
        <v>6</v>
      </c>
      <c r="I4" s="175" t="n">
        <v>0.7142857142857143</v>
      </c>
      <c r="J4" t="inlineStr">
        <is>
          <t>Near ready</t>
        </is>
      </c>
    </row>
    <row r="5">
      <c r="A5" t="inlineStr">
        <is>
          <t>garlic</t>
        </is>
      </c>
      <c r="B5" t="inlineStr">
        <is>
          <t>Allium sativum</t>
        </is>
      </c>
      <c r="C5" s="181" t="inlineStr">
        <is>
          <t>anti-inflammatory; antioxidant; immunomodulatory</t>
        </is>
      </c>
      <c r="E5" t="inlineStr">
        <is>
          <t>medium</t>
        </is>
      </c>
      <c r="F5" t="inlineStr">
        <is>
          <t>present</t>
        </is>
      </c>
      <c r="G5" t="inlineStr">
        <is>
          <t>Medium</t>
        </is>
      </c>
      <c r="H5" s="174" t="n">
        <v>6</v>
      </c>
      <c r="I5" s="175" t="n">
        <v>0.7142857142857143</v>
      </c>
      <c r="J5" t="inlineStr">
        <is>
          <t>Near ready</t>
        </is>
      </c>
    </row>
    <row r="6">
      <c r="A6" t="inlineStr">
        <is>
          <t>ginger</t>
        </is>
      </c>
      <c r="B6" t="inlineStr">
        <is>
          <t>Zingiber officinale</t>
        </is>
      </c>
      <c r="C6" s="181" t="inlineStr">
        <is>
          <t>anti-inflammatory; antioxidant; immunomodulatory</t>
        </is>
      </c>
      <c r="E6" t="inlineStr">
        <is>
          <t>high</t>
        </is>
      </c>
      <c r="F6" t="inlineStr">
        <is>
          <t>present</t>
        </is>
      </c>
      <c r="G6" t="inlineStr">
        <is>
          <t>Medium</t>
        </is>
      </c>
      <c r="H6" s="174" t="n">
        <v>7</v>
      </c>
      <c r="I6" s="175" t="n">
        <v>0.7857142857142857</v>
      </c>
      <c r="J6" t="inlineStr">
        <is>
          <t>Near ready</t>
        </is>
      </c>
    </row>
    <row r="7">
      <c r="A7" t="inlineStr">
        <is>
          <t>ginkgo-biloba</t>
        </is>
      </c>
      <c r="B7" t="inlineStr">
        <is>
          <t>Ginkgo biloba</t>
        </is>
      </c>
      <c r="C7" s="181" t="inlineStr">
        <is>
          <t>dopaminergic; serotonergic; cholinergic; antioxidant</t>
        </is>
      </c>
      <c r="D7" t="inlineStr">
        <is>
          <t>human + preclinical</t>
        </is>
      </c>
      <c r="E7" t="inlineStr">
        <is>
          <t>high</t>
        </is>
      </c>
      <c r="F7" t="inlineStr">
        <is>
          <t>needs-source-normalization</t>
        </is>
      </c>
      <c r="G7" t="inlineStr">
        <is>
          <t>High</t>
        </is>
      </c>
      <c r="H7" s="174" t="n">
        <v>7</v>
      </c>
      <c r="I7" s="175" t="n">
        <v>1</v>
      </c>
      <c r="J7" t="inlineStr">
        <is>
          <t>Near ready</t>
        </is>
      </c>
    </row>
    <row r="8">
      <c r="A8" t="inlineStr">
        <is>
          <t>holy-basil</t>
        </is>
      </c>
      <c r="B8" t="inlineStr">
        <is>
          <t>Ocimum tenuiflorum</t>
        </is>
      </c>
      <c r="C8" s="181" t="inlineStr">
        <is>
          <t>adaptogen; anti-inflammatory; antioxidant</t>
        </is>
      </c>
      <c r="D8" t="inlineStr">
        <is>
          <t>preclinical + limited human</t>
        </is>
      </c>
      <c r="E8" t="inlineStr">
        <is>
          <t>medium</t>
        </is>
      </c>
      <c r="F8" t="inlineStr">
        <is>
          <t>present</t>
        </is>
      </c>
      <c r="G8" t="inlineStr">
        <is>
          <t>Medium</t>
        </is>
      </c>
      <c r="H8" s="174" t="n">
        <v>8</v>
      </c>
      <c r="I8" s="175" t="n">
        <v>0.9285714285714286</v>
      </c>
      <c r="J8" t="inlineStr">
        <is>
          <t>Ready</t>
        </is>
      </c>
    </row>
    <row r="9">
      <c r="A9" t="inlineStr">
        <is>
          <t>kava</t>
        </is>
      </c>
      <c r="B9" t="inlineStr">
        <is>
          <t>Piper methysticum</t>
        </is>
      </c>
      <c r="C9" s="181" t="inlineStr">
        <is>
          <t>gabaergic</t>
        </is>
      </c>
      <c r="D9" t="inlineStr">
        <is>
          <t>human + preclinical</t>
        </is>
      </c>
      <c r="E9" t="inlineStr">
        <is>
          <t>medium</t>
        </is>
      </c>
      <c r="F9" t="inlineStr">
        <is>
          <t>needs-source-normalization</t>
        </is>
      </c>
      <c r="G9" t="inlineStr">
        <is>
          <t>High</t>
        </is>
      </c>
      <c r="H9" s="174" t="n">
        <v>6</v>
      </c>
      <c r="I9" s="175" t="n">
        <v>1</v>
      </c>
      <c r="J9" t="inlineStr">
        <is>
          <t>Near ready</t>
        </is>
      </c>
    </row>
    <row r="10">
      <c r="A10" t="inlineStr">
        <is>
          <t>lemon-balm</t>
        </is>
      </c>
      <c r="B10" t="inlineStr">
        <is>
          <t>Melissa officinalis</t>
        </is>
      </c>
      <c r="C10" s="181" t="inlineStr">
        <is>
          <t>gabaergic; cholinergic; antioxidant</t>
        </is>
      </c>
      <c r="D10" t="inlineStr">
        <is>
          <t>preclinical + limited human</t>
        </is>
      </c>
      <c r="E10" t="inlineStr">
        <is>
          <t>medium</t>
        </is>
      </c>
      <c r="F10" t="inlineStr">
        <is>
          <t>present</t>
        </is>
      </c>
      <c r="G10" t="inlineStr">
        <is>
          <t>Medium</t>
        </is>
      </c>
      <c r="H10" s="174" t="n">
        <v>8</v>
      </c>
      <c r="I10" s="175" t="n">
        <v>0.9285714285714286</v>
      </c>
      <c r="J10" t="inlineStr">
        <is>
          <t>Ready</t>
        </is>
      </c>
    </row>
    <row r="11">
      <c r="A11" t="inlineStr">
        <is>
          <t>maca</t>
        </is>
      </c>
      <c r="B11" t="inlineStr">
        <is>
          <t>Lepidium meyenii</t>
        </is>
      </c>
      <c r="C11" s="181" t="inlineStr">
        <is>
          <t>adaptogen; hormonal</t>
        </is>
      </c>
      <c r="D11" t="inlineStr">
        <is>
          <t>preclinical + limited human</t>
        </is>
      </c>
      <c r="E11" t="inlineStr">
        <is>
          <t>medium</t>
        </is>
      </c>
      <c r="F11" t="inlineStr">
        <is>
          <t>present</t>
        </is>
      </c>
      <c r="G11" t="inlineStr">
        <is>
          <t>Medium</t>
        </is>
      </c>
      <c r="H11" s="174" t="n">
        <v>8</v>
      </c>
      <c r="I11" s="175" t="n">
        <v>0.8571428571428571</v>
      </c>
      <c r="J11" t="inlineStr">
        <is>
          <t>Ready</t>
        </is>
      </c>
    </row>
    <row r="12">
      <c r="A12" t="inlineStr">
        <is>
          <t>milk-thistle</t>
        </is>
      </c>
      <c r="B12" t="inlineStr">
        <is>
          <t>Silybum marianum</t>
        </is>
      </c>
      <c r="C12" s="181" t="inlineStr">
        <is>
          <t>antioxidant; anti-inflammatory; hepatoprotective</t>
        </is>
      </c>
      <c r="D12" t="inlineStr">
        <is>
          <t>human + preclinical</t>
        </is>
      </c>
      <c r="E12" t="inlineStr">
        <is>
          <t>high</t>
        </is>
      </c>
      <c r="F12" t="inlineStr">
        <is>
          <t>needs-source-normalization</t>
        </is>
      </c>
      <c r="G12" t="inlineStr">
        <is>
          <t>High</t>
        </is>
      </c>
      <c r="H12" s="174" t="n">
        <v>7</v>
      </c>
      <c r="I12" s="175" t="n">
        <v>1</v>
      </c>
      <c r="J12" t="inlineStr">
        <is>
          <t>Near ready</t>
        </is>
      </c>
    </row>
    <row r="13">
      <c r="A13" t="inlineStr">
        <is>
          <t>peppermint</t>
        </is>
      </c>
      <c r="B13" t="inlineStr">
        <is>
          <t>Mentha × piperita</t>
        </is>
      </c>
      <c r="C13" s="181" t="inlineStr">
        <is>
          <t>anti-inflammatory; spasmolytic; antimicrobial</t>
        </is>
      </c>
      <c r="E13" t="inlineStr">
        <is>
          <t>medium</t>
        </is>
      </c>
      <c r="F13" t="inlineStr">
        <is>
          <t>present</t>
        </is>
      </c>
      <c r="G13" t="inlineStr">
        <is>
          <t>Medium</t>
        </is>
      </c>
      <c r="H13" s="174" t="n">
        <v>6</v>
      </c>
      <c r="I13" s="175" t="n">
        <v>0.7142857142857143</v>
      </c>
      <c r="J13" t="inlineStr">
        <is>
          <t>Near ready</t>
        </is>
      </c>
    </row>
    <row r="14">
      <c r="A14" t="inlineStr">
        <is>
          <t>rhodiola-rosea</t>
        </is>
      </c>
      <c r="B14" t="inlineStr">
        <is>
          <t>Rhodiola rosea</t>
        </is>
      </c>
      <c r="C14" s="181" t="inlineStr">
        <is>
          <t>adaptogen; serotonergic; dopaminergic; antioxidant</t>
        </is>
      </c>
      <c r="D14" t="inlineStr">
        <is>
          <t>preclinical + limited human</t>
        </is>
      </c>
      <c r="E14" t="inlineStr">
        <is>
          <t>medium</t>
        </is>
      </c>
      <c r="F14" t="inlineStr">
        <is>
          <t>present</t>
        </is>
      </c>
      <c r="G14" t="inlineStr">
        <is>
          <t>Medium</t>
        </is>
      </c>
      <c r="H14" s="174" t="n">
        <v>8</v>
      </c>
      <c r="I14" s="175" t="n">
        <v>0.9285714285714286</v>
      </c>
      <c r="J14" t="inlineStr">
        <is>
          <t>Ready</t>
        </is>
      </c>
    </row>
    <row r="15">
      <c r="A15" t="inlineStr">
        <is>
          <t>saw-palmetto</t>
        </is>
      </c>
      <c r="B15" t="inlineStr">
        <is>
          <t>Serenoa repens</t>
        </is>
      </c>
      <c r="C15" s="181" t="inlineStr">
        <is>
          <t>hormonal; anti-androgenic</t>
        </is>
      </c>
      <c r="D15" t="inlineStr">
        <is>
          <t>preclinical + limited human</t>
        </is>
      </c>
      <c r="E15" t="inlineStr">
        <is>
          <t>medium</t>
        </is>
      </c>
      <c r="F15" t="inlineStr">
        <is>
          <t>present</t>
        </is>
      </c>
      <c r="G15" t="inlineStr">
        <is>
          <t>Medium</t>
        </is>
      </c>
      <c r="H15" s="174" t="n">
        <v>8</v>
      </c>
      <c r="I15" s="175" t="n">
        <v>0.9285714285714286</v>
      </c>
      <c r="J15" t="inlineStr">
        <is>
          <t>Ready</t>
        </is>
      </c>
    </row>
    <row r="16">
      <c r="A16" t="inlineStr">
        <is>
          <t>st-johns-wort</t>
        </is>
      </c>
      <c r="B16" t="inlineStr">
        <is>
          <t>Hypericum perforatum</t>
        </is>
      </c>
      <c r="C16" s="181" t="inlineStr">
        <is>
          <t>serotonergic; dopaminergic</t>
        </is>
      </c>
      <c r="D16" t="inlineStr">
        <is>
          <t>human + preclinical</t>
        </is>
      </c>
      <c r="E16" t="inlineStr">
        <is>
          <t>high</t>
        </is>
      </c>
      <c r="F16" t="inlineStr">
        <is>
          <t>needs-source-normalization</t>
        </is>
      </c>
      <c r="G16" t="inlineStr">
        <is>
          <t>High</t>
        </is>
      </c>
      <c r="H16" s="174" t="n">
        <v>7</v>
      </c>
      <c r="I16" s="175" t="n">
        <v>1</v>
      </c>
      <c r="J16" t="inlineStr">
        <is>
          <t>Near ready</t>
        </is>
      </c>
    </row>
    <row r="17">
      <c r="A17" t="inlineStr">
        <is>
          <t>turmeric</t>
        </is>
      </c>
      <c r="B17" t="inlineStr">
        <is>
          <t>Curcuma longa</t>
        </is>
      </c>
      <c r="C17" s="181" t="inlineStr">
        <is>
          <t>anti-inflammatory; antioxidant</t>
        </is>
      </c>
      <c r="E17" t="inlineStr">
        <is>
          <t>medium</t>
        </is>
      </c>
      <c r="F17" t="inlineStr">
        <is>
          <t>present</t>
        </is>
      </c>
      <c r="G17" t="inlineStr">
        <is>
          <t>Medium</t>
        </is>
      </c>
      <c r="H17" s="174" t="n">
        <v>6</v>
      </c>
      <c r="I17" s="175" t="n">
        <v>0.7142857142857143</v>
      </c>
      <c r="J17" t="inlineStr">
        <is>
          <t>Near ready</t>
        </is>
      </c>
    </row>
    <row r="18">
      <c r="A18" t="inlineStr">
        <is>
          <t>valerian</t>
        </is>
      </c>
      <c r="B18" t="inlineStr">
        <is>
          <t>Valeriana officinalis</t>
        </is>
      </c>
      <c r="C18" s="181" t="inlineStr">
        <is>
          <t>gabaergic</t>
        </is>
      </c>
      <c r="D18" t="inlineStr">
        <is>
          <t>preclinical + limited human</t>
        </is>
      </c>
      <c r="E18" t="inlineStr">
        <is>
          <t>medium</t>
        </is>
      </c>
      <c r="F18" t="inlineStr">
        <is>
          <t>needs-source-normalization</t>
        </is>
      </c>
      <c r="G18" t="inlineStr">
        <is>
          <t>High</t>
        </is>
      </c>
      <c r="H18" s="174" t="n">
        <v>6</v>
      </c>
      <c r="I18" s="175" t="n">
        <v>0.9285714285714286</v>
      </c>
      <c r="J18" t="inlineStr">
        <is>
          <t>Near ready</t>
        </is>
      </c>
    </row>
  </sheetData>
  <conditionalFormatting sqref="H2:H18">
    <cfRule type="colorScale" priority="1">
      <colorScale>
        <cfvo type="min"/>
        <cfvo type="percentile" val="50"/>
        <cfvo type="max"/>
        <color rgb="00FEE2E2"/>
        <color rgb="00FEF3C7"/>
        <color rgb="00DCFCE7"/>
      </colorScale>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style="76" min="1" max="1"/>
    <col width="22" customWidth="1" style="76" min="2" max="2"/>
    <col width="28" customWidth="1" style="76" min="3" max="3"/>
    <col width="12" customWidth="1" style="76" min="4" max="4"/>
    <col width="22" customWidth="1" style="76" min="5" max="5"/>
    <col width="12" customWidth="1" style="76" min="6" max="6"/>
    <col width="14" customWidth="1" style="76" min="7" max="7"/>
  </cols>
  <sheetData>
    <row r="1">
      <c r="A1" s="5" t="inlineStr">
        <is>
          <t>slug</t>
        </is>
      </c>
      <c r="B1" s="5" t="inlineStr">
        <is>
          <t>scientificName</t>
        </is>
      </c>
      <c r="C1" s="5" t="inlineStr">
        <is>
          <t>mechanismTags</t>
        </is>
      </c>
      <c r="D1" s="5" t="inlineStr">
        <is>
          <t>confidence</t>
        </is>
      </c>
      <c r="E1" s="5" t="inlineStr">
        <is>
          <t>citationStatus</t>
        </is>
      </c>
      <c r="F1" s="5" t="inlineStr">
        <is>
          <t>totalScore</t>
        </is>
      </c>
      <c r="G1" s="5" t="inlineStr">
        <is>
          <t>reviewPriority</t>
        </is>
      </c>
    </row>
    <row r="2">
      <c r="A2" t="inlineStr">
        <is>
          <t>black-cohosh</t>
        </is>
      </c>
      <c r="B2" t="inlineStr">
        <is>
          <t>Actaea racemosa</t>
        </is>
      </c>
      <c r="C2" t="inlineStr">
        <is>
          <t>serotonergic; anti-inflammatory; hormonal</t>
        </is>
      </c>
      <c r="D2" t="inlineStr">
        <is>
          <t>medium</t>
        </is>
      </c>
      <c r="E2" t="inlineStr">
        <is>
          <t>present</t>
        </is>
      </c>
      <c r="F2" s="174" t="n">
        <v>8</v>
      </c>
      <c r="G2" t="inlineStr">
        <is>
          <t>Medium</t>
        </is>
      </c>
    </row>
    <row r="3">
      <c r="A3" t="inlineStr">
        <is>
          <t>holy-basil</t>
        </is>
      </c>
      <c r="B3" t="inlineStr">
        <is>
          <t>Ocimum tenuiflorum</t>
        </is>
      </c>
      <c r="C3" t="inlineStr">
        <is>
          <t>adaptogen; anti-inflammatory; antioxidant</t>
        </is>
      </c>
      <c r="D3" t="inlineStr">
        <is>
          <t>medium</t>
        </is>
      </c>
      <c r="E3" t="inlineStr">
        <is>
          <t>present</t>
        </is>
      </c>
      <c r="F3" s="174" t="n">
        <v>8</v>
      </c>
      <c r="G3" t="inlineStr">
        <is>
          <t>Medium</t>
        </is>
      </c>
    </row>
    <row r="4">
      <c r="A4" t="inlineStr">
        <is>
          <t>lemon-balm</t>
        </is>
      </c>
      <c r="B4" t="inlineStr">
        <is>
          <t>Melissa officinalis</t>
        </is>
      </c>
      <c r="C4" t="inlineStr">
        <is>
          <t>gabaergic; cholinergic; antioxidant</t>
        </is>
      </c>
      <c r="D4" t="inlineStr">
        <is>
          <t>medium</t>
        </is>
      </c>
      <c r="E4" t="inlineStr">
        <is>
          <t>present</t>
        </is>
      </c>
      <c r="F4" s="174" t="n">
        <v>8</v>
      </c>
      <c r="G4" t="inlineStr">
        <is>
          <t>Medium</t>
        </is>
      </c>
    </row>
    <row r="5">
      <c r="A5" t="inlineStr">
        <is>
          <t>maca</t>
        </is>
      </c>
      <c r="B5" t="inlineStr">
        <is>
          <t>Lepidium meyenii</t>
        </is>
      </c>
      <c r="C5" t="inlineStr">
        <is>
          <t>adaptogen; hormonal</t>
        </is>
      </c>
      <c r="D5" t="inlineStr">
        <is>
          <t>medium</t>
        </is>
      </c>
      <c r="E5" t="inlineStr">
        <is>
          <t>present</t>
        </is>
      </c>
      <c r="F5" s="174" t="n">
        <v>8</v>
      </c>
      <c r="G5" t="inlineStr">
        <is>
          <t>Medium</t>
        </is>
      </c>
    </row>
    <row r="6">
      <c r="A6" t="inlineStr">
        <is>
          <t>rhodiola-rosea</t>
        </is>
      </c>
      <c r="B6" t="inlineStr">
        <is>
          <t>Rhodiola rosea</t>
        </is>
      </c>
      <c r="C6" t="inlineStr">
        <is>
          <t>adaptogen; serotonergic; dopaminergic; antioxidant</t>
        </is>
      </c>
      <c r="D6" t="inlineStr">
        <is>
          <t>medium</t>
        </is>
      </c>
      <c r="E6" t="inlineStr">
        <is>
          <t>present</t>
        </is>
      </c>
      <c r="F6" s="174" t="n">
        <v>8</v>
      </c>
      <c r="G6" t="inlineStr">
        <is>
          <t>Medium</t>
        </is>
      </c>
    </row>
    <row r="7">
      <c r="A7" t="inlineStr">
        <is>
          <t>saw-palmetto</t>
        </is>
      </c>
      <c r="B7" t="inlineStr">
        <is>
          <t>Serenoa repens</t>
        </is>
      </c>
      <c r="C7" t="inlineStr">
        <is>
          <t>hormonal; anti-androgenic</t>
        </is>
      </c>
      <c r="D7" t="inlineStr">
        <is>
          <t>medium</t>
        </is>
      </c>
      <c r="E7" t="inlineStr">
        <is>
          <t>present</t>
        </is>
      </c>
      <c r="F7" s="174" t="n">
        <v>8</v>
      </c>
      <c r="G7" t="inlineStr">
        <is>
          <t>Medium</t>
        </is>
      </c>
    </row>
    <row r="8">
      <c r="A8" t="inlineStr">
        <is>
          <t>ginger</t>
        </is>
      </c>
      <c r="B8" t="inlineStr">
        <is>
          <t>Zingiber officinale</t>
        </is>
      </c>
      <c r="C8" t="inlineStr">
        <is>
          <t>anti-inflammatory; antioxidant; immunomodulatory</t>
        </is>
      </c>
      <c r="D8" t="inlineStr">
        <is>
          <t>high</t>
        </is>
      </c>
      <c r="E8" t="inlineStr">
        <is>
          <t>present</t>
        </is>
      </c>
      <c r="F8" s="174" t="n">
        <v>7</v>
      </c>
      <c r="G8" t="inlineStr">
        <is>
          <t>Medium</t>
        </is>
      </c>
    </row>
    <row r="9">
      <c r="A9" t="inlineStr">
        <is>
          <t>ginkgo-biloba</t>
        </is>
      </c>
      <c r="B9" t="inlineStr">
        <is>
          <t>Ginkgo biloba</t>
        </is>
      </c>
      <c r="C9" t="inlineStr">
        <is>
          <t>dopaminergic; serotonergic; cholinergic; antioxidant</t>
        </is>
      </c>
      <c r="D9" t="inlineStr">
        <is>
          <t>high</t>
        </is>
      </c>
      <c r="E9" t="inlineStr">
        <is>
          <t>needs-source-normalization</t>
        </is>
      </c>
      <c r="F9" s="174" t="n">
        <v>7</v>
      </c>
      <c r="G9" t="inlineStr">
        <is>
          <t>High</t>
        </is>
      </c>
    </row>
    <row r="10">
      <c r="A10" t="inlineStr">
        <is>
          <t>milk-thistle</t>
        </is>
      </c>
      <c r="B10" t="inlineStr">
        <is>
          <t>Silybum marianum</t>
        </is>
      </c>
      <c r="C10" t="inlineStr">
        <is>
          <t>antioxidant; anti-inflammatory; hepatoprotective</t>
        </is>
      </c>
      <c r="D10" t="inlineStr">
        <is>
          <t>high</t>
        </is>
      </c>
      <c r="E10" t="inlineStr">
        <is>
          <t>needs-source-normalization</t>
        </is>
      </c>
      <c r="F10" s="174" t="n">
        <v>7</v>
      </c>
      <c r="G10" t="inlineStr">
        <is>
          <t>High</t>
        </is>
      </c>
    </row>
    <row r="11">
      <c r="A11" t="inlineStr">
        <is>
          <t>st-johns-wort</t>
        </is>
      </c>
      <c r="B11" t="inlineStr">
        <is>
          <t>Hypericum perforatum</t>
        </is>
      </c>
      <c r="C11" t="inlineStr">
        <is>
          <t>serotonergic; dopaminergic</t>
        </is>
      </c>
      <c r="D11" t="inlineStr">
        <is>
          <t>high</t>
        </is>
      </c>
      <c r="E11" t="inlineStr">
        <is>
          <t>needs-source-normalization</t>
        </is>
      </c>
      <c r="F11" s="174" t="n">
        <v>7</v>
      </c>
      <c r="G11" t="inlineStr">
        <is>
          <t>High</t>
        </is>
      </c>
    </row>
    <row r="12">
      <c r="A12" t="inlineStr">
        <is>
          <t>ashwagandha</t>
        </is>
      </c>
      <c r="B12" t="inlineStr">
        <is>
          <t>Withania somnifera</t>
        </is>
      </c>
      <c r="C12" t="inlineStr">
        <is>
          <t>adaptogen; anti-inflammatory; antioxidant; gabaergic</t>
        </is>
      </c>
      <c r="D12" t="inlineStr">
        <is>
          <t>medium</t>
        </is>
      </c>
      <c r="E12" t="inlineStr">
        <is>
          <t>needs-source-normalization</t>
        </is>
      </c>
      <c r="F12" s="174" t="n">
        <v>6</v>
      </c>
      <c r="G12" t="inlineStr">
        <is>
          <t>High</t>
        </is>
      </c>
    </row>
    <row r="13">
      <c r="A13" t="inlineStr">
        <is>
          <t>echinacea-purpurea</t>
        </is>
      </c>
      <c r="B13" t="inlineStr">
        <is>
          <t>Echinacea purpurea</t>
        </is>
      </c>
      <c r="C13" t="inlineStr">
        <is>
          <t>immunomodulatory</t>
        </is>
      </c>
      <c r="D13" t="inlineStr">
        <is>
          <t>medium</t>
        </is>
      </c>
      <c r="E13" t="inlineStr">
        <is>
          <t>present</t>
        </is>
      </c>
      <c r="F13" s="174" t="n">
        <v>6</v>
      </c>
      <c r="G13" t="inlineStr">
        <is>
          <t>Medium</t>
        </is>
      </c>
    </row>
    <row r="14">
      <c r="A14" t="inlineStr">
        <is>
          <t>garlic</t>
        </is>
      </c>
      <c r="B14" t="inlineStr">
        <is>
          <t>Allium sativum</t>
        </is>
      </c>
      <c r="C14" t="inlineStr">
        <is>
          <t>anti-inflammatory; antioxidant; immunomodulatory</t>
        </is>
      </c>
      <c r="D14" t="inlineStr">
        <is>
          <t>medium</t>
        </is>
      </c>
      <c r="E14" t="inlineStr">
        <is>
          <t>present</t>
        </is>
      </c>
      <c r="F14" s="174" t="n">
        <v>6</v>
      </c>
      <c r="G14" t="inlineStr">
        <is>
          <t>Medium</t>
        </is>
      </c>
    </row>
    <row r="15">
      <c r="A15" t="inlineStr">
        <is>
          <t>kava</t>
        </is>
      </c>
      <c r="B15" t="inlineStr">
        <is>
          <t>Piper methysticum</t>
        </is>
      </c>
      <c r="C15" t="inlineStr">
        <is>
          <t>gabaergic</t>
        </is>
      </c>
      <c r="D15" t="inlineStr">
        <is>
          <t>medium</t>
        </is>
      </c>
      <c r="E15" t="inlineStr">
        <is>
          <t>needs-source-normalization</t>
        </is>
      </c>
      <c r="F15" s="174" t="n">
        <v>6</v>
      </c>
      <c r="G15" t="inlineStr">
        <is>
          <t>High</t>
        </is>
      </c>
    </row>
    <row r="16">
      <c r="A16" t="inlineStr">
        <is>
          <t>peppermint</t>
        </is>
      </c>
      <c r="B16" t="inlineStr">
        <is>
          <t>Mentha × piperita</t>
        </is>
      </c>
      <c r="C16" t="inlineStr">
        <is>
          <t>anti-inflammatory; spasmolytic; antimicrobial</t>
        </is>
      </c>
      <c r="D16" t="inlineStr">
        <is>
          <t>medium</t>
        </is>
      </c>
      <c r="E16" t="inlineStr">
        <is>
          <t>present</t>
        </is>
      </c>
      <c r="F16" s="174" t="n">
        <v>6</v>
      </c>
      <c r="G16" t="inlineStr">
        <is>
          <t>Medium</t>
        </is>
      </c>
    </row>
    <row r="17">
      <c r="A17" t="inlineStr">
        <is>
          <t>turmeric</t>
        </is>
      </c>
      <c r="B17" t="inlineStr">
        <is>
          <t>Curcuma longa</t>
        </is>
      </c>
      <c r="C17" t="inlineStr">
        <is>
          <t>anti-inflammatory; antioxidant</t>
        </is>
      </c>
      <c r="D17" t="inlineStr">
        <is>
          <t>medium</t>
        </is>
      </c>
      <c r="E17" t="inlineStr">
        <is>
          <t>present</t>
        </is>
      </c>
      <c r="F17" s="174" t="n">
        <v>6</v>
      </c>
      <c r="G17" t="inlineStr">
        <is>
          <t>Medium</t>
        </is>
      </c>
    </row>
    <row r="18">
      <c r="A18" t="inlineStr">
        <is>
          <t>valerian</t>
        </is>
      </c>
      <c r="B18" t="inlineStr">
        <is>
          <t>Valeriana officinalis</t>
        </is>
      </c>
      <c r="C18" t="inlineStr">
        <is>
          <t>gabaergic</t>
        </is>
      </c>
      <c r="D18" t="inlineStr">
        <is>
          <t>medium</t>
        </is>
      </c>
      <c r="E18" t="inlineStr">
        <is>
          <t>needs-source-normalization</t>
        </is>
      </c>
      <c r="F18" s="174" t="n">
        <v>6</v>
      </c>
      <c r="G18" t="inlineStr">
        <is>
          <t>High</t>
        </is>
      </c>
    </row>
  </sheetData>
  <conditionalFormatting sqref="F2:F18">
    <cfRule type="dataBar" priority="1">
      <dataBar>
        <cfvo type="min"/>
        <cfvo type="max"/>
        <color rgb="000F766E"/>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4" customWidth="1" style="76" min="1" max="1"/>
    <col width="20" customWidth="1" style="76" min="2" max="2"/>
    <col width="22" customWidth="1" style="76" min="3" max="3"/>
    <col width="22" customWidth="1" style="76" min="4" max="4"/>
    <col width="14" customWidth="1" style="76" min="5" max="5"/>
    <col width="22" customWidth="1" style="76" min="6" max="6"/>
    <col width="24" customWidth="1" style="76" min="7" max="7"/>
    <col width="32" customWidth="1" style="76" min="8" max="8"/>
    <col width="12" customWidth="1" style="76" min="9" max="9"/>
    <col width="14" customWidth="1" style="76" min="10" max="10"/>
  </cols>
  <sheetData>
    <row r="1">
      <c r="A1" s="5" t="inlineStr">
        <is>
          <t>reviewPriority</t>
        </is>
      </c>
      <c r="B1" s="5" t="inlineStr">
        <is>
          <t>slug</t>
        </is>
      </c>
      <c r="C1" s="5" t="inlineStr">
        <is>
          <t>scientificName</t>
        </is>
      </c>
      <c r="D1" s="5" t="inlineStr">
        <is>
          <t>citationStatus</t>
        </is>
      </c>
      <c r="E1" s="5" t="inlineStr">
        <is>
          <t>dosageStatus</t>
        </is>
      </c>
      <c r="F1" s="5" t="inlineStr">
        <is>
          <t>sourceTier</t>
        </is>
      </c>
      <c r="G1" s="5" t="inlineStr">
        <is>
          <t>qualityConcerns</t>
        </is>
      </c>
      <c r="H1" s="5" t="inlineStr">
        <is>
          <t>notesForCodex</t>
        </is>
      </c>
      <c r="I1" s="5" t="inlineStr">
        <is>
          <t>totalScore</t>
        </is>
      </c>
      <c r="J1" s="5" t="inlineStr">
        <is>
          <t>completenessPct</t>
        </is>
      </c>
    </row>
    <row r="2">
      <c r="A2" t="inlineStr">
        <is>
          <t>High</t>
        </is>
      </c>
      <c r="B2" t="inlineStr">
        <is>
          <t>valerian</t>
        </is>
      </c>
      <c r="C2" t="inlineStr">
        <is>
          <t>Valeriana officinalis</t>
        </is>
      </c>
      <c r="D2" t="inlineStr">
        <is>
          <t>needs-source-normalization</t>
        </is>
      </c>
      <c r="E2" t="inlineStr">
        <is>
          <t>Present</t>
        </is>
      </c>
      <c r="F2" t="inlineStr">
        <is>
          <t>Conversation-recovered</t>
        </is>
      </c>
      <c r="G2" s="181" t="str"/>
      <c r="H2" s="181" t="inlineStr">
        <is>
          <t>Mechanism should stay qualified, not stated as established in humans.</t>
        </is>
      </c>
      <c r="I2" s="174" t="n">
        <v>6</v>
      </c>
      <c r="J2" s="175" t="n">
        <v>0.9285714285714286</v>
      </c>
    </row>
    <row r="3">
      <c r="A3" t="inlineStr">
        <is>
          <t>High</t>
        </is>
      </c>
      <c r="B3" t="inlineStr">
        <is>
          <t>ginkgo-biloba</t>
        </is>
      </c>
      <c r="C3" t="inlineStr">
        <is>
          <t>Ginkgo biloba</t>
        </is>
      </c>
      <c r="D3" t="inlineStr">
        <is>
          <t>needs-source-normalization</t>
        </is>
      </c>
      <c r="E3" t="inlineStr">
        <is>
          <t>Present</t>
        </is>
      </c>
      <c r="F3" t="inlineStr">
        <is>
          <t>Conversation-recovered</t>
        </is>
      </c>
      <c r="G3" s="181" t="str"/>
      <c r="H3" s="181" t="inlineStr">
        <is>
          <t>Keep seed toxicity distinct from leaf-extract use.</t>
        </is>
      </c>
      <c r="I3" s="174" t="n">
        <v>7</v>
      </c>
      <c r="J3" s="175" t="n">
        <v>1</v>
      </c>
    </row>
    <row r="4">
      <c r="A4" t="inlineStr">
        <is>
          <t>High</t>
        </is>
      </c>
      <c r="B4" t="inlineStr">
        <is>
          <t>milk-thistle</t>
        </is>
      </c>
      <c r="C4" t="inlineStr">
        <is>
          <t>Silybum marianum</t>
        </is>
      </c>
      <c r="D4" t="inlineStr">
        <is>
          <t>needs-source-normalization</t>
        </is>
      </c>
      <c r="E4" t="inlineStr">
        <is>
          <t>Present</t>
        </is>
      </c>
      <c r="F4" t="inlineStr">
        <is>
          <t>Conversation-recovered</t>
        </is>
      </c>
      <c r="G4" s="181" t="str"/>
      <c r="H4" s="181" t="inlineStr">
        <is>
          <t>Keep hepatoprotective claims narrower than “treats liver disease.”</t>
        </is>
      </c>
      <c r="I4" s="174" t="n">
        <v>7</v>
      </c>
      <c r="J4" s="175" t="n">
        <v>1</v>
      </c>
    </row>
    <row r="5">
      <c r="A5" t="inlineStr">
        <is>
          <t>High</t>
        </is>
      </c>
      <c r="B5" t="inlineStr">
        <is>
          <t>st-johns-wort</t>
        </is>
      </c>
      <c r="C5" t="inlineStr">
        <is>
          <t>Hypericum perforatum</t>
        </is>
      </c>
      <c r="D5" t="inlineStr">
        <is>
          <t>needs-source-normalization</t>
        </is>
      </c>
      <c r="E5" t="inlineStr">
        <is>
          <t>Present</t>
        </is>
      </c>
      <c r="F5" t="inlineStr">
        <is>
          <t>Conversation-recovered</t>
        </is>
      </c>
      <c r="G5" s="181" t="str"/>
      <c r="H5" s="181" t="inlineStr">
        <is>
          <t>Flag as high-interaction herb.</t>
        </is>
      </c>
      <c r="I5" s="174" t="n">
        <v>7</v>
      </c>
      <c r="J5" s="175" t="n">
        <v>1</v>
      </c>
    </row>
    <row r="6">
      <c r="A6" t="inlineStr">
        <is>
          <t>High</t>
        </is>
      </c>
      <c r="B6" t="inlineStr">
        <is>
          <t>ashwagandha</t>
        </is>
      </c>
      <c r="C6" t="inlineStr">
        <is>
          <t>Withania somnifera</t>
        </is>
      </c>
      <c r="D6" t="inlineStr">
        <is>
          <t>needs-source-normalization</t>
        </is>
      </c>
      <c r="E6" t="inlineStr">
        <is>
          <t>Present</t>
        </is>
      </c>
      <c r="F6" t="inlineStr">
        <is>
          <t>Conversation-recovered</t>
        </is>
      </c>
      <c r="G6" s="181" t="str"/>
      <c r="H6" s="181" t="inlineStr">
        <is>
          <t>Separate root-based products from leaf-heavy extracts.</t>
        </is>
      </c>
      <c r="I6" s="174" t="n">
        <v>6</v>
      </c>
      <c r="J6" s="175" t="n">
        <v>1</v>
      </c>
    </row>
    <row r="7">
      <c r="A7" t="inlineStr">
        <is>
          <t>High</t>
        </is>
      </c>
      <c r="B7" t="inlineStr">
        <is>
          <t>kava</t>
        </is>
      </c>
      <c r="C7" t="inlineStr">
        <is>
          <t>Piper methysticum</t>
        </is>
      </c>
      <c r="D7" t="inlineStr">
        <is>
          <t>needs-source-normalization</t>
        </is>
      </c>
      <c r="E7" t="inlineStr">
        <is>
          <t>Present</t>
        </is>
      </c>
      <c r="F7" t="inlineStr">
        <is>
          <t>Conversation-recovered</t>
        </is>
      </c>
      <c r="G7" s="181" t="inlineStr">
        <is>
          <t>Avoid stems/leaves; extraction method matters.</t>
        </is>
      </c>
      <c r="H7" s="181" t="inlineStr">
        <is>
          <t>Separate traditional aqueous prep from solvent extracts.</t>
        </is>
      </c>
      <c r="I7" s="174" t="n">
        <v>6</v>
      </c>
      <c r="J7" s="175" t="n">
        <v>1</v>
      </c>
    </row>
    <row r="8">
      <c r="A8" t="inlineStr">
        <is>
          <t>Medium</t>
        </is>
      </c>
      <c r="B8" t="inlineStr">
        <is>
          <t>echinacea-purpurea</t>
        </is>
      </c>
      <c r="C8" t="inlineStr">
        <is>
          <t>Echinacea purpurea</t>
        </is>
      </c>
      <c r="D8" t="inlineStr">
        <is>
          <t>present</t>
        </is>
      </c>
      <c r="E8" t="inlineStr">
        <is>
          <t>Missing</t>
        </is>
      </c>
      <c r="F8" t="inlineStr">
        <is>
          <t>Linked primary/secondary</t>
        </is>
      </c>
      <c r="G8" s="181" t="str"/>
      <c r="H8" s="181" t="inlineStr">
        <is>
          <t>Mechanism preserved as qualified language where evidence is preclinical.</t>
        </is>
      </c>
      <c r="I8" s="174" t="n">
        <v>6</v>
      </c>
      <c r="J8" s="175" t="n">
        <v>0.7142857142857143</v>
      </c>
    </row>
    <row r="9">
      <c r="A9" t="inlineStr">
        <is>
          <t>Medium</t>
        </is>
      </c>
      <c r="B9" t="inlineStr">
        <is>
          <t>garlic</t>
        </is>
      </c>
      <c r="C9" t="inlineStr">
        <is>
          <t>Allium sativum</t>
        </is>
      </c>
      <c r="D9" t="inlineStr">
        <is>
          <t>present</t>
        </is>
      </c>
      <c r="E9" t="inlineStr">
        <is>
          <t>Missing</t>
        </is>
      </c>
      <c r="F9" t="inlineStr">
        <is>
          <t>Linked primary/secondary</t>
        </is>
      </c>
      <c r="G9" s="181" t="str"/>
      <c r="H9" s="181" t="inlineStr">
        <is>
          <t>Mechanism preserved as qualified language where evidence is preclinical.</t>
        </is>
      </c>
      <c r="I9" s="174" t="n">
        <v>6</v>
      </c>
      <c r="J9" s="175" t="n">
        <v>0.7142857142857143</v>
      </c>
    </row>
    <row r="10">
      <c r="A10" t="inlineStr">
        <is>
          <t>Medium</t>
        </is>
      </c>
      <c r="B10" t="inlineStr">
        <is>
          <t>peppermint</t>
        </is>
      </c>
      <c r="C10" t="inlineStr">
        <is>
          <t>Mentha × piperita</t>
        </is>
      </c>
      <c r="D10" t="inlineStr">
        <is>
          <t>present</t>
        </is>
      </c>
      <c r="E10" t="inlineStr">
        <is>
          <t>Missing</t>
        </is>
      </c>
      <c r="F10" t="inlineStr">
        <is>
          <t>Linked primary/secondary</t>
        </is>
      </c>
      <c r="G10" s="181" t="str"/>
      <c r="H10" s="181" t="inlineStr">
        <is>
          <t>Mechanism preserved as qualified language where evidence is preclinical.</t>
        </is>
      </c>
      <c r="I10" s="174" t="n">
        <v>6</v>
      </c>
      <c r="J10" s="175" t="n">
        <v>0.7142857142857143</v>
      </c>
    </row>
    <row r="11">
      <c r="A11" t="inlineStr">
        <is>
          <t>Medium</t>
        </is>
      </c>
      <c r="B11" t="inlineStr">
        <is>
          <t>turmeric</t>
        </is>
      </c>
      <c r="C11" t="inlineStr">
        <is>
          <t>Curcuma longa</t>
        </is>
      </c>
      <c r="D11" t="inlineStr">
        <is>
          <t>present</t>
        </is>
      </c>
      <c r="E11" t="inlineStr">
        <is>
          <t>Missing</t>
        </is>
      </c>
      <c r="F11" t="inlineStr">
        <is>
          <t>Linked primary/secondary</t>
        </is>
      </c>
      <c r="G11" s="181" t="str"/>
      <c r="H11" s="181" t="inlineStr">
        <is>
          <t>Mechanism preserved as qualified language where evidence is preclinical.</t>
        </is>
      </c>
      <c r="I11" s="174" t="n">
        <v>6</v>
      </c>
      <c r="J11" s="175" t="n">
        <v>0.7142857142857143</v>
      </c>
    </row>
    <row r="12">
      <c r="A12" t="inlineStr">
        <is>
          <t>Medium</t>
        </is>
      </c>
      <c r="B12" t="inlineStr">
        <is>
          <t>ginger</t>
        </is>
      </c>
      <c r="C12" t="inlineStr">
        <is>
          <t>Zingiber officinale</t>
        </is>
      </c>
      <c r="D12" t="inlineStr">
        <is>
          <t>present</t>
        </is>
      </c>
      <c r="E12" t="inlineStr">
        <is>
          <t>Present</t>
        </is>
      </c>
      <c r="F12" t="inlineStr">
        <is>
          <t>Linked primary/secondary</t>
        </is>
      </c>
      <c r="G12" s="181" t="str"/>
      <c r="H12" s="181" t="inlineStr">
        <is>
          <t>Mechanism preserved as qualified language where evidence is preclinical.</t>
        </is>
      </c>
      <c r="I12" s="174" t="n">
        <v>7</v>
      </c>
      <c r="J12" s="175" t="n">
        <v>0.7857142857142857</v>
      </c>
    </row>
    <row r="13">
      <c r="A13" t="inlineStr">
        <is>
          <t>Medium</t>
        </is>
      </c>
      <c r="B13" t="inlineStr">
        <is>
          <t>black-cohosh</t>
        </is>
      </c>
      <c r="C13" t="inlineStr">
        <is>
          <t>Actaea racemosa</t>
        </is>
      </c>
      <c r="D13" t="inlineStr">
        <is>
          <t>present</t>
        </is>
      </c>
      <c r="E13" t="inlineStr">
        <is>
          <t>Missing</t>
        </is>
      </c>
      <c r="F13" t="inlineStr">
        <is>
          <t>Linked primary/secondary</t>
        </is>
      </c>
      <c r="G13" s="181" t="inlineStr">
        <is>
          <t>Adulteration/misidentification risk in commercial products.</t>
        </is>
      </c>
      <c r="H13" s="181" t="inlineStr">
        <is>
          <t>Treat menopausal mechanism claims as mixed evidence, not established estrogenic action.</t>
        </is>
      </c>
      <c r="I13" s="174" t="n">
        <v>8</v>
      </c>
      <c r="J13" s="175" t="n">
        <v>0.8571428571428571</v>
      </c>
    </row>
    <row r="14">
      <c r="A14" t="inlineStr">
        <is>
          <t>Medium</t>
        </is>
      </c>
      <c r="B14" t="inlineStr">
        <is>
          <t>maca</t>
        </is>
      </c>
      <c r="C14" t="inlineStr">
        <is>
          <t>Lepidium meyenii</t>
        </is>
      </c>
      <c r="D14" t="inlineStr">
        <is>
          <t>present</t>
        </is>
      </c>
      <c r="E14" t="inlineStr">
        <is>
          <t>Missing</t>
        </is>
      </c>
      <c r="F14" t="inlineStr">
        <is>
          <t>Linked primary/secondary</t>
        </is>
      </c>
      <c r="G14" s="181" t="str"/>
      <c r="H14" s="181" t="inlineStr">
        <is>
          <t>Carried forward from batch CSV; needs source-linked monograph expansion.</t>
        </is>
      </c>
      <c r="I14" s="174" t="n">
        <v>8</v>
      </c>
      <c r="J14" s="175" t="n">
        <v>0.8571428571428571</v>
      </c>
    </row>
    <row r="15">
      <c r="A15" t="inlineStr">
        <is>
          <t>Medium</t>
        </is>
      </c>
      <c r="B15" t="inlineStr">
        <is>
          <t>holy-basil</t>
        </is>
      </c>
      <c r="C15" t="inlineStr">
        <is>
          <t>Ocimum tenuiflorum</t>
        </is>
      </c>
      <c r="D15" t="inlineStr">
        <is>
          <t>present</t>
        </is>
      </c>
      <c r="E15" t="inlineStr">
        <is>
          <t>Missing</t>
        </is>
      </c>
      <c r="F15" t="inlineStr">
        <is>
          <t>Linked primary/secondary</t>
        </is>
      </c>
      <c r="G15" s="181" t="str"/>
      <c r="H15" s="181" t="inlineStr">
        <is>
          <t>Carried forward from batch CSV; needs source-linked monograph expansion.</t>
        </is>
      </c>
      <c r="I15" s="174" t="n">
        <v>8</v>
      </c>
      <c r="J15" s="175" t="n">
        <v>0.9285714285714286</v>
      </c>
    </row>
    <row r="16">
      <c r="A16" t="inlineStr">
        <is>
          <t>Medium</t>
        </is>
      </c>
      <c r="B16" t="inlineStr">
        <is>
          <t>lemon-balm</t>
        </is>
      </c>
      <c r="C16" t="inlineStr">
        <is>
          <t>Melissa officinalis</t>
        </is>
      </c>
      <c r="D16" t="inlineStr">
        <is>
          <t>present</t>
        </is>
      </c>
      <c r="E16" t="inlineStr">
        <is>
          <t>Missing</t>
        </is>
      </c>
      <c r="F16" t="inlineStr">
        <is>
          <t>Linked primary/secondary</t>
        </is>
      </c>
      <c r="G16" s="181" t="str"/>
      <c r="H16" s="181" t="inlineStr">
        <is>
          <t>Carried forward from batch CSV; needs source-linked monograph expansion.</t>
        </is>
      </c>
      <c r="I16" s="174" t="n">
        <v>8</v>
      </c>
      <c r="J16" s="175" t="n">
        <v>0.9285714285714286</v>
      </c>
    </row>
    <row r="17">
      <c r="A17" t="inlineStr">
        <is>
          <t>Medium</t>
        </is>
      </c>
      <c r="B17" t="inlineStr">
        <is>
          <t>rhodiola-rosea</t>
        </is>
      </c>
      <c r="C17" t="inlineStr">
        <is>
          <t>Rhodiola rosea</t>
        </is>
      </c>
      <c r="D17" t="inlineStr">
        <is>
          <t>present</t>
        </is>
      </c>
      <c r="E17" t="inlineStr">
        <is>
          <t>Missing</t>
        </is>
      </c>
      <c r="F17" t="inlineStr">
        <is>
          <t>Linked primary/secondary</t>
        </is>
      </c>
      <c r="G17" s="181" t="str"/>
      <c r="H17" s="181" t="inlineStr">
        <is>
          <t>Carried forward from batch CSV; needs source-linked monograph expansion.</t>
        </is>
      </c>
      <c r="I17" s="174" t="n">
        <v>8</v>
      </c>
      <c r="J17" s="175" t="n">
        <v>0.9285714285714286</v>
      </c>
    </row>
    <row r="18">
      <c r="A18" t="inlineStr">
        <is>
          <t>Medium</t>
        </is>
      </c>
      <c r="B18" t="inlineStr">
        <is>
          <t>saw-palmetto</t>
        </is>
      </c>
      <c r="C18" t="inlineStr">
        <is>
          <t>Serenoa repens</t>
        </is>
      </c>
      <c r="D18" t="inlineStr">
        <is>
          <t>present</t>
        </is>
      </c>
      <c r="E18" t="inlineStr">
        <is>
          <t>Missing</t>
        </is>
      </c>
      <c r="F18" t="inlineStr">
        <is>
          <t>Linked primary/secondary</t>
        </is>
      </c>
      <c r="G18" s="181" t="str"/>
      <c r="H18" s="181" t="inlineStr">
        <is>
          <t>Carried forward from batch CSV; needs source-linked monograph expansion.</t>
        </is>
      </c>
      <c r="I18" s="174" t="n">
        <v>8</v>
      </c>
      <c r="J18" s="175" t="n">
        <v>0.9285714285714286</v>
      </c>
    </row>
  </sheetData>
  <conditionalFormatting sqref="A2:A18">
    <cfRule type="expression" priority="1" dxfId="2">
      <formula>A2="High"</formula>
    </cfRule>
    <cfRule type="expression" priority="2" dxfId="1">
      <formula>A2="Medium"</formula>
    </cfRule>
    <cfRule type="expression" priority="3" dxfId="0">
      <formula>A2="Low"</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8" customWidth="1" style="76" min="1" max="1"/>
    <col width="24" customWidth="1" style="76" min="2" max="2"/>
    <col width="26" customWidth="1" style="76" min="3" max="3"/>
    <col width="40" customWidth="1" style="76" min="4" max="4"/>
  </cols>
  <sheetData>
    <row r="1">
      <c r="A1" s="5" t="inlineStr">
        <is>
          <t>Field</t>
        </is>
      </c>
      <c r="B1" s="5" t="inlineStr">
        <is>
          <t>Meaning</t>
        </is>
      </c>
      <c r="C1" s="5" t="inlineStr">
        <is>
          <t>Suggested use</t>
        </is>
      </c>
      <c r="D1" s="5" t="inlineStr">
        <is>
          <t>Notes</t>
        </is>
      </c>
    </row>
    <row r="2">
      <c r="A2" s="181" t="inlineStr">
        <is>
          <t>reviewPriority</t>
        </is>
      </c>
      <c r="B2" s="181" t="inlineStr">
        <is>
          <t>Operational urgency</t>
        </is>
      </c>
      <c r="C2" s="181" t="inlineStr">
        <is>
          <t>Use in editorial triage</t>
        </is>
      </c>
      <c r="D2" s="181" t="inlineStr">
        <is>
          <t>High = source normalization or major evidence gaps</t>
        </is>
      </c>
    </row>
    <row r="3">
      <c r="A3" s="181" t="inlineStr">
        <is>
          <t>citationStatus</t>
        </is>
      </c>
      <c r="B3" s="181" t="inlineStr">
        <is>
          <t>Citation hygiene state</t>
        </is>
      </c>
      <c r="C3" s="181" t="inlineStr">
        <is>
          <t>Filter before publishing</t>
        </is>
      </c>
      <c r="D3" s="181" t="inlineStr">
        <is>
          <t>Normalize all needs-source-normalization rows first</t>
        </is>
      </c>
    </row>
    <row r="4">
      <c r="A4" s="181" t="inlineStr">
        <is>
          <t>completenessPct</t>
        </is>
      </c>
      <c r="B4" s="181" t="inlineStr">
        <is>
          <t>Core monograph coverage</t>
        </is>
      </c>
      <c r="C4" s="181" t="inlineStr">
        <is>
          <t>Sort ascending to find weak entries</t>
        </is>
      </c>
      <c r="D4" s="181" t="inlineStr">
        <is>
          <t>Computed from major monograph body fields</t>
        </is>
      </c>
    </row>
    <row r="5">
      <c r="A5" s="181" t="inlineStr">
        <is>
          <t>readinessFlag</t>
        </is>
      </c>
      <c r="B5" s="181" t="inlineStr">
        <is>
          <t>Publishability signal</t>
        </is>
      </c>
      <c r="C5" s="181" t="inlineStr">
        <is>
          <t>Use with confidence + citations</t>
        </is>
      </c>
      <c r="D5" s="181" t="inlineStr">
        <is>
          <t>Ready means high coverage plus linked citations</t>
        </is>
      </c>
    </row>
    <row r="6">
      <c r="A6" s="181" t="inlineStr">
        <is>
          <t>totalScore</t>
        </is>
      </c>
      <c r="B6" s="181" t="inlineStr">
        <is>
          <t>Quality composite</t>
        </is>
      </c>
      <c r="C6" s="181" t="inlineStr">
        <is>
          <t>Rank product candidates</t>
        </is>
      </c>
      <c r="D6" s="181" t="inlineStr">
        <is>
          <t>Blend of confidence, evidence, and citation quality</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1.56999969482422" customWidth="1" style="76" min="1" max="1"/>
    <col width="24.70999908447266" customWidth="1" style="76" min="2" max="2"/>
    <col width="11.85999965667725" customWidth="1" style="76" min="3" max="3"/>
    <col width="29.13999938964844" customWidth="1" style="76" min="4" max="4"/>
    <col width="11.56999969482422" customWidth="1" style="76" min="5" max="5"/>
    <col width="19.43000030517578" customWidth="1" style="76" min="6" max="6"/>
    <col width="12.14000034332275" customWidth="1" style="76" min="7" max="7"/>
    <col width="10.28999996185303" customWidth="1" style="76" min="8" max="8"/>
    <col width="13.43000030517578" customWidth="1" style="76" min="9" max="9"/>
    <col width="10.43000030517578" customWidth="1" style="76" min="10" max="10"/>
    <col width="21.56999969482422" customWidth="1" style="76" min="11" max="11"/>
    <col width="14.71000003814697" customWidth="1" style="76" min="12" max="12"/>
    <col width="11.71000003814697" customWidth="1" style="76" min="13" max="13"/>
    <col width="18.56999969482422" customWidth="1" style="76" min="14" max="14"/>
    <col width="12.71000003814697" customWidth="1" style="76" min="15" max="15"/>
    <col width="14.14000034332275" customWidth="1" style="76" min="16" max="16"/>
    <col width="17" customWidth="1" style="76" min="17" max="17"/>
  </cols>
  <sheetData>
    <row r="1">
      <c r="A1" s="58" t="inlineStr">
        <is>
          <t>slug</t>
        </is>
      </c>
      <c r="B1" s="58" t="inlineStr">
        <is>
          <t>scientificName</t>
        </is>
      </c>
      <c r="C1" s="58" t="inlineStr">
        <is>
          <t>confidence</t>
        </is>
      </c>
      <c r="D1" s="58" t="inlineStr">
        <is>
          <t>evidenceLevel</t>
        </is>
      </c>
      <c r="E1" s="58" t="inlineStr">
        <is>
          <t>adaptogen</t>
        </is>
      </c>
      <c r="F1" s="58" t="inlineStr">
        <is>
          <t>anti-inflammatory</t>
        </is>
      </c>
      <c r="G1" s="58" t="inlineStr">
        <is>
          <t>antioxidant</t>
        </is>
      </c>
      <c r="H1" s="58" t="inlineStr">
        <is>
          <t>gabaergic</t>
        </is>
      </c>
      <c r="I1" s="58" t="inlineStr">
        <is>
          <t>serotonergic</t>
        </is>
      </c>
      <c r="J1" s="58" t="inlineStr">
        <is>
          <t>hormonal</t>
        </is>
      </c>
      <c r="K1" s="58" t="inlineStr">
        <is>
          <t>immunomodulatory</t>
        </is>
      </c>
      <c r="L1" s="58" t="inlineStr">
        <is>
          <t>dopaminergic</t>
        </is>
      </c>
      <c r="M1" s="58" t="inlineStr">
        <is>
          <t>cholinergic</t>
        </is>
      </c>
      <c r="N1" s="58" t="inlineStr">
        <is>
          <t>hepatoprotective</t>
        </is>
      </c>
      <c r="O1" s="58" t="inlineStr">
        <is>
          <t>spasmolytic</t>
        </is>
      </c>
      <c r="P1" s="58" t="inlineStr">
        <is>
          <t>antimicrobial</t>
        </is>
      </c>
      <c r="Q1" s="58" t="inlineStr">
        <is>
          <t>anti-androgenic</t>
        </is>
      </c>
    </row>
    <row r="2">
      <c r="A2" t="inlineStr">
        <is>
          <t>ashwagandha</t>
        </is>
      </c>
      <c r="B2" t="inlineStr">
        <is>
          <t>Withania somnifera</t>
        </is>
      </c>
      <c r="C2" t="inlineStr">
        <is>
          <t>medium</t>
        </is>
      </c>
      <c r="D2" t="inlineStr">
        <is>
          <t>human + preclinical</t>
        </is>
      </c>
      <c r="E2" t="n">
        <v>1</v>
      </c>
      <c r="F2" t="n">
        <v>1</v>
      </c>
      <c r="G2" t="n">
        <v>1</v>
      </c>
      <c r="H2" t="n">
        <v>1</v>
      </c>
      <c r="I2" t="n">
        <v>0</v>
      </c>
      <c r="J2" t="n">
        <v>0</v>
      </c>
      <c r="K2" t="n">
        <v>0</v>
      </c>
      <c r="L2" t="n">
        <v>0</v>
      </c>
      <c r="M2" t="n">
        <v>0</v>
      </c>
      <c r="N2" t="n">
        <v>0</v>
      </c>
      <c r="O2" t="n">
        <v>0</v>
      </c>
      <c r="P2" t="n">
        <v>0</v>
      </c>
      <c r="Q2" t="n">
        <v>0</v>
      </c>
    </row>
    <row r="3">
      <c r="A3" t="inlineStr">
        <is>
          <t>black-cohosh</t>
        </is>
      </c>
      <c r="B3" t="inlineStr">
        <is>
          <t>Actaea racemosa</t>
        </is>
      </c>
      <c r="C3" t="inlineStr">
        <is>
          <t>medium</t>
        </is>
      </c>
      <c r="D3" t="inlineStr">
        <is>
          <t>preclinical + limited human</t>
        </is>
      </c>
      <c r="E3" t="n">
        <v>0</v>
      </c>
      <c r="F3" t="n">
        <v>1</v>
      </c>
      <c r="G3" t="n">
        <v>0</v>
      </c>
      <c r="H3" t="n">
        <v>0</v>
      </c>
      <c r="I3" t="n">
        <v>1</v>
      </c>
      <c r="J3" t="n">
        <v>1</v>
      </c>
      <c r="K3" t="n">
        <v>0</v>
      </c>
      <c r="L3" t="n">
        <v>0</v>
      </c>
      <c r="M3" t="n">
        <v>0</v>
      </c>
      <c r="N3" t="n">
        <v>0</v>
      </c>
      <c r="O3" t="n">
        <v>0</v>
      </c>
      <c r="P3" t="n">
        <v>0</v>
      </c>
      <c r="Q3" t="n">
        <v>0</v>
      </c>
    </row>
    <row r="4">
      <c r="A4" t="inlineStr">
        <is>
          <t>echinacea-purpurea</t>
        </is>
      </c>
      <c r="B4" t="inlineStr">
        <is>
          <t>Echinacea purpurea</t>
        </is>
      </c>
      <c r="C4" t="inlineStr">
        <is>
          <t>medium</t>
        </is>
      </c>
      <c r="E4" t="n">
        <v>0</v>
      </c>
      <c r="F4" t="n">
        <v>0</v>
      </c>
      <c r="G4" t="n">
        <v>0</v>
      </c>
      <c r="H4" t="n">
        <v>0</v>
      </c>
      <c r="I4" t="n">
        <v>0</v>
      </c>
      <c r="J4" t="n">
        <v>0</v>
      </c>
      <c r="K4" t="n">
        <v>1</v>
      </c>
      <c r="L4" t="n">
        <v>0</v>
      </c>
      <c r="M4" t="n">
        <v>0</v>
      </c>
      <c r="N4" t="n">
        <v>0</v>
      </c>
      <c r="O4" t="n">
        <v>0</v>
      </c>
      <c r="P4" t="n">
        <v>0</v>
      </c>
      <c r="Q4" t="n">
        <v>0</v>
      </c>
    </row>
    <row r="5">
      <c r="A5" t="inlineStr">
        <is>
          <t>garlic</t>
        </is>
      </c>
      <c r="B5" t="inlineStr">
        <is>
          <t>Allium sativum</t>
        </is>
      </c>
      <c r="C5" t="inlineStr">
        <is>
          <t>medium</t>
        </is>
      </c>
      <c r="E5" t="n">
        <v>0</v>
      </c>
      <c r="F5" t="n">
        <v>1</v>
      </c>
      <c r="G5" t="n">
        <v>1</v>
      </c>
      <c r="H5" t="n">
        <v>0</v>
      </c>
      <c r="I5" t="n">
        <v>0</v>
      </c>
      <c r="J5" t="n">
        <v>0</v>
      </c>
      <c r="K5" t="n">
        <v>1</v>
      </c>
      <c r="L5" t="n">
        <v>0</v>
      </c>
      <c r="M5" t="n">
        <v>0</v>
      </c>
      <c r="N5" t="n">
        <v>0</v>
      </c>
      <c r="O5" t="n">
        <v>0</v>
      </c>
      <c r="P5" t="n">
        <v>0</v>
      </c>
      <c r="Q5" t="n">
        <v>0</v>
      </c>
    </row>
    <row r="6">
      <c r="A6" t="inlineStr">
        <is>
          <t>ginger</t>
        </is>
      </c>
      <c r="B6" t="inlineStr">
        <is>
          <t>Zingiber officinale</t>
        </is>
      </c>
      <c r="C6" t="inlineStr">
        <is>
          <t>high</t>
        </is>
      </c>
      <c r="E6" t="n">
        <v>0</v>
      </c>
      <c r="F6" t="n">
        <v>1</v>
      </c>
      <c r="G6" t="n">
        <v>1</v>
      </c>
      <c r="H6" t="n">
        <v>0</v>
      </c>
      <c r="I6" t="n">
        <v>0</v>
      </c>
      <c r="J6" t="n">
        <v>0</v>
      </c>
      <c r="K6" t="n">
        <v>1</v>
      </c>
      <c r="L6" t="n">
        <v>0</v>
      </c>
      <c r="M6" t="n">
        <v>0</v>
      </c>
      <c r="N6" t="n">
        <v>0</v>
      </c>
      <c r="O6" t="n">
        <v>0</v>
      </c>
      <c r="P6" t="n">
        <v>0</v>
      </c>
      <c r="Q6" t="n">
        <v>0</v>
      </c>
    </row>
    <row r="7">
      <c r="A7" t="inlineStr">
        <is>
          <t>ginkgo-biloba</t>
        </is>
      </c>
      <c r="B7" t="inlineStr">
        <is>
          <t>Ginkgo biloba</t>
        </is>
      </c>
      <c r="C7" t="inlineStr">
        <is>
          <t>high</t>
        </is>
      </c>
      <c r="D7" t="inlineStr">
        <is>
          <t>human + preclinical</t>
        </is>
      </c>
      <c r="E7" t="n">
        <v>0</v>
      </c>
      <c r="F7" t="n">
        <v>0</v>
      </c>
      <c r="G7" t="n">
        <v>1</v>
      </c>
      <c r="H7" t="n">
        <v>0</v>
      </c>
      <c r="I7" t="n">
        <v>1</v>
      </c>
      <c r="J7" t="n">
        <v>0</v>
      </c>
      <c r="K7" t="n">
        <v>0</v>
      </c>
      <c r="L7" t="n">
        <v>1</v>
      </c>
      <c r="M7" t="n">
        <v>1</v>
      </c>
      <c r="N7" t="n">
        <v>0</v>
      </c>
      <c r="O7" t="n">
        <v>0</v>
      </c>
      <c r="P7" t="n">
        <v>0</v>
      </c>
      <c r="Q7" t="n">
        <v>0</v>
      </c>
    </row>
    <row r="8">
      <c r="A8" t="inlineStr">
        <is>
          <t>holy-basil</t>
        </is>
      </c>
      <c r="B8" t="inlineStr">
        <is>
          <t>Ocimum tenuiflorum</t>
        </is>
      </c>
      <c r="C8" t="inlineStr">
        <is>
          <t>medium</t>
        </is>
      </c>
      <c r="D8" t="inlineStr">
        <is>
          <t>preclinical + limited human</t>
        </is>
      </c>
      <c r="E8" t="n">
        <v>1</v>
      </c>
      <c r="F8" t="n">
        <v>1</v>
      </c>
      <c r="G8" t="n">
        <v>1</v>
      </c>
      <c r="H8" t="n">
        <v>0</v>
      </c>
      <c r="I8" t="n">
        <v>0</v>
      </c>
      <c r="J8" t="n">
        <v>0</v>
      </c>
      <c r="K8" t="n">
        <v>0</v>
      </c>
      <c r="L8" t="n">
        <v>0</v>
      </c>
      <c r="M8" t="n">
        <v>0</v>
      </c>
      <c r="N8" t="n">
        <v>0</v>
      </c>
      <c r="O8" t="n">
        <v>0</v>
      </c>
      <c r="P8" t="n">
        <v>0</v>
      </c>
      <c r="Q8" t="n">
        <v>0</v>
      </c>
    </row>
    <row r="9">
      <c r="A9" t="inlineStr">
        <is>
          <t>kava</t>
        </is>
      </c>
      <c r="B9" t="inlineStr">
        <is>
          <t>Piper methysticum</t>
        </is>
      </c>
      <c r="C9" t="inlineStr">
        <is>
          <t>medium</t>
        </is>
      </c>
      <c r="D9" t="inlineStr">
        <is>
          <t>human + preclinical</t>
        </is>
      </c>
      <c r="E9" t="n">
        <v>0</v>
      </c>
      <c r="F9" t="n">
        <v>0</v>
      </c>
      <c r="G9" t="n">
        <v>0</v>
      </c>
      <c r="H9" t="n">
        <v>1</v>
      </c>
      <c r="I9" t="n">
        <v>0</v>
      </c>
      <c r="J9" t="n">
        <v>0</v>
      </c>
      <c r="K9" t="n">
        <v>0</v>
      </c>
      <c r="L9" t="n">
        <v>0</v>
      </c>
      <c r="M9" t="n">
        <v>0</v>
      </c>
      <c r="N9" t="n">
        <v>0</v>
      </c>
      <c r="O9" t="n">
        <v>0</v>
      </c>
      <c r="P9" t="n">
        <v>0</v>
      </c>
      <c r="Q9" t="n">
        <v>0</v>
      </c>
    </row>
    <row r="10">
      <c r="A10" t="inlineStr">
        <is>
          <t>lemon-balm</t>
        </is>
      </c>
      <c r="B10" t="inlineStr">
        <is>
          <t>Melissa officinalis</t>
        </is>
      </c>
      <c r="C10" t="inlineStr">
        <is>
          <t>medium</t>
        </is>
      </c>
      <c r="D10" t="inlineStr">
        <is>
          <t>preclinical + limited human</t>
        </is>
      </c>
      <c r="E10" t="n">
        <v>0</v>
      </c>
      <c r="F10" t="n">
        <v>0</v>
      </c>
      <c r="G10" t="n">
        <v>1</v>
      </c>
      <c r="H10" t="n">
        <v>1</v>
      </c>
      <c r="I10" t="n">
        <v>0</v>
      </c>
      <c r="J10" t="n">
        <v>0</v>
      </c>
      <c r="K10" t="n">
        <v>0</v>
      </c>
      <c r="L10" t="n">
        <v>0</v>
      </c>
      <c r="M10" t="n">
        <v>1</v>
      </c>
      <c r="N10" t="n">
        <v>0</v>
      </c>
      <c r="O10" t="n">
        <v>0</v>
      </c>
      <c r="P10" t="n">
        <v>0</v>
      </c>
      <c r="Q10" t="n">
        <v>0</v>
      </c>
    </row>
    <row r="11">
      <c r="A11" t="inlineStr">
        <is>
          <t>maca</t>
        </is>
      </c>
      <c r="B11" t="inlineStr">
        <is>
          <t>Lepidium meyenii</t>
        </is>
      </c>
      <c r="C11" t="inlineStr">
        <is>
          <t>medium</t>
        </is>
      </c>
      <c r="D11" t="inlineStr">
        <is>
          <t>preclinical + limited human</t>
        </is>
      </c>
      <c r="E11" t="n">
        <v>1</v>
      </c>
      <c r="F11" t="n">
        <v>0</v>
      </c>
      <c r="G11" t="n">
        <v>0</v>
      </c>
      <c r="H11" t="n">
        <v>0</v>
      </c>
      <c r="I11" t="n">
        <v>0</v>
      </c>
      <c r="J11" t="n">
        <v>1</v>
      </c>
      <c r="K11" t="n">
        <v>0</v>
      </c>
      <c r="L11" t="n">
        <v>0</v>
      </c>
      <c r="M11" t="n">
        <v>0</v>
      </c>
      <c r="N11" t="n">
        <v>0</v>
      </c>
      <c r="O11" t="n">
        <v>0</v>
      </c>
      <c r="P11" t="n">
        <v>0</v>
      </c>
      <c r="Q11" t="n">
        <v>0</v>
      </c>
    </row>
    <row r="12">
      <c r="A12" t="inlineStr">
        <is>
          <t>milk-thistle</t>
        </is>
      </c>
      <c r="B12" t="inlineStr">
        <is>
          <t>Silybum marianum</t>
        </is>
      </c>
      <c r="C12" t="inlineStr">
        <is>
          <t>high</t>
        </is>
      </c>
      <c r="D12" t="inlineStr">
        <is>
          <t>human + preclinical</t>
        </is>
      </c>
      <c r="E12" t="n">
        <v>0</v>
      </c>
      <c r="F12" t="n">
        <v>1</v>
      </c>
      <c r="G12" t="n">
        <v>1</v>
      </c>
      <c r="H12" t="n">
        <v>0</v>
      </c>
      <c r="I12" t="n">
        <v>0</v>
      </c>
      <c r="J12" t="n">
        <v>0</v>
      </c>
      <c r="K12" t="n">
        <v>0</v>
      </c>
      <c r="L12" t="n">
        <v>0</v>
      </c>
      <c r="M12" t="n">
        <v>0</v>
      </c>
      <c r="N12" t="n">
        <v>1</v>
      </c>
      <c r="O12" t="n">
        <v>0</v>
      </c>
      <c r="P12" t="n">
        <v>0</v>
      </c>
      <c r="Q12" t="n">
        <v>0</v>
      </c>
    </row>
    <row r="13">
      <c r="A13" t="inlineStr">
        <is>
          <t>peppermint</t>
        </is>
      </c>
      <c r="B13" t="inlineStr">
        <is>
          <t>Mentha × piperita</t>
        </is>
      </c>
      <c r="C13" t="inlineStr">
        <is>
          <t>medium</t>
        </is>
      </c>
      <c r="E13" t="n">
        <v>0</v>
      </c>
      <c r="F13" t="n">
        <v>1</v>
      </c>
      <c r="G13" t="n">
        <v>0</v>
      </c>
      <c r="H13" t="n">
        <v>0</v>
      </c>
      <c r="I13" t="n">
        <v>0</v>
      </c>
      <c r="J13" t="n">
        <v>0</v>
      </c>
      <c r="K13" t="n">
        <v>0</v>
      </c>
      <c r="L13" t="n">
        <v>0</v>
      </c>
      <c r="M13" t="n">
        <v>0</v>
      </c>
      <c r="N13" t="n">
        <v>0</v>
      </c>
      <c r="O13" t="n">
        <v>1</v>
      </c>
      <c r="P13" t="n">
        <v>1</v>
      </c>
      <c r="Q13" t="n">
        <v>0</v>
      </c>
    </row>
    <row r="14">
      <c r="A14" t="inlineStr">
        <is>
          <t>rhodiola-rosea</t>
        </is>
      </c>
      <c r="B14" t="inlineStr">
        <is>
          <t>Rhodiola rosea</t>
        </is>
      </c>
      <c r="C14" t="inlineStr">
        <is>
          <t>medium</t>
        </is>
      </c>
      <c r="D14" t="inlineStr">
        <is>
          <t>preclinical + limited human</t>
        </is>
      </c>
      <c r="E14" t="n">
        <v>1</v>
      </c>
      <c r="F14" t="n">
        <v>0</v>
      </c>
      <c r="G14" t="n">
        <v>1</v>
      </c>
      <c r="H14" t="n">
        <v>0</v>
      </c>
      <c r="I14" t="n">
        <v>1</v>
      </c>
      <c r="J14" t="n">
        <v>0</v>
      </c>
      <c r="K14" t="n">
        <v>0</v>
      </c>
      <c r="L14" t="n">
        <v>1</v>
      </c>
      <c r="M14" t="n">
        <v>0</v>
      </c>
      <c r="N14" t="n">
        <v>0</v>
      </c>
      <c r="O14" t="n">
        <v>0</v>
      </c>
      <c r="P14" t="n">
        <v>0</v>
      </c>
      <c r="Q14" t="n">
        <v>0</v>
      </c>
    </row>
    <row r="15">
      <c r="A15" t="inlineStr">
        <is>
          <t>saw-palmetto</t>
        </is>
      </c>
      <c r="B15" t="inlineStr">
        <is>
          <t>Serenoa repens</t>
        </is>
      </c>
      <c r="C15" t="inlineStr">
        <is>
          <t>medium</t>
        </is>
      </c>
      <c r="D15" t="inlineStr">
        <is>
          <t>preclinical + limited human</t>
        </is>
      </c>
      <c r="E15" t="n">
        <v>0</v>
      </c>
      <c r="F15" t="n">
        <v>0</v>
      </c>
      <c r="G15" t="n">
        <v>0</v>
      </c>
      <c r="H15" t="n">
        <v>0</v>
      </c>
      <c r="I15" t="n">
        <v>0</v>
      </c>
      <c r="J15" t="n">
        <v>1</v>
      </c>
      <c r="K15" t="n">
        <v>0</v>
      </c>
      <c r="L15" t="n">
        <v>0</v>
      </c>
      <c r="M15" t="n">
        <v>0</v>
      </c>
      <c r="N15" t="n">
        <v>0</v>
      </c>
      <c r="O15" t="n">
        <v>0</v>
      </c>
      <c r="P15" t="n">
        <v>0</v>
      </c>
      <c r="Q15" t="n">
        <v>1</v>
      </c>
    </row>
    <row r="16">
      <c r="A16" t="inlineStr">
        <is>
          <t>st-johns-wort</t>
        </is>
      </c>
      <c r="B16" t="inlineStr">
        <is>
          <t>Hypericum perforatum</t>
        </is>
      </c>
      <c r="C16" t="inlineStr">
        <is>
          <t>high</t>
        </is>
      </c>
      <c r="D16" t="inlineStr">
        <is>
          <t>human + preclinical</t>
        </is>
      </c>
      <c r="E16" t="n">
        <v>0</v>
      </c>
      <c r="F16" t="n">
        <v>0</v>
      </c>
      <c r="G16" t="n">
        <v>0</v>
      </c>
      <c r="H16" t="n">
        <v>0</v>
      </c>
      <c r="I16" t="n">
        <v>1</v>
      </c>
      <c r="J16" t="n">
        <v>0</v>
      </c>
      <c r="K16" t="n">
        <v>0</v>
      </c>
      <c r="L16" t="n">
        <v>1</v>
      </c>
      <c r="M16" t="n">
        <v>0</v>
      </c>
      <c r="N16" t="n">
        <v>0</v>
      </c>
      <c r="O16" t="n">
        <v>0</v>
      </c>
      <c r="P16" t="n">
        <v>0</v>
      </c>
      <c r="Q16" t="n">
        <v>0</v>
      </c>
    </row>
    <row r="17">
      <c r="A17" t="inlineStr">
        <is>
          <t>turmeric</t>
        </is>
      </c>
      <c r="B17" t="inlineStr">
        <is>
          <t>Curcuma longa</t>
        </is>
      </c>
      <c r="C17" t="inlineStr">
        <is>
          <t>medium</t>
        </is>
      </c>
      <c r="E17" t="n">
        <v>0</v>
      </c>
      <c r="F17" t="n">
        <v>1</v>
      </c>
      <c r="G17" t="n">
        <v>1</v>
      </c>
      <c r="H17" t="n">
        <v>0</v>
      </c>
      <c r="I17" t="n">
        <v>0</v>
      </c>
      <c r="J17" t="n">
        <v>0</v>
      </c>
      <c r="K17" t="n">
        <v>0</v>
      </c>
      <c r="L17" t="n">
        <v>0</v>
      </c>
      <c r="M17" t="n">
        <v>0</v>
      </c>
      <c r="N17" t="n">
        <v>0</v>
      </c>
      <c r="O17" t="n">
        <v>0</v>
      </c>
      <c r="P17" t="n">
        <v>0</v>
      </c>
      <c r="Q17" t="n">
        <v>0</v>
      </c>
    </row>
    <row r="18">
      <c r="A18" t="inlineStr">
        <is>
          <t>valerian</t>
        </is>
      </c>
      <c r="B18" t="inlineStr">
        <is>
          <t>Valeriana officinalis</t>
        </is>
      </c>
      <c r="C18" t="inlineStr">
        <is>
          <t>medium</t>
        </is>
      </c>
      <c r="D18" t="inlineStr">
        <is>
          <t>preclinical + limited human</t>
        </is>
      </c>
      <c r="E18" t="n">
        <v>0</v>
      </c>
      <c r="F18" t="n">
        <v>0</v>
      </c>
      <c r="G18" t="n">
        <v>0</v>
      </c>
      <c r="H18" t="n">
        <v>1</v>
      </c>
      <c r="I18" t="n">
        <v>0</v>
      </c>
      <c r="J18" t="n">
        <v>0</v>
      </c>
      <c r="K18" t="n">
        <v>0</v>
      </c>
      <c r="L18" t="n">
        <v>0</v>
      </c>
      <c r="M18" t="n">
        <v>0</v>
      </c>
      <c r="N18" t="n">
        <v>0</v>
      </c>
      <c r="O18" t="n">
        <v>0</v>
      </c>
      <c r="P18" t="n">
        <v>0</v>
      </c>
      <c r="Q18" t="n">
        <v>0</v>
      </c>
    </row>
  </sheetData>
  <conditionalFormatting sqref="E2:Q18">
    <cfRule type="cellIs" priority="1" dxfId="11">
      <formula>1</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1.56999969482422" customWidth="1" style="76" min="1" max="1"/>
    <col width="24.70999908447266" customWidth="1" style="76" min="2" max="2"/>
    <col width="15.14000034332275" customWidth="1" style="76" min="3" max="3"/>
    <col width="14.56999969482422" customWidth="1" style="76" min="4" max="4"/>
    <col width="30.13999938964844" customWidth="1" style="76" min="5" max="5"/>
    <col width="11.85999965667725" customWidth="1" style="76" min="6" max="6"/>
    <col width="14.28999996185303" customWidth="1" style="76" min="7" max="7"/>
    <col width="18.29000091552734" customWidth="1" style="76" min="8" max="8"/>
    <col width="18.29000091552734" customWidth="1" style="76" min="9" max="9"/>
    <col width="20.29000091552734" customWidth="1" style="76" min="10" max="10"/>
    <col width="24.86000061035156" customWidth="1" style="76" min="11" max="11"/>
    <col width="30.86000061035156" customWidth="1" style="76" min="12" max="12"/>
    <col width="48.70999908447266" customWidth="1" style="76" min="13" max="13"/>
  </cols>
  <sheetData>
    <row r="1">
      <c r="A1" s="63" t="inlineStr">
        <is>
          <t>slug</t>
        </is>
      </c>
      <c r="B1" s="63" t="inlineStr">
        <is>
          <t>scientificName</t>
        </is>
      </c>
      <c r="C1" s="63" t="inlineStr">
        <is>
          <t>reviewPriority</t>
        </is>
      </c>
      <c r="D1" s="63" t="inlineStr">
        <is>
          <t>readinessFlag</t>
        </is>
      </c>
      <c r="E1" s="63" t="inlineStr">
        <is>
          <t>citationStatus</t>
        </is>
      </c>
      <c r="F1" s="63" t="inlineStr">
        <is>
          <t>confidence</t>
        </is>
      </c>
      <c r="G1" s="63" t="inlineStr">
        <is>
          <t>dosageStatus</t>
        </is>
      </c>
      <c r="H1" s="63" t="inlineStr">
        <is>
          <t>completenessPct</t>
        </is>
      </c>
      <c r="I1" s="63" t="inlineStr">
        <is>
          <t>summaryMissing</t>
        </is>
      </c>
      <c r="J1" s="63" t="inlineStr">
        <is>
          <t>descriptionMissing</t>
        </is>
      </c>
      <c r="K1" s="63" t="inlineStr">
        <is>
          <t>standardizationMissing</t>
        </is>
      </c>
      <c r="L1" s="63" t="inlineStr">
        <is>
          <t>sourceNormalizationNeeded</t>
        </is>
      </c>
      <c r="M1" s="63" t="inlineStr">
        <is>
          <t>recommendedNextAction</t>
        </is>
      </c>
      <c r="P1" s="78" t="inlineStr">
        <is>
          <t>reviewPriority</t>
        </is>
      </c>
      <c r="Q1" s="78" t="inlineStr">
        <is>
          <t>count</t>
        </is>
      </c>
    </row>
    <row r="2">
      <c r="A2" t="inlineStr">
        <is>
          <t>ashwagandha</t>
        </is>
      </c>
      <c r="B2" t="inlineStr">
        <is>
          <t>Withania somnifera</t>
        </is>
      </c>
      <c r="E2" t="inlineStr">
        <is>
          <t>needs-source-normalization</t>
        </is>
      </c>
      <c r="F2" t="inlineStr">
        <is>
          <t>medium</t>
        </is>
      </c>
      <c r="H2" s="175" t="str"/>
      <c r="I2" t="inlineStr">
        <is>
          <t>No</t>
        </is>
      </c>
      <c r="J2" t="inlineStr">
        <is>
          <t>No</t>
        </is>
      </c>
      <c r="K2" t="inlineStr">
        <is>
          <t>No</t>
        </is>
      </c>
      <c r="L2" t="inlineStr">
        <is>
          <t>Yes</t>
        </is>
      </c>
      <c r="M2" t="inlineStr">
        <is>
          <t>Normalize sources to NCCIH/EMA/PubMed</t>
        </is>
      </c>
      <c r="Q2" t="n">
        <v>17</v>
      </c>
    </row>
    <row r="3">
      <c r="A3" t="inlineStr">
        <is>
          <t>black-cohosh</t>
        </is>
      </c>
      <c r="B3" t="inlineStr">
        <is>
          <t>Actaea racemosa</t>
        </is>
      </c>
      <c r="E3" t="inlineStr">
        <is>
          <t>present</t>
        </is>
      </c>
      <c r="F3" t="inlineStr">
        <is>
          <t>medium</t>
        </is>
      </c>
      <c r="H3" s="175" t="str"/>
      <c r="I3" t="inlineStr">
        <is>
          <t>No</t>
        </is>
      </c>
      <c r="J3" t="inlineStr">
        <is>
          <t>No</t>
        </is>
      </c>
      <c r="K3" t="inlineStr">
        <is>
          <t>Yes</t>
        </is>
      </c>
      <c r="L3" t="inlineStr">
        <is>
          <t>No</t>
        </is>
      </c>
      <c r="M3" t="inlineStr">
        <is>
          <t>Add extract marker or standardization details</t>
        </is>
      </c>
    </row>
    <row r="4">
      <c r="A4" t="inlineStr">
        <is>
          <t>echinacea-purpurea</t>
        </is>
      </c>
      <c r="B4" t="inlineStr">
        <is>
          <t>Echinacea purpurea</t>
        </is>
      </c>
      <c r="E4" t="inlineStr">
        <is>
          <t>present</t>
        </is>
      </c>
      <c r="F4" t="inlineStr">
        <is>
          <t>medium</t>
        </is>
      </c>
      <c r="H4" s="175" t="str"/>
      <c r="I4" t="inlineStr">
        <is>
          <t>No</t>
        </is>
      </c>
      <c r="J4" t="inlineStr">
        <is>
          <t>No</t>
        </is>
      </c>
      <c r="K4" t="inlineStr">
        <is>
          <t>Yes</t>
        </is>
      </c>
      <c r="L4" t="inlineStr">
        <is>
          <t>No</t>
        </is>
      </c>
      <c r="M4" t="inlineStr">
        <is>
          <t>Add extract marker or standardization details</t>
        </is>
      </c>
    </row>
    <row r="5">
      <c r="A5" t="inlineStr">
        <is>
          <t>garlic</t>
        </is>
      </c>
      <c r="B5" t="inlineStr">
        <is>
          <t>Allium sativum</t>
        </is>
      </c>
      <c r="E5" t="inlineStr">
        <is>
          <t>present</t>
        </is>
      </c>
      <c r="F5" t="inlineStr">
        <is>
          <t>medium</t>
        </is>
      </c>
      <c r="H5" s="175" t="str"/>
      <c r="I5" t="inlineStr">
        <is>
          <t>No</t>
        </is>
      </c>
      <c r="J5" t="inlineStr">
        <is>
          <t>No</t>
        </is>
      </c>
      <c r="K5" t="inlineStr">
        <is>
          <t>Yes</t>
        </is>
      </c>
      <c r="L5" t="inlineStr">
        <is>
          <t>No</t>
        </is>
      </c>
      <c r="M5" t="inlineStr">
        <is>
          <t>Add extract marker or standardization details</t>
        </is>
      </c>
    </row>
    <row r="6">
      <c r="A6" t="inlineStr">
        <is>
          <t>ginger</t>
        </is>
      </c>
      <c r="B6" t="inlineStr">
        <is>
          <t>Zingiber officinale</t>
        </is>
      </c>
      <c r="E6" t="inlineStr">
        <is>
          <t>present</t>
        </is>
      </c>
      <c r="F6" t="inlineStr">
        <is>
          <t>high</t>
        </is>
      </c>
      <c r="H6" s="175" t="str"/>
      <c r="I6" t="inlineStr">
        <is>
          <t>No</t>
        </is>
      </c>
      <c r="J6" t="inlineStr">
        <is>
          <t>No</t>
        </is>
      </c>
      <c r="K6" t="inlineStr">
        <is>
          <t>Yes</t>
        </is>
      </c>
      <c r="L6" t="inlineStr">
        <is>
          <t>No</t>
        </is>
      </c>
      <c r="M6" t="inlineStr">
        <is>
          <t>Add extract marker or standardization details</t>
        </is>
      </c>
    </row>
    <row r="7">
      <c r="A7" t="inlineStr">
        <is>
          <t>ginkgo-biloba</t>
        </is>
      </c>
      <c r="B7" t="inlineStr">
        <is>
          <t>Ginkgo biloba</t>
        </is>
      </c>
      <c r="E7" t="inlineStr">
        <is>
          <t>needs-source-normalization</t>
        </is>
      </c>
      <c r="F7" t="inlineStr">
        <is>
          <t>high</t>
        </is>
      </c>
      <c r="H7" s="175" t="str"/>
      <c r="I7" t="inlineStr">
        <is>
          <t>No</t>
        </is>
      </c>
      <c r="J7" t="inlineStr">
        <is>
          <t>No</t>
        </is>
      </c>
      <c r="K7" t="inlineStr">
        <is>
          <t>No</t>
        </is>
      </c>
      <c r="L7" t="inlineStr">
        <is>
          <t>Yes</t>
        </is>
      </c>
      <c r="M7" t="inlineStr">
        <is>
          <t>Normalize sources to NCCIH/EMA/PubMed</t>
        </is>
      </c>
    </row>
    <row r="8">
      <c r="A8" t="inlineStr">
        <is>
          <t>holy-basil</t>
        </is>
      </c>
      <c r="B8" t="inlineStr">
        <is>
          <t>Ocimum tenuiflorum</t>
        </is>
      </c>
      <c r="E8" t="inlineStr">
        <is>
          <t>present</t>
        </is>
      </c>
      <c r="F8" t="inlineStr">
        <is>
          <t>medium</t>
        </is>
      </c>
      <c r="H8" s="175" t="str"/>
      <c r="I8" t="inlineStr">
        <is>
          <t>No</t>
        </is>
      </c>
      <c r="J8" t="inlineStr">
        <is>
          <t>No</t>
        </is>
      </c>
      <c r="K8" t="inlineStr">
        <is>
          <t>No</t>
        </is>
      </c>
      <c r="L8" t="inlineStr">
        <is>
          <t>No</t>
        </is>
      </c>
      <c r="M8" t="inlineStr">
        <is>
          <t>Monitor / optional refinement</t>
        </is>
      </c>
    </row>
    <row r="9">
      <c r="A9" t="inlineStr">
        <is>
          <t>kava</t>
        </is>
      </c>
      <c r="B9" t="inlineStr">
        <is>
          <t>Piper methysticum</t>
        </is>
      </c>
      <c r="E9" t="inlineStr">
        <is>
          <t>needs-source-normalization</t>
        </is>
      </c>
      <c r="F9" t="inlineStr">
        <is>
          <t>medium</t>
        </is>
      </c>
      <c r="H9" s="175" t="str"/>
      <c r="I9" t="inlineStr">
        <is>
          <t>No</t>
        </is>
      </c>
      <c r="J9" t="inlineStr">
        <is>
          <t>No</t>
        </is>
      </c>
      <c r="K9" t="inlineStr">
        <is>
          <t>No</t>
        </is>
      </c>
      <c r="L9" t="inlineStr">
        <is>
          <t>Yes</t>
        </is>
      </c>
      <c r="M9" t="inlineStr">
        <is>
          <t>Normalize sources to NCCIH/EMA/PubMed</t>
        </is>
      </c>
    </row>
    <row r="10">
      <c r="A10" t="inlineStr">
        <is>
          <t>lemon-balm</t>
        </is>
      </c>
      <c r="B10" t="inlineStr">
        <is>
          <t>Melissa officinalis</t>
        </is>
      </c>
      <c r="E10" t="inlineStr">
        <is>
          <t>present</t>
        </is>
      </c>
      <c r="F10" t="inlineStr">
        <is>
          <t>medium</t>
        </is>
      </c>
      <c r="H10" s="175" t="str"/>
      <c r="I10" t="inlineStr">
        <is>
          <t>No</t>
        </is>
      </c>
      <c r="J10" t="inlineStr">
        <is>
          <t>No</t>
        </is>
      </c>
      <c r="K10" t="inlineStr">
        <is>
          <t>No</t>
        </is>
      </c>
      <c r="L10" t="inlineStr">
        <is>
          <t>No</t>
        </is>
      </c>
      <c r="M10" t="inlineStr">
        <is>
          <t>Monitor / optional refinement</t>
        </is>
      </c>
    </row>
    <row r="11">
      <c r="A11" t="inlineStr">
        <is>
          <t>maca</t>
        </is>
      </c>
      <c r="B11" t="inlineStr">
        <is>
          <t>Lepidium meyenii</t>
        </is>
      </c>
      <c r="E11" t="inlineStr">
        <is>
          <t>present</t>
        </is>
      </c>
      <c r="F11" t="inlineStr">
        <is>
          <t>medium</t>
        </is>
      </c>
      <c r="H11" s="175" t="str"/>
      <c r="I11" t="inlineStr">
        <is>
          <t>No</t>
        </is>
      </c>
      <c r="J11" t="inlineStr">
        <is>
          <t>No</t>
        </is>
      </c>
      <c r="K11" t="inlineStr">
        <is>
          <t>Yes</t>
        </is>
      </c>
      <c r="L11" t="inlineStr">
        <is>
          <t>No</t>
        </is>
      </c>
      <c r="M11" t="inlineStr">
        <is>
          <t>Add extract marker or standardization details</t>
        </is>
      </c>
    </row>
    <row r="12">
      <c r="A12" t="inlineStr">
        <is>
          <t>milk-thistle</t>
        </is>
      </c>
      <c r="B12" t="inlineStr">
        <is>
          <t>Silybum marianum</t>
        </is>
      </c>
      <c r="E12" t="inlineStr">
        <is>
          <t>needs-source-normalization</t>
        </is>
      </c>
      <c r="F12" t="inlineStr">
        <is>
          <t>high</t>
        </is>
      </c>
      <c r="H12" s="175" t="str"/>
      <c r="I12" t="inlineStr">
        <is>
          <t>No</t>
        </is>
      </c>
      <c r="J12" t="inlineStr">
        <is>
          <t>No</t>
        </is>
      </c>
      <c r="K12" t="inlineStr">
        <is>
          <t>No</t>
        </is>
      </c>
      <c r="L12" t="inlineStr">
        <is>
          <t>Yes</t>
        </is>
      </c>
      <c r="M12" t="inlineStr">
        <is>
          <t>Normalize sources to NCCIH/EMA/PubMed</t>
        </is>
      </c>
    </row>
    <row r="13">
      <c r="A13" t="inlineStr">
        <is>
          <t>peppermint</t>
        </is>
      </c>
      <c r="B13" t="inlineStr">
        <is>
          <t>Mentha × piperita</t>
        </is>
      </c>
      <c r="E13" t="inlineStr">
        <is>
          <t>present</t>
        </is>
      </c>
      <c r="F13" t="inlineStr">
        <is>
          <t>medium</t>
        </is>
      </c>
      <c r="H13" s="175" t="str"/>
      <c r="I13" t="inlineStr">
        <is>
          <t>No</t>
        </is>
      </c>
      <c r="J13" t="inlineStr">
        <is>
          <t>No</t>
        </is>
      </c>
      <c r="K13" t="inlineStr">
        <is>
          <t>Yes</t>
        </is>
      </c>
      <c r="L13" t="inlineStr">
        <is>
          <t>No</t>
        </is>
      </c>
      <c r="M13" t="inlineStr">
        <is>
          <t>Add extract marker or standardization details</t>
        </is>
      </c>
    </row>
    <row r="14">
      <c r="A14" t="inlineStr">
        <is>
          <t>rhodiola-rosea</t>
        </is>
      </c>
      <c r="B14" t="inlineStr">
        <is>
          <t>Rhodiola rosea</t>
        </is>
      </c>
      <c r="E14" t="inlineStr">
        <is>
          <t>present</t>
        </is>
      </c>
      <c r="F14" t="inlineStr">
        <is>
          <t>medium</t>
        </is>
      </c>
      <c r="H14" s="175" t="str"/>
      <c r="I14" t="inlineStr">
        <is>
          <t>No</t>
        </is>
      </c>
      <c r="J14" t="inlineStr">
        <is>
          <t>No</t>
        </is>
      </c>
      <c r="K14" t="inlineStr">
        <is>
          <t>No</t>
        </is>
      </c>
      <c r="L14" t="inlineStr">
        <is>
          <t>No</t>
        </is>
      </c>
      <c r="M14" t="inlineStr">
        <is>
          <t>Monitor / optional refinement</t>
        </is>
      </c>
    </row>
    <row r="15">
      <c r="A15" t="inlineStr">
        <is>
          <t>saw-palmetto</t>
        </is>
      </c>
      <c r="B15" t="inlineStr">
        <is>
          <t>Serenoa repens</t>
        </is>
      </c>
      <c r="E15" t="inlineStr">
        <is>
          <t>present</t>
        </is>
      </c>
      <c r="F15" t="inlineStr">
        <is>
          <t>medium</t>
        </is>
      </c>
      <c r="H15" s="175" t="str"/>
      <c r="I15" t="inlineStr">
        <is>
          <t>No</t>
        </is>
      </c>
      <c r="J15" t="inlineStr">
        <is>
          <t>No</t>
        </is>
      </c>
      <c r="K15" t="inlineStr">
        <is>
          <t>No</t>
        </is>
      </c>
      <c r="L15" t="inlineStr">
        <is>
          <t>No</t>
        </is>
      </c>
      <c r="M15" t="inlineStr">
        <is>
          <t>Monitor / optional refinement</t>
        </is>
      </c>
    </row>
    <row r="16">
      <c r="A16" t="inlineStr">
        <is>
          <t>st-johns-wort</t>
        </is>
      </c>
      <c r="B16" t="inlineStr">
        <is>
          <t>Hypericum perforatum</t>
        </is>
      </c>
      <c r="E16" t="inlineStr">
        <is>
          <t>needs-source-normalization</t>
        </is>
      </c>
      <c r="F16" t="inlineStr">
        <is>
          <t>high</t>
        </is>
      </c>
      <c r="H16" s="175" t="str"/>
      <c r="I16" t="inlineStr">
        <is>
          <t>No</t>
        </is>
      </c>
      <c r="J16" t="inlineStr">
        <is>
          <t>No</t>
        </is>
      </c>
      <c r="K16" t="inlineStr">
        <is>
          <t>No</t>
        </is>
      </c>
      <c r="L16" t="inlineStr">
        <is>
          <t>Yes</t>
        </is>
      </c>
      <c r="M16" t="inlineStr">
        <is>
          <t>Normalize sources to NCCIH/EMA/PubMed</t>
        </is>
      </c>
    </row>
    <row r="17">
      <c r="A17" t="inlineStr">
        <is>
          <t>turmeric</t>
        </is>
      </c>
      <c r="B17" t="inlineStr">
        <is>
          <t>Curcuma longa</t>
        </is>
      </c>
      <c r="E17" t="inlineStr">
        <is>
          <t>present</t>
        </is>
      </c>
      <c r="F17" t="inlineStr">
        <is>
          <t>medium</t>
        </is>
      </c>
      <c r="H17" s="175" t="str"/>
      <c r="I17" t="inlineStr">
        <is>
          <t>No</t>
        </is>
      </c>
      <c r="J17" t="inlineStr">
        <is>
          <t>No</t>
        </is>
      </c>
      <c r="K17" t="inlineStr">
        <is>
          <t>Yes</t>
        </is>
      </c>
      <c r="L17" t="inlineStr">
        <is>
          <t>No</t>
        </is>
      </c>
      <c r="M17" t="inlineStr">
        <is>
          <t>Add extract marker or standardization details</t>
        </is>
      </c>
    </row>
    <row r="18">
      <c r="A18" t="inlineStr">
        <is>
          <t>valerian</t>
        </is>
      </c>
      <c r="B18" t="inlineStr">
        <is>
          <t>Valeriana officinalis</t>
        </is>
      </c>
      <c r="E18" t="inlineStr">
        <is>
          <t>needs-source-normalization</t>
        </is>
      </c>
      <c r="F18" t="inlineStr">
        <is>
          <t>medium</t>
        </is>
      </c>
      <c r="H18" s="175" t="str"/>
      <c r="I18" t="inlineStr">
        <is>
          <t>No</t>
        </is>
      </c>
      <c r="J18" t="inlineStr">
        <is>
          <t>No</t>
        </is>
      </c>
      <c r="K18" t="inlineStr">
        <is>
          <t>Yes</t>
        </is>
      </c>
      <c r="L18" t="inlineStr">
        <is>
          <t>Yes</t>
        </is>
      </c>
      <c r="M18" t="inlineStr">
        <is>
          <t>Normalize sources to NCCIH/EMA/PubMed</t>
        </is>
      </c>
    </row>
    <row r="19">
      <c r="H19" s="175" t="n"/>
    </row>
    <row r="20">
      <c r="H20" s="175" t="n"/>
    </row>
    <row r="21">
      <c r="H21" s="175" t="n"/>
    </row>
    <row r="22">
      <c r="H22" s="175" t="n"/>
    </row>
    <row r="23">
      <c r="H23" s="175" t="n"/>
    </row>
    <row r="24">
      <c r="H24" s="175" t="n"/>
    </row>
    <row r="25">
      <c r="H25" s="175" t="n"/>
    </row>
    <row r="26">
      <c r="H26" s="175" t="n"/>
    </row>
    <row r="27">
      <c r="H27" s="175" t="n"/>
    </row>
    <row r="28">
      <c r="H28" s="175" t="n"/>
    </row>
    <row r="29">
      <c r="H29" s="175" t="n"/>
    </row>
    <row r="30">
      <c r="H30" s="175" t="n"/>
    </row>
    <row r="31">
      <c r="H31" s="175" t="n"/>
    </row>
    <row r="32">
      <c r="H32" s="175" t="n"/>
    </row>
    <row r="33">
      <c r="H33" s="175" t="n"/>
    </row>
    <row r="34">
      <c r="H34" s="175" t="n"/>
    </row>
    <row r="35">
      <c r="H35" s="175" t="n"/>
    </row>
    <row r="36">
      <c r="H36" s="175" t="n"/>
    </row>
    <row r="37">
      <c r="H37" s="175" t="n"/>
    </row>
    <row r="38">
      <c r="H38" s="175" t="n"/>
    </row>
    <row r="39">
      <c r="H39" s="175" t="n"/>
    </row>
    <row r="40">
      <c r="H40" s="175" t="n"/>
    </row>
    <row r="41">
      <c r="H41" s="175" t="n"/>
    </row>
    <row r="42">
      <c r="H42" s="175" t="n"/>
    </row>
    <row r="43">
      <c r="H43" s="175" t="n"/>
    </row>
    <row r="44">
      <c r="H44" s="175" t="n"/>
    </row>
    <row r="45">
      <c r="H45" s="175" t="n"/>
    </row>
    <row r="46">
      <c r="H46" s="175" t="n"/>
    </row>
    <row r="47">
      <c r="H47" s="175" t="n"/>
    </row>
    <row r="48">
      <c r="H48" s="175" t="n"/>
    </row>
    <row r="49">
      <c r="H49" s="175" t="n"/>
    </row>
    <row r="50">
      <c r="H50" s="175" t="n"/>
    </row>
    <row r="51">
      <c r="H51" s="175" t="n"/>
    </row>
    <row r="52">
      <c r="H52" s="175" t="n"/>
    </row>
    <row r="53">
      <c r="H53" s="175" t="n"/>
    </row>
    <row r="54">
      <c r="H54" s="175" t="n"/>
    </row>
    <row r="55">
      <c r="H55" s="175" t="n"/>
    </row>
    <row r="56">
      <c r="H56" s="175" t="n"/>
    </row>
    <row r="57">
      <c r="H57" s="175" t="n"/>
    </row>
    <row r="58">
      <c r="H58" s="175" t="n"/>
    </row>
    <row r="59">
      <c r="H59" s="175" t="n"/>
    </row>
    <row r="60">
      <c r="H60" s="175" t="n"/>
    </row>
    <row r="61">
      <c r="H61" s="175" t="n"/>
    </row>
    <row r="62">
      <c r="H62" s="175" t="n"/>
    </row>
    <row r="63">
      <c r="H63" s="175" t="n"/>
    </row>
    <row r="64">
      <c r="H64" s="175" t="n"/>
    </row>
    <row r="65">
      <c r="H65" s="175" t="n"/>
    </row>
    <row r="66">
      <c r="H66" s="175" t="n"/>
    </row>
    <row r="67">
      <c r="H67" s="175" t="n"/>
    </row>
    <row r="68">
      <c r="H68" s="175" t="n"/>
    </row>
    <row r="69">
      <c r="H69" s="175" t="n"/>
    </row>
    <row r="70">
      <c r="H70" s="175" t="n"/>
    </row>
    <row r="71">
      <c r="H71" s="175" t="n"/>
    </row>
    <row r="72">
      <c r="H72" s="175" t="n"/>
    </row>
    <row r="73">
      <c r="H73" s="175" t="n"/>
    </row>
    <row r="74">
      <c r="H74" s="175" t="n"/>
    </row>
    <row r="75">
      <c r="H75" s="175" t="n"/>
    </row>
    <row r="76">
      <c r="H76" s="175" t="n"/>
    </row>
    <row r="77">
      <c r="H77" s="175" t="n"/>
    </row>
    <row r="78">
      <c r="H78" s="175" t="n"/>
    </row>
    <row r="79">
      <c r="H79" s="175" t="n"/>
    </row>
    <row r="80">
      <c r="H80" s="175" t="n"/>
    </row>
    <row r="81">
      <c r="H81" s="175" t="n"/>
    </row>
    <row r="82">
      <c r="H82" s="175" t="n"/>
    </row>
    <row r="83">
      <c r="H83" s="175" t="n"/>
    </row>
    <row r="84">
      <c r="H84" s="175" t="n"/>
    </row>
    <row r="85">
      <c r="H85" s="175" t="n"/>
    </row>
    <row r="86">
      <c r="H86" s="175" t="n"/>
    </row>
    <row r="87">
      <c r="H87" s="175" t="n"/>
    </row>
    <row r="88">
      <c r="H88" s="175" t="n"/>
    </row>
    <row r="89">
      <c r="H89" s="175" t="n"/>
    </row>
    <row r="90">
      <c r="H90" s="175" t="n"/>
    </row>
    <row r="91">
      <c r="H91" s="175" t="n"/>
    </row>
    <row r="92">
      <c r="H92" s="175" t="n"/>
    </row>
    <row r="93">
      <c r="H93" s="175" t="n"/>
    </row>
    <row r="94">
      <c r="H94" s="175" t="n"/>
    </row>
    <row r="95">
      <c r="H95" s="175" t="n"/>
    </row>
    <row r="96">
      <c r="H96" s="175" t="n"/>
    </row>
    <row r="97">
      <c r="H97" s="175" t="n"/>
    </row>
    <row r="98">
      <c r="H98" s="175" t="n"/>
    </row>
    <row r="99">
      <c r="H99" s="175" t="n"/>
    </row>
    <row r="100">
      <c r="H100" s="175" t="n"/>
    </row>
  </sheetData>
  <conditionalFormatting sqref="L2:L100">
    <cfRule type="cellIs" priority="1" dxfId="12">
      <formula>"Yes"</formula>
    </cfRule>
  </conditionalFormatting>
  <conditionalFormatting sqref="M2:M100">
    <cfRule type="expression" priority="2" dxfId="13">
      <formula>OR($L2="Yes",$I2="Yes",$J2="Yes")</formula>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71000003814697" customWidth="1" style="76" min="1" max="1"/>
    <col width="24.70999908447266" customWidth="1" style="76" min="2" max="2"/>
    <col width="30.13999938964844" customWidth="1" style="76" min="3" max="3"/>
    <col width="25.43000030517578" customWidth="1" style="76" min="4" max="4"/>
    <col width="42" customWidth="1" style="76" min="5" max="5"/>
    <col width="38" customWidth="1" style="76" min="6" max="6"/>
    <col width="6.860000133514404" customWidth="1" style="76" min="7" max="7"/>
    <col width="6.429999828338623" customWidth="1" style="76" min="8" max="8"/>
  </cols>
  <sheetData>
    <row r="1">
      <c r="A1" s="67" t="inlineStr">
        <is>
          <t>slug</t>
        </is>
      </c>
      <c r="B1" s="67" t="inlineStr">
        <is>
          <t>scientificName</t>
        </is>
      </c>
      <c r="C1" s="67" t="inlineStr">
        <is>
          <t>citationStatus</t>
        </is>
      </c>
      <c r="D1" s="67" t="inlineStr">
        <is>
          <t>sourceAuthority</t>
        </is>
      </c>
      <c r="E1" s="67" t="inlineStr">
        <is>
          <t>sources</t>
        </is>
      </c>
      <c r="F1" s="67" t="inlineStr">
        <is>
          <t>cleanupAction</t>
        </is>
      </c>
      <c r="G1" s="67" t="inlineStr">
        <is>
          <t>owner</t>
        </is>
      </c>
      <c r="H1" s="67" t="inlineStr">
        <is>
          <t>status</t>
        </is>
      </c>
    </row>
    <row r="2">
      <c r="A2" t="inlineStr">
        <is>
          <t>ashwagandha</t>
        </is>
      </c>
      <c r="B2" t="inlineStr">
        <is>
          <t>Withania somnifera</t>
        </is>
      </c>
      <c r="C2" t="inlineStr">
        <is>
          <t>needs-source-normalization</t>
        </is>
      </c>
      <c r="D2" t="inlineStr">
        <is>
          <t>conversation-recovered</t>
        </is>
      </c>
      <c r="E2" t="inlineStr">
        <is>
          <t>Recovered from prior batch output in this conversation</t>
        </is>
      </c>
      <c r="F2" t="inlineStr">
        <is>
          <t>Replace conversation-recovered source string with direct NCCIH/EMA/PubMed citations</t>
        </is>
      </c>
      <c r="H2" t="inlineStr">
        <is>
          <t>Open</t>
        </is>
      </c>
    </row>
    <row r="3">
      <c r="A3" t="inlineStr">
        <is>
          <t>ginkgo-biloba</t>
        </is>
      </c>
      <c r="B3" t="inlineStr">
        <is>
          <t>Ginkgo biloba</t>
        </is>
      </c>
      <c r="C3" t="inlineStr">
        <is>
          <t>needs-source-normalization</t>
        </is>
      </c>
      <c r="D3" t="inlineStr">
        <is>
          <t>conversation-recovered</t>
        </is>
      </c>
      <c r="E3" t="inlineStr">
        <is>
          <t>Recovered from prior batch output in this conversation</t>
        </is>
      </c>
      <c r="F3" t="inlineStr">
        <is>
          <t>Replace conversation-recovered source string with direct NCCIH/EMA/PubMed citations</t>
        </is>
      </c>
      <c r="H3" t="inlineStr">
        <is>
          <t>Open</t>
        </is>
      </c>
    </row>
    <row r="4">
      <c r="A4" t="inlineStr">
        <is>
          <t>kava</t>
        </is>
      </c>
      <c r="B4" t="inlineStr">
        <is>
          <t>Piper methysticum</t>
        </is>
      </c>
      <c r="C4" t="inlineStr">
        <is>
          <t>needs-source-normalization</t>
        </is>
      </c>
      <c r="D4" t="inlineStr">
        <is>
          <t>conversation-recovered</t>
        </is>
      </c>
      <c r="E4" t="inlineStr">
        <is>
          <t>Recovered from prior batch output in this conversation</t>
        </is>
      </c>
      <c r="F4" t="inlineStr">
        <is>
          <t>Replace conversation-recovered source string with direct NCCIH/EMA/PubMed citations</t>
        </is>
      </c>
      <c r="H4" t="inlineStr">
        <is>
          <t>Open</t>
        </is>
      </c>
    </row>
    <row r="5">
      <c r="A5" t="inlineStr">
        <is>
          <t>milk-thistle</t>
        </is>
      </c>
      <c r="B5" t="inlineStr">
        <is>
          <t>Silybum marianum</t>
        </is>
      </c>
      <c r="C5" t="inlineStr">
        <is>
          <t>needs-source-normalization</t>
        </is>
      </c>
      <c r="D5" t="inlineStr">
        <is>
          <t>conversation-recovered</t>
        </is>
      </c>
      <c r="E5" t="inlineStr">
        <is>
          <t>Recovered from prior batch output in this conversation</t>
        </is>
      </c>
      <c r="F5" t="inlineStr">
        <is>
          <t>Replace conversation-recovered source string with direct NCCIH/EMA/PubMed citations</t>
        </is>
      </c>
      <c r="H5" t="inlineStr">
        <is>
          <t>Open</t>
        </is>
      </c>
    </row>
    <row r="6">
      <c r="A6" t="inlineStr">
        <is>
          <t>st-johns-wort</t>
        </is>
      </c>
      <c r="B6" t="inlineStr">
        <is>
          <t>Hypericum perforatum</t>
        </is>
      </c>
      <c r="C6" t="inlineStr">
        <is>
          <t>needs-source-normalization</t>
        </is>
      </c>
      <c r="D6" t="inlineStr">
        <is>
          <t>conversation-recovered</t>
        </is>
      </c>
      <c r="E6" t="inlineStr">
        <is>
          <t>Recovered from prior batch output in this conversation</t>
        </is>
      </c>
      <c r="F6" t="inlineStr">
        <is>
          <t>Replace conversation-recovered source string with direct NCCIH/EMA/PubMed citations</t>
        </is>
      </c>
      <c r="H6" t="inlineStr">
        <is>
          <t>Open</t>
        </is>
      </c>
    </row>
    <row r="7">
      <c r="A7" t="inlineStr">
        <is>
          <t>valerian</t>
        </is>
      </c>
      <c r="B7" t="inlineStr">
        <is>
          <t>Valeriana officinalis</t>
        </is>
      </c>
      <c r="C7" t="inlineStr">
        <is>
          <t>needs-source-normalization</t>
        </is>
      </c>
      <c r="D7" t="inlineStr">
        <is>
          <t>conversation-recovered</t>
        </is>
      </c>
      <c r="E7" t="inlineStr">
        <is>
          <t>Recovered from prior batch output in this conversation</t>
        </is>
      </c>
      <c r="F7" t="inlineStr">
        <is>
          <t>Replace conversation-recovered source string with direct NCCIH/EMA/PubMed citations</t>
        </is>
      </c>
      <c r="H7" t="inlineStr">
        <is>
          <t>Open</t>
        </is>
      </c>
    </row>
  </sheetData>
  <dataValidations count="1">
    <dataValidation sqref="H2:H100" showDropDown="0" showInputMessage="0" showErrorMessage="0" allowBlank="0" type="list">
      <formula1>"Open,In Progress,Blocked,Done"</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8" customWidth="1" style="76" min="1" max="1"/>
    <col width="24" customWidth="1" style="76" min="2" max="2"/>
    <col width="18" customWidth="1" style="76" min="3" max="3"/>
    <col width="18" customWidth="1" style="76" min="4" max="4"/>
    <col width="18" customWidth="1" style="76" min="5" max="5"/>
    <col width="18" customWidth="1" style="76" min="6" max="6"/>
    <col width="18" customWidth="1" style="76" min="7" max="7"/>
    <col width="18" customWidth="1" style="76" min="8" max="8"/>
    <col width="18" customWidth="1" style="76" min="9" max="9"/>
    <col width="18" customWidth="1" style="76" min="10" max="10"/>
    <col width="18" customWidth="1" style="76" min="11" max="11"/>
    <col width="18" customWidth="1" style="76" min="12" max="12"/>
    <col width="18" customWidth="1" style="76" min="13" max="13"/>
    <col width="28" customWidth="1" style="76" min="14" max="14"/>
  </cols>
  <sheetData>
    <row r="1">
      <c r="A1" s="87" t="inlineStr">
        <is>
          <t>slug</t>
        </is>
      </c>
      <c r="B1" s="87" t="inlineStr">
        <is>
          <t>scientificName</t>
        </is>
      </c>
      <c r="C1" s="87" t="inlineStr">
        <is>
          <t>reviewPriority</t>
        </is>
      </c>
      <c r="D1" s="87" t="inlineStr">
        <is>
          <t>totalScore</t>
        </is>
      </c>
      <c r="E1" s="87" t="inlineStr">
        <is>
          <t>citationStatus</t>
        </is>
      </c>
      <c r="F1" s="87" t="inlineStr">
        <is>
          <t>readinessFlag</t>
        </is>
      </c>
      <c r="G1" s="87" t="inlineStr">
        <is>
          <t>editorialOwner</t>
        </is>
      </c>
      <c r="H1" s="87" t="inlineStr">
        <is>
          <t>reviewDate</t>
        </is>
      </c>
      <c r="I1" s="87" t="inlineStr">
        <is>
          <t>publishStatus</t>
        </is>
      </c>
      <c r="J1" s="87" t="inlineStr">
        <is>
          <t>qaStatus</t>
        </is>
      </c>
      <c r="K1" s="87" t="inlineStr">
        <is>
          <t>sourceLockFlag</t>
        </is>
      </c>
      <c r="L1" s="87" t="inlineStr">
        <is>
          <t>frontendReadyFlag</t>
        </is>
      </c>
      <c r="M1" s="87" t="inlineStr">
        <is>
          <t>webCopyReadyFlag</t>
        </is>
      </c>
      <c r="N1" s="87" t="inlineStr">
        <is>
          <t>publishBlocker</t>
        </is>
      </c>
    </row>
    <row r="2">
      <c r="A2" t="inlineStr">
        <is>
          <t>ashwagandha</t>
        </is>
      </c>
      <c r="B2" t="inlineStr">
        <is>
          <t>Withania somnifera</t>
        </is>
      </c>
      <c r="C2" t="inlineStr">
        <is>
          <t>High</t>
        </is>
      </c>
      <c r="D2" t="n">
        <v>6</v>
      </c>
      <c r="E2" t="inlineStr">
        <is>
          <t>needs-source-normalization</t>
        </is>
      </c>
      <c r="F2" t="inlineStr">
        <is>
          <t>Near ready</t>
        </is>
      </c>
      <c r="G2" t="inlineStr">
        <is>
          <t>Research</t>
        </is>
      </c>
      <c r="I2" t="inlineStr">
        <is>
          <t>Source review</t>
        </is>
      </c>
      <c r="J2" t="inlineStr">
        <is>
          <t>Not started</t>
        </is>
      </c>
      <c r="K2" t="inlineStr">
        <is>
          <t>No</t>
        </is>
      </c>
      <c r="L2" t="inlineStr">
        <is>
          <t>No</t>
        </is>
      </c>
      <c r="M2" t="inlineStr">
        <is>
          <t>Yes</t>
        </is>
      </c>
      <c r="N2" t="inlineStr">
        <is>
          <t>Normalize source record</t>
        </is>
      </c>
    </row>
    <row r="3">
      <c r="A3" t="inlineStr">
        <is>
          <t>black-cohosh</t>
        </is>
      </c>
      <c r="B3" t="inlineStr">
        <is>
          <t>Actaea racemosa</t>
        </is>
      </c>
      <c r="C3" t="inlineStr">
        <is>
          <t>Medium</t>
        </is>
      </c>
      <c r="D3" t="n">
        <v>8</v>
      </c>
      <c r="E3" t="inlineStr">
        <is>
          <t>present</t>
        </is>
      </c>
      <c r="F3" t="inlineStr">
        <is>
          <t>Ready</t>
        </is>
      </c>
      <c r="G3" t="inlineStr">
        <is>
          <t>Editorial</t>
        </is>
      </c>
      <c r="I3" t="inlineStr">
        <is>
          <t>Ready for QA</t>
        </is>
      </c>
      <c r="J3" t="inlineStr">
        <is>
          <t>Not started</t>
        </is>
      </c>
      <c r="K3" t="inlineStr">
        <is>
          <t>Yes</t>
        </is>
      </c>
      <c r="L3" t="inlineStr">
        <is>
          <t>Yes</t>
        </is>
      </c>
      <c r="M3" t="inlineStr">
        <is>
          <t>Yes</t>
        </is>
      </c>
    </row>
    <row r="4">
      <c r="A4" t="inlineStr">
        <is>
          <t>echinacea-purpurea</t>
        </is>
      </c>
      <c r="B4" t="inlineStr">
        <is>
          <t>Echinacea purpurea</t>
        </is>
      </c>
      <c r="C4" t="inlineStr">
        <is>
          <t>Medium</t>
        </is>
      </c>
      <c r="D4" t="n">
        <v>6</v>
      </c>
      <c r="E4" t="inlineStr">
        <is>
          <t>present</t>
        </is>
      </c>
      <c r="F4" t="inlineStr">
        <is>
          <t>Near ready</t>
        </is>
      </c>
      <c r="G4" t="inlineStr">
        <is>
          <t>Editorial</t>
        </is>
      </c>
      <c r="I4" t="inlineStr">
        <is>
          <t>Editorial polish</t>
        </is>
      </c>
      <c r="J4" t="inlineStr">
        <is>
          <t>Not started</t>
        </is>
      </c>
      <c r="K4" t="inlineStr">
        <is>
          <t>Yes</t>
        </is>
      </c>
      <c r="L4" t="inlineStr">
        <is>
          <t>No</t>
        </is>
      </c>
      <c r="M4" t="inlineStr">
        <is>
          <t>Yes</t>
        </is>
      </c>
      <c r="N4" t="inlineStr">
        <is>
          <t>Finalize remaining content gaps</t>
        </is>
      </c>
    </row>
    <row r="5">
      <c r="A5" t="inlineStr">
        <is>
          <t>garlic</t>
        </is>
      </c>
      <c r="B5" t="inlineStr">
        <is>
          <t>Allium sativum</t>
        </is>
      </c>
      <c r="C5" t="inlineStr">
        <is>
          <t>Medium</t>
        </is>
      </c>
      <c r="D5" t="n">
        <v>6</v>
      </c>
      <c r="E5" t="inlineStr">
        <is>
          <t>present</t>
        </is>
      </c>
      <c r="F5" t="inlineStr">
        <is>
          <t>Near ready</t>
        </is>
      </c>
      <c r="G5" t="inlineStr">
        <is>
          <t>Editorial</t>
        </is>
      </c>
      <c r="I5" t="inlineStr">
        <is>
          <t>Editorial polish</t>
        </is>
      </c>
      <c r="J5" t="inlineStr">
        <is>
          <t>Not started</t>
        </is>
      </c>
      <c r="K5" t="inlineStr">
        <is>
          <t>Yes</t>
        </is>
      </c>
      <c r="L5" t="inlineStr">
        <is>
          <t>No</t>
        </is>
      </c>
      <c r="M5" t="inlineStr">
        <is>
          <t>Yes</t>
        </is>
      </c>
      <c r="N5" t="inlineStr">
        <is>
          <t>Finalize remaining content gaps</t>
        </is>
      </c>
    </row>
    <row r="6">
      <c r="A6" t="inlineStr">
        <is>
          <t>ginger</t>
        </is>
      </c>
      <c r="B6" t="inlineStr">
        <is>
          <t>Zingiber officinale</t>
        </is>
      </c>
      <c r="C6" t="inlineStr">
        <is>
          <t>Medium</t>
        </is>
      </c>
      <c r="D6" t="n">
        <v>7</v>
      </c>
      <c r="E6" t="inlineStr">
        <is>
          <t>present</t>
        </is>
      </c>
      <c r="F6" t="inlineStr">
        <is>
          <t>Near ready</t>
        </is>
      </c>
      <c r="G6" t="inlineStr">
        <is>
          <t>Editorial</t>
        </is>
      </c>
      <c r="I6" t="inlineStr">
        <is>
          <t>Editorial polish</t>
        </is>
      </c>
      <c r="J6" t="inlineStr">
        <is>
          <t>Not started</t>
        </is>
      </c>
      <c r="K6" t="inlineStr">
        <is>
          <t>Yes</t>
        </is>
      </c>
      <c r="L6" t="inlineStr">
        <is>
          <t>No</t>
        </is>
      </c>
      <c r="M6" t="inlineStr">
        <is>
          <t>Yes</t>
        </is>
      </c>
      <c r="N6" t="inlineStr">
        <is>
          <t>Finalize remaining content gaps</t>
        </is>
      </c>
    </row>
    <row r="7">
      <c r="A7" t="inlineStr">
        <is>
          <t>ginkgo-biloba</t>
        </is>
      </c>
      <c r="B7" t="inlineStr">
        <is>
          <t>Ginkgo biloba</t>
        </is>
      </c>
      <c r="C7" t="inlineStr">
        <is>
          <t>High</t>
        </is>
      </c>
      <c r="D7" t="n">
        <v>7</v>
      </c>
      <c r="E7" t="inlineStr">
        <is>
          <t>needs-source-normalization</t>
        </is>
      </c>
      <c r="F7" t="inlineStr">
        <is>
          <t>Near ready</t>
        </is>
      </c>
      <c r="G7" t="inlineStr">
        <is>
          <t>Research</t>
        </is>
      </c>
      <c r="I7" t="inlineStr">
        <is>
          <t>Source review</t>
        </is>
      </c>
      <c r="J7" t="inlineStr">
        <is>
          <t>Not started</t>
        </is>
      </c>
      <c r="K7" t="inlineStr">
        <is>
          <t>No</t>
        </is>
      </c>
      <c r="L7" t="inlineStr">
        <is>
          <t>No</t>
        </is>
      </c>
      <c r="M7" t="inlineStr">
        <is>
          <t>Yes</t>
        </is>
      </c>
      <c r="N7" t="inlineStr">
        <is>
          <t>Normalize source record</t>
        </is>
      </c>
    </row>
    <row r="8">
      <c r="A8" t="inlineStr">
        <is>
          <t>holy-basil</t>
        </is>
      </c>
      <c r="B8" t="inlineStr">
        <is>
          <t>Ocimum tenuiflorum</t>
        </is>
      </c>
      <c r="C8" t="inlineStr">
        <is>
          <t>Medium</t>
        </is>
      </c>
      <c r="D8" t="n">
        <v>8</v>
      </c>
      <c r="E8" t="inlineStr">
        <is>
          <t>present</t>
        </is>
      </c>
      <c r="F8" t="inlineStr">
        <is>
          <t>Ready</t>
        </is>
      </c>
      <c r="G8" t="inlineStr">
        <is>
          <t>Editorial</t>
        </is>
      </c>
      <c r="I8" t="inlineStr">
        <is>
          <t>Ready for QA</t>
        </is>
      </c>
      <c r="J8" t="inlineStr">
        <is>
          <t>Not started</t>
        </is>
      </c>
      <c r="K8" t="inlineStr">
        <is>
          <t>Yes</t>
        </is>
      </c>
      <c r="L8" t="inlineStr">
        <is>
          <t>Yes</t>
        </is>
      </c>
      <c r="M8" t="inlineStr">
        <is>
          <t>Yes</t>
        </is>
      </c>
    </row>
    <row r="9">
      <c r="A9" t="inlineStr">
        <is>
          <t>kava</t>
        </is>
      </c>
      <c r="B9" t="inlineStr">
        <is>
          <t>Piper methysticum</t>
        </is>
      </c>
      <c r="C9" t="inlineStr">
        <is>
          <t>High</t>
        </is>
      </c>
      <c r="D9" t="n">
        <v>6</v>
      </c>
      <c r="E9" t="inlineStr">
        <is>
          <t>needs-source-normalization</t>
        </is>
      </c>
      <c r="F9" t="inlineStr">
        <is>
          <t>Near ready</t>
        </is>
      </c>
      <c r="G9" t="inlineStr">
        <is>
          <t>Research</t>
        </is>
      </c>
      <c r="I9" t="inlineStr">
        <is>
          <t>Source review</t>
        </is>
      </c>
      <c r="J9" t="inlineStr">
        <is>
          <t>Not started</t>
        </is>
      </c>
      <c r="K9" t="inlineStr">
        <is>
          <t>No</t>
        </is>
      </c>
      <c r="L9" t="inlineStr">
        <is>
          <t>No</t>
        </is>
      </c>
      <c r="M9" t="inlineStr">
        <is>
          <t>Yes</t>
        </is>
      </c>
      <c r="N9" t="inlineStr">
        <is>
          <t>Normalize source record</t>
        </is>
      </c>
    </row>
    <row r="10">
      <c r="A10" t="inlineStr">
        <is>
          <t>lemon-balm</t>
        </is>
      </c>
      <c r="B10" t="inlineStr">
        <is>
          <t>Melissa officinalis</t>
        </is>
      </c>
      <c r="C10" t="inlineStr">
        <is>
          <t>Medium</t>
        </is>
      </c>
      <c r="D10" t="n">
        <v>8</v>
      </c>
      <c r="E10" t="inlineStr">
        <is>
          <t>present</t>
        </is>
      </c>
      <c r="F10" t="inlineStr">
        <is>
          <t>Ready</t>
        </is>
      </c>
      <c r="G10" t="inlineStr">
        <is>
          <t>Editorial</t>
        </is>
      </c>
      <c r="I10" t="inlineStr">
        <is>
          <t>Ready for QA</t>
        </is>
      </c>
      <c r="J10" t="inlineStr">
        <is>
          <t>Not started</t>
        </is>
      </c>
      <c r="K10" t="inlineStr">
        <is>
          <t>Yes</t>
        </is>
      </c>
      <c r="L10" t="inlineStr">
        <is>
          <t>Yes</t>
        </is>
      </c>
      <c r="M10" t="inlineStr">
        <is>
          <t>Yes</t>
        </is>
      </c>
    </row>
    <row r="11">
      <c r="A11" t="inlineStr">
        <is>
          <t>maca</t>
        </is>
      </c>
      <c r="B11" t="inlineStr">
        <is>
          <t>Lepidium meyenii</t>
        </is>
      </c>
      <c r="C11" t="inlineStr">
        <is>
          <t>Medium</t>
        </is>
      </c>
      <c r="D11" t="n">
        <v>8</v>
      </c>
      <c r="E11" t="inlineStr">
        <is>
          <t>present</t>
        </is>
      </c>
      <c r="F11" t="inlineStr">
        <is>
          <t>Ready</t>
        </is>
      </c>
      <c r="G11" t="inlineStr">
        <is>
          <t>Editorial</t>
        </is>
      </c>
      <c r="I11" t="inlineStr">
        <is>
          <t>Ready for QA</t>
        </is>
      </c>
      <c r="J11" t="inlineStr">
        <is>
          <t>Not started</t>
        </is>
      </c>
      <c r="K11" t="inlineStr">
        <is>
          <t>Yes</t>
        </is>
      </c>
      <c r="L11" t="inlineStr">
        <is>
          <t>Yes</t>
        </is>
      </c>
      <c r="M11" t="inlineStr">
        <is>
          <t>Yes</t>
        </is>
      </c>
    </row>
    <row r="12">
      <c r="A12" t="inlineStr">
        <is>
          <t>milk-thistle</t>
        </is>
      </c>
      <c r="B12" t="inlineStr">
        <is>
          <t>Silybum marianum</t>
        </is>
      </c>
      <c r="C12" t="inlineStr">
        <is>
          <t>High</t>
        </is>
      </c>
      <c r="D12" t="n">
        <v>7</v>
      </c>
      <c r="E12" t="inlineStr">
        <is>
          <t>needs-source-normalization</t>
        </is>
      </c>
      <c r="F12" t="inlineStr">
        <is>
          <t>Near ready</t>
        </is>
      </c>
      <c r="G12" t="inlineStr">
        <is>
          <t>Research</t>
        </is>
      </c>
      <c r="I12" t="inlineStr">
        <is>
          <t>Source review</t>
        </is>
      </c>
      <c r="J12" t="inlineStr">
        <is>
          <t>Not started</t>
        </is>
      </c>
      <c r="K12" t="inlineStr">
        <is>
          <t>No</t>
        </is>
      </c>
      <c r="L12" t="inlineStr">
        <is>
          <t>No</t>
        </is>
      </c>
      <c r="M12" t="inlineStr">
        <is>
          <t>Yes</t>
        </is>
      </c>
      <c r="N12" t="inlineStr">
        <is>
          <t>Normalize source record</t>
        </is>
      </c>
    </row>
    <row r="13">
      <c r="A13" t="inlineStr">
        <is>
          <t>peppermint</t>
        </is>
      </c>
      <c r="B13" t="inlineStr">
        <is>
          <t>Mentha × piperita</t>
        </is>
      </c>
      <c r="C13" t="inlineStr">
        <is>
          <t>Medium</t>
        </is>
      </c>
      <c r="D13" t="n">
        <v>6</v>
      </c>
      <c r="E13" t="inlineStr">
        <is>
          <t>present</t>
        </is>
      </c>
      <c r="F13" t="inlineStr">
        <is>
          <t>Near ready</t>
        </is>
      </c>
      <c r="G13" t="inlineStr">
        <is>
          <t>Editorial</t>
        </is>
      </c>
      <c r="I13" t="inlineStr">
        <is>
          <t>Editorial polish</t>
        </is>
      </c>
      <c r="J13" t="inlineStr">
        <is>
          <t>Not started</t>
        </is>
      </c>
      <c r="K13" t="inlineStr">
        <is>
          <t>Yes</t>
        </is>
      </c>
      <c r="L13" t="inlineStr">
        <is>
          <t>No</t>
        </is>
      </c>
      <c r="M13" t="inlineStr">
        <is>
          <t>Yes</t>
        </is>
      </c>
      <c r="N13" t="inlineStr">
        <is>
          <t>Finalize remaining content gaps</t>
        </is>
      </c>
    </row>
    <row r="14">
      <c r="A14" t="inlineStr">
        <is>
          <t>rhodiola-rosea</t>
        </is>
      </c>
      <c r="B14" t="inlineStr">
        <is>
          <t>Rhodiola rosea</t>
        </is>
      </c>
      <c r="C14" t="inlineStr">
        <is>
          <t>Medium</t>
        </is>
      </c>
      <c r="D14" t="n">
        <v>8</v>
      </c>
      <c r="E14" t="inlineStr">
        <is>
          <t>present</t>
        </is>
      </c>
      <c r="F14" t="inlineStr">
        <is>
          <t>Ready</t>
        </is>
      </c>
      <c r="G14" t="inlineStr">
        <is>
          <t>Editorial</t>
        </is>
      </c>
      <c r="I14" t="inlineStr">
        <is>
          <t>Ready for QA</t>
        </is>
      </c>
      <c r="J14" t="inlineStr">
        <is>
          <t>Not started</t>
        </is>
      </c>
      <c r="K14" t="inlineStr">
        <is>
          <t>Yes</t>
        </is>
      </c>
      <c r="L14" t="inlineStr">
        <is>
          <t>Yes</t>
        </is>
      </c>
      <c r="M14" t="inlineStr">
        <is>
          <t>Yes</t>
        </is>
      </c>
    </row>
    <row r="15">
      <c r="A15" t="inlineStr">
        <is>
          <t>saw-palmetto</t>
        </is>
      </c>
      <c r="B15" t="inlineStr">
        <is>
          <t>Serenoa repens</t>
        </is>
      </c>
      <c r="C15" t="inlineStr">
        <is>
          <t>Medium</t>
        </is>
      </c>
      <c r="D15" t="n">
        <v>8</v>
      </c>
      <c r="E15" t="inlineStr">
        <is>
          <t>present</t>
        </is>
      </c>
      <c r="F15" t="inlineStr">
        <is>
          <t>Ready</t>
        </is>
      </c>
      <c r="G15" t="inlineStr">
        <is>
          <t>Editorial</t>
        </is>
      </c>
      <c r="I15" t="inlineStr">
        <is>
          <t>Ready for QA</t>
        </is>
      </c>
      <c r="J15" t="inlineStr">
        <is>
          <t>Not started</t>
        </is>
      </c>
      <c r="K15" t="inlineStr">
        <is>
          <t>Yes</t>
        </is>
      </c>
      <c r="L15" t="inlineStr">
        <is>
          <t>Yes</t>
        </is>
      </c>
      <c r="M15" t="inlineStr">
        <is>
          <t>Yes</t>
        </is>
      </c>
    </row>
    <row r="16">
      <c r="A16" t="inlineStr">
        <is>
          <t>st-johns-wort</t>
        </is>
      </c>
      <c r="B16" t="inlineStr">
        <is>
          <t>Hypericum perforatum</t>
        </is>
      </c>
      <c r="C16" t="inlineStr">
        <is>
          <t>High</t>
        </is>
      </c>
      <c r="D16" t="n">
        <v>7</v>
      </c>
      <c r="E16" t="inlineStr">
        <is>
          <t>needs-source-normalization</t>
        </is>
      </c>
      <c r="F16" t="inlineStr">
        <is>
          <t>Near ready</t>
        </is>
      </c>
      <c r="G16" t="inlineStr">
        <is>
          <t>Research</t>
        </is>
      </c>
      <c r="I16" t="inlineStr">
        <is>
          <t>Source review</t>
        </is>
      </c>
      <c r="J16" t="inlineStr">
        <is>
          <t>Not started</t>
        </is>
      </c>
      <c r="K16" t="inlineStr">
        <is>
          <t>No</t>
        </is>
      </c>
      <c r="L16" t="inlineStr">
        <is>
          <t>No</t>
        </is>
      </c>
      <c r="M16" t="inlineStr">
        <is>
          <t>Yes</t>
        </is>
      </c>
      <c r="N16" t="inlineStr">
        <is>
          <t>Normalize source record</t>
        </is>
      </c>
    </row>
    <row r="17">
      <c r="A17" t="inlineStr">
        <is>
          <t>turmeric</t>
        </is>
      </c>
      <c r="B17" t="inlineStr">
        <is>
          <t>Curcuma longa</t>
        </is>
      </c>
      <c r="C17" t="inlineStr">
        <is>
          <t>Medium</t>
        </is>
      </c>
      <c r="D17" t="n">
        <v>6</v>
      </c>
      <c r="E17" t="inlineStr">
        <is>
          <t>present</t>
        </is>
      </c>
      <c r="F17" t="inlineStr">
        <is>
          <t>Near ready</t>
        </is>
      </c>
      <c r="G17" t="inlineStr">
        <is>
          <t>Editorial</t>
        </is>
      </c>
      <c r="I17" t="inlineStr">
        <is>
          <t>Editorial polish</t>
        </is>
      </c>
      <c r="J17" t="inlineStr">
        <is>
          <t>Not started</t>
        </is>
      </c>
      <c r="K17" t="inlineStr">
        <is>
          <t>Yes</t>
        </is>
      </c>
      <c r="L17" t="inlineStr">
        <is>
          <t>No</t>
        </is>
      </c>
      <c r="M17" t="inlineStr">
        <is>
          <t>Yes</t>
        </is>
      </c>
      <c r="N17" t="inlineStr">
        <is>
          <t>Finalize remaining content gaps</t>
        </is>
      </c>
    </row>
    <row r="18">
      <c r="A18" t="inlineStr">
        <is>
          <t>valerian</t>
        </is>
      </c>
      <c r="B18" t="inlineStr">
        <is>
          <t>Valeriana officinalis</t>
        </is>
      </c>
      <c r="C18" t="inlineStr">
        <is>
          <t>High</t>
        </is>
      </c>
      <c r="D18" t="n">
        <v>6</v>
      </c>
      <c r="E18" t="inlineStr">
        <is>
          <t>needs-source-normalization</t>
        </is>
      </c>
      <c r="F18" t="inlineStr">
        <is>
          <t>Near ready</t>
        </is>
      </c>
      <c r="G18" t="inlineStr">
        <is>
          <t>Research</t>
        </is>
      </c>
      <c r="I18" t="inlineStr">
        <is>
          <t>Source review</t>
        </is>
      </c>
      <c r="J18" t="inlineStr">
        <is>
          <t>Not started</t>
        </is>
      </c>
      <c r="K18" t="inlineStr">
        <is>
          <t>No</t>
        </is>
      </c>
      <c r="L18" t="inlineStr">
        <is>
          <t>No</t>
        </is>
      </c>
      <c r="M18" t="inlineStr">
        <is>
          <t>Yes</t>
        </is>
      </c>
      <c r="N18" t="inlineStr">
        <is>
          <t>Normalize source record</t>
        </is>
      </c>
    </row>
  </sheetData>
  <dataValidations count="6">
    <dataValidation sqref="G2:G18" showDropDown="0" showInputMessage="0" showErrorMessage="0" allowBlank="0" type="list">
      <formula1>"Editorial,Research,QA"</formula1>
    </dataValidation>
    <dataValidation sqref="I2:I18" showDropDown="0" showInputMessage="0" showErrorMessage="0" allowBlank="0" type="list">
      <formula1>"Draft,Source review,Editorial polish,Ready for QA,Approved,Published"</formula1>
    </dataValidation>
    <dataValidation sqref="J2:J18" showDropDown="0" showInputMessage="0" showErrorMessage="0" allowBlank="0" type="list">
      <formula1>"Not started,In review,Passed,Failed"</formula1>
    </dataValidation>
    <dataValidation sqref="K2:K18" showDropDown="0" showInputMessage="0" showErrorMessage="0" allowBlank="0" type="list">
      <formula1>"Yes,No"</formula1>
    </dataValidation>
    <dataValidation sqref="L2:L18" showDropDown="0" showInputMessage="0" showErrorMessage="0" allowBlank="0" type="list">
      <formula1>"Yes,No"</formula1>
    </dataValidation>
    <dataValidation sqref="M2:M18"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0" customWidth="1" style="76" min="1" max="1"/>
    <col width="20" customWidth="1" style="76" min="2" max="2"/>
    <col width="20" customWidth="1" style="76" min="3" max="3"/>
    <col width="20" customWidth="1" style="76" min="4" max="4"/>
    <col width="20" customWidth="1" style="76" min="5" max="5"/>
    <col width="20" customWidth="1" style="76" min="6" max="6"/>
    <col width="20" customWidth="1" style="76" min="7" max="7"/>
  </cols>
  <sheetData>
    <row r="1">
      <c r="A1" s="90" t="inlineStr">
        <is>
          <t>slug</t>
        </is>
      </c>
      <c r="B1" s="90" t="inlineStr">
        <is>
          <t>scientificName</t>
        </is>
      </c>
      <c r="C1" s="90" t="inlineStr">
        <is>
          <t>publishStatus</t>
        </is>
      </c>
      <c r="D1" s="90" t="inlineStr">
        <is>
          <t>qaStatus</t>
        </is>
      </c>
      <c r="E1" s="90" t="inlineStr">
        <is>
          <t>frontendReadyFlag</t>
        </is>
      </c>
      <c r="F1" s="90" t="inlineStr">
        <is>
          <t>webCopyReadyFlag</t>
        </is>
      </c>
      <c r="G1" s="90" t="inlineStr">
        <is>
          <t>publishBlocker</t>
        </is>
      </c>
    </row>
    <row r="2">
      <c r="A2" t="inlineStr">
        <is>
          <t>black-cohosh</t>
        </is>
      </c>
      <c r="B2" t="inlineStr">
        <is>
          <t>Actaea racemosa</t>
        </is>
      </c>
      <c r="C2" t="inlineStr">
        <is>
          <t>Ready for QA</t>
        </is>
      </c>
      <c r="D2" t="inlineStr">
        <is>
          <t>Not started</t>
        </is>
      </c>
      <c r="E2" t="inlineStr">
        <is>
          <t>Yes</t>
        </is>
      </c>
      <c r="F2" t="inlineStr">
        <is>
          <t>Yes</t>
        </is>
      </c>
    </row>
    <row r="3">
      <c r="A3" t="inlineStr">
        <is>
          <t>holy-basil</t>
        </is>
      </c>
      <c r="B3" t="inlineStr">
        <is>
          <t>Ocimum tenuiflorum</t>
        </is>
      </c>
      <c r="C3" t="inlineStr">
        <is>
          <t>Ready for QA</t>
        </is>
      </c>
      <c r="D3" t="inlineStr">
        <is>
          <t>Not started</t>
        </is>
      </c>
      <c r="E3" t="inlineStr">
        <is>
          <t>Yes</t>
        </is>
      </c>
      <c r="F3" t="inlineStr">
        <is>
          <t>Yes</t>
        </is>
      </c>
    </row>
    <row r="4">
      <c r="A4" t="inlineStr">
        <is>
          <t>lemon-balm</t>
        </is>
      </c>
      <c r="B4" t="inlineStr">
        <is>
          <t>Melissa officinalis</t>
        </is>
      </c>
      <c r="C4" t="inlineStr">
        <is>
          <t>Ready for QA</t>
        </is>
      </c>
      <c r="D4" t="inlineStr">
        <is>
          <t>Not started</t>
        </is>
      </c>
      <c r="E4" t="inlineStr">
        <is>
          <t>Yes</t>
        </is>
      </c>
      <c r="F4" t="inlineStr">
        <is>
          <t>Yes</t>
        </is>
      </c>
    </row>
    <row r="5">
      <c r="A5" t="inlineStr">
        <is>
          <t>maca</t>
        </is>
      </c>
      <c r="B5" t="inlineStr">
        <is>
          <t>Lepidium meyenii</t>
        </is>
      </c>
      <c r="C5" t="inlineStr">
        <is>
          <t>Ready for QA</t>
        </is>
      </c>
      <c r="D5" t="inlineStr">
        <is>
          <t>Not started</t>
        </is>
      </c>
      <c r="E5" t="inlineStr">
        <is>
          <t>Yes</t>
        </is>
      </c>
      <c r="F5" t="inlineStr">
        <is>
          <t>Yes</t>
        </is>
      </c>
    </row>
    <row r="6">
      <c r="A6" t="inlineStr">
        <is>
          <t>rhodiola-rosea</t>
        </is>
      </c>
      <c r="B6" t="inlineStr">
        <is>
          <t>Rhodiola rosea</t>
        </is>
      </c>
      <c r="C6" t="inlineStr">
        <is>
          <t>Ready for QA</t>
        </is>
      </c>
      <c r="D6" t="inlineStr">
        <is>
          <t>Not started</t>
        </is>
      </c>
      <c r="E6" t="inlineStr">
        <is>
          <t>Yes</t>
        </is>
      </c>
      <c r="F6" t="inlineStr">
        <is>
          <t>Yes</t>
        </is>
      </c>
    </row>
    <row r="7">
      <c r="A7" t="inlineStr">
        <is>
          <t>saw-palmetto</t>
        </is>
      </c>
      <c r="B7" t="inlineStr">
        <is>
          <t>Serenoa repens</t>
        </is>
      </c>
      <c r="C7" t="inlineStr">
        <is>
          <t>Ready for QA</t>
        </is>
      </c>
      <c r="D7" t="inlineStr">
        <is>
          <t>Not started</t>
        </is>
      </c>
      <c r="E7" t="inlineStr">
        <is>
          <t>Yes</t>
        </is>
      </c>
      <c r="F7" t="inlineStr">
        <is>
          <t>Yes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8" customWidth="1" style="76" min="1" max="1"/>
    <col width="18" customWidth="1" style="76" min="2" max="2"/>
    <col width="18" customWidth="1" style="76" min="3" max="3"/>
    <col width="18" customWidth="1" style="76" min="4" max="4"/>
    <col width="18" customWidth="1" style="76" min="5" max="5"/>
    <col width="18" customWidth="1" style="76" min="6" max="6"/>
  </cols>
  <sheetData>
    <row r="1">
      <c r="A1" s="93" t="inlineStr">
        <is>
          <t>Production KPI</t>
        </is>
      </c>
      <c r="B1" s="93" t="str"/>
      <c r="C1" s="93" t="str"/>
      <c r="D1" s="93" t="str"/>
      <c r="E1" s="93" t="inlineStr">
        <is>
          <t>Workflow Counts</t>
        </is>
      </c>
      <c r="F1" s="93" t="str"/>
    </row>
    <row r="2">
      <c r="A2" s="95" t="inlineStr">
        <is>
          <t>Total monographs</t>
        </is>
      </c>
      <c r="B2" s="95" t="n">
        <v>17</v>
      </c>
      <c r="E2" s="97" t="inlineStr">
        <is>
          <t>Ready for QA</t>
        </is>
      </c>
      <c r="F2" s="97" t="n">
        <v>6</v>
      </c>
    </row>
    <row r="3">
      <c r="A3" s="95" t="inlineStr">
        <is>
          <t>Frontend ready</t>
        </is>
      </c>
      <c r="B3" s="95" t="n">
        <v>6</v>
      </c>
      <c r="E3" s="97" t="inlineStr">
        <is>
          <t>Source review</t>
        </is>
      </c>
      <c r="F3" s="97" t="n">
        <v>6</v>
      </c>
    </row>
    <row r="4">
      <c r="A4" s="95" t="inlineStr">
        <is>
          <t>QA not started</t>
        </is>
      </c>
      <c r="B4" s="95" t="n">
        <v>17</v>
      </c>
      <c r="E4" s="97" t="inlineStr">
        <is>
          <t>Editorial polish</t>
        </is>
      </c>
      <c r="F4" s="97" t="n">
        <v>5</v>
      </c>
    </row>
    <row r="5">
      <c r="A5" s="95" t="inlineStr">
        <is>
          <t>Avg completeness</t>
        </is>
      </c>
      <c r="B5" s="179" t="n">
        <v>0.8823529411764706</v>
      </c>
      <c r="E5" s="97" t="inlineStr">
        <is>
          <t>Published</t>
        </is>
      </c>
      <c r="F5" s="97" t="n">
        <v>0</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style="76" min="1" max="1"/>
    <col width="28" customWidth="1" style="76" min="2" max="2"/>
    <col width="28" customWidth="1" style="76" min="3" max="3"/>
  </cols>
  <sheetData>
    <row r="1">
      <c r="A1" s="100" t="inlineStr">
        <is>
          <t>Field</t>
        </is>
      </c>
      <c r="B1" s="100" t="inlineStr">
        <is>
          <t>Meaning</t>
        </is>
      </c>
      <c r="C1" s="100" t="inlineStr">
        <is>
          <t>Use</t>
        </is>
      </c>
    </row>
    <row r="2">
      <c r="A2" t="inlineStr">
        <is>
          <t>editorialOwner</t>
        </is>
      </c>
      <c r="B2" t="inlineStr">
        <is>
          <t>Primary responsible lane</t>
        </is>
      </c>
      <c r="C2" t="inlineStr">
        <is>
          <t>Assign Editorial, Research, or QA</t>
        </is>
      </c>
    </row>
    <row r="3">
      <c r="A3" t="inlineStr">
        <is>
          <t>reviewDate</t>
        </is>
      </c>
      <c r="B3" t="inlineStr">
        <is>
          <t>Next review checkpoint</t>
        </is>
      </c>
      <c r="C3" t="inlineStr">
        <is>
          <t>Use yyyy-mm-dd</t>
        </is>
      </c>
    </row>
    <row r="4">
      <c r="A4" t="inlineStr">
        <is>
          <t>publishStatus</t>
        </is>
      </c>
      <c r="B4" t="inlineStr">
        <is>
          <t>Current production state</t>
        </is>
      </c>
      <c r="C4" t="inlineStr">
        <is>
          <t>Drive pipeline progression</t>
        </is>
      </c>
    </row>
    <row r="5">
      <c r="A5" t="inlineStr">
        <is>
          <t>qaStatus</t>
        </is>
      </c>
      <c r="B5" t="inlineStr">
        <is>
          <t>Quality gate</t>
        </is>
      </c>
      <c r="C5" t="inlineStr">
        <is>
          <t>Passed required before publish</t>
        </is>
      </c>
    </row>
    <row r="6">
      <c r="A6" t="inlineStr">
        <is>
          <t>sourceLockFlag</t>
        </is>
      </c>
      <c r="B6" t="inlineStr">
        <is>
          <t>Sources normalized and stable</t>
        </is>
      </c>
      <c r="C6" t="inlineStr">
        <is>
          <t>Set Yes only after citation cleanup</t>
        </is>
      </c>
    </row>
    <row r="7">
      <c r="A7" t="inlineStr">
        <is>
          <t>frontendReadyFlag</t>
        </is>
      </c>
      <c r="B7" t="inlineStr">
        <is>
          <t>Safe to surface in app/web</t>
        </is>
      </c>
      <c r="C7" t="inlineStr">
        <is>
          <t>Depends on source + content readiness</t>
        </is>
      </c>
    </row>
    <row r="8">
      <c r="A8" t="inlineStr">
        <is>
          <t>webCopyReadyFlag</t>
        </is>
      </c>
      <c r="B8" t="inlineStr">
        <is>
          <t>Summary/description ready for frontend copy</t>
        </is>
      </c>
      <c r="C8" t="inlineStr">
        <is>
          <t>Use with frontend exports</t>
        </is>
      </c>
    </row>
    <row r="9">
      <c r="A9" t="inlineStr">
        <is>
          <t>publishBlocker</t>
        </is>
      </c>
      <c r="B9" t="inlineStr">
        <is>
          <t>Primary remaining issue</t>
        </is>
      </c>
      <c r="C9" t="inlineStr">
        <is>
          <t>Clear before publish</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18" customWidth="1" style="76" min="1" max="1"/>
    <col width="22" customWidth="1" style="76" min="2" max="2"/>
    <col width="14" customWidth="1" style="76" min="3" max="3"/>
    <col width="14" customWidth="1" style="76" min="4" max="4"/>
    <col width="14" customWidth="1" style="76" min="5" max="5"/>
    <col width="14" customWidth="1" style="76" min="6" max="6"/>
    <col width="14" customWidth="1" style="76" min="7" max="7"/>
    <col width="14" customWidth="1" style="76" min="8" max="8"/>
    <col width="14" customWidth="1" style="76" min="9" max="9"/>
    <col width="14" customWidth="1" style="76" min="10" max="10"/>
    <col width="16" customWidth="1" style="76" min="11" max="11"/>
    <col width="24" customWidth="1" style="76" min="12" max="12"/>
    <col width="28" customWidth="1" style="76" min="13" max="13"/>
    <col width="28" customWidth="1" style="76" min="14" max="14"/>
    <col width="18" customWidth="1" style="76" min="15" max="15"/>
  </cols>
  <sheetData>
    <row r="1">
      <c r="A1" s="105" t="inlineStr">
        <is>
          <t>slug</t>
        </is>
      </c>
      <c r="B1" s="105" t="inlineStr">
        <is>
          <t>scientificName</t>
        </is>
      </c>
      <c r="C1" s="105" t="inlineStr">
        <is>
          <t>editorialOwner</t>
        </is>
      </c>
      <c r="D1" s="105" t="inlineStr">
        <is>
          <t>reviewPriority</t>
        </is>
      </c>
      <c r="E1" s="105" t="inlineStr">
        <is>
          <t>readinessFlag</t>
        </is>
      </c>
      <c r="F1" s="105" t="inlineStr">
        <is>
          <t>publishStatus</t>
        </is>
      </c>
      <c r="G1" s="105" t="inlineStr">
        <is>
          <t>qaStatus</t>
        </is>
      </c>
      <c r="H1" s="105" t="inlineStr">
        <is>
          <t>reviewStage</t>
        </is>
      </c>
      <c r="I1" s="105" t="inlineStr">
        <is>
          <t>reviewStatus</t>
        </is>
      </c>
      <c r="J1" s="105" t="inlineStr">
        <is>
          <t>reviewerName</t>
        </is>
      </c>
      <c r="K1" s="105" t="inlineStr">
        <is>
          <t>approvalTimestamp</t>
        </is>
      </c>
      <c r="L1" s="105" t="inlineStr">
        <is>
          <t>publishBlocker</t>
        </is>
      </c>
      <c r="M1" s="105" t="inlineStr">
        <is>
          <t>reviewerNotes</t>
        </is>
      </c>
      <c r="N1" s="105" t="inlineStr">
        <is>
          <t>changeSummary</t>
        </is>
      </c>
      <c r="O1" s="105" t="inlineStr">
        <is>
          <t>rowReviewKey</t>
        </is>
      </c>
    </row>
    <row r="2">
      <c r="A2" s="181">
        <f>'Herb Monographs'!B2</f>
        <v/>
      </c>
      <c r="B2" s="181">
        <f>'Herb Monographs'!C2</f>
        <v/>
      </c>
      <c r="C2" s="181">
        <f>'Herb Monographs'!AP2</f>
        <v/>
      </c>
      <c r="D2" s="181">
        <f>'Herb Monographs'!AK2</f>
        <v/>
      </c>
      <c r="E2" s="181">
        <f>'Herb Monographs'!AO2</f>
        <v/>
      </c>
      <c r="F2" s="181">
        <f>'Herb Monographs'!AR2</f>
        <v/>
      </c>
      <c r="G2" s="181">
        <f>'Herb Monographs'!AS2</f>
        <v/>
      </c>
      <c r="H2" s="181">
        <f>'Herb Monographs'!BA2</f>
        <v/>
      </c>
      <c r="I2" s="181">
        <f>'Herb Monographs'!BB2</f>
        <v/>
      </c>
      <c r="J2" s="181">
        <f>IF('Herb Monographs'!AY2="","",'Herb Monographs'!AY2)</f>
        <v/>
      </c>
      <c r="K2" s="181">
        <f>IF('Herb Monographs'!BD2="","",'Herb Monographs'!BD2)</f>
        <v/>
      </c>
      <c r="L2" s="181">
        <f>IF('Herb Monographs'!AW2="","",'Herb Monographs'!AW2)</f>
        <v/>
      </c>
      <c r="M2" s="181">
        <f>IF('Herb Monographs'!BC2="","",'Herb Monographs'!BC2)</f>
        <v/>
      </c>
      <c r="N2" s="181">
        <f>IF('Herb Monographs'!BF2="","",'Herb Monographs'!BF2)</f>
        <v/>
      </c>
      <c r="O2" s="181">
        <f>'Herb Monographs'!BG2</f>
        <v/>
      </c>
    </row>
    <row r="3">
      <c r="A3" s="181">
        <f>'Herb Monographs'!B3</f>
        <v/>
      </c>
      <c r="B3" s="181">
        <f>'Herb Monographs'!C3</f>
        <v/>
      </c>
      <c r="C3" s="181">
        <f>'Herb Monographs'!AP3</f>
        <v/>
      </c>
      <c r="D3" s="181">
        <f>'Herb Monographs'!AK3</f>
        <v/>
      </c>
      <c r="E3" s="181">
        <f>'Herb Monographs'!AO3</f>
        <v/>
      </c>
      <c r="F3" s="181">
        <f>'Herb Monographs'!AR3</f>
        <v/>
      </c>
      <c r="G3" s="181">
        <f>'Herb Monographs'!AS3</f>
        <v/>
      </c>
      <c r="H3" s="181">
        <f>'Herb Monographs'!BA3</f>
        <v/>
      </c>
      <c r="I3" s="181">
        <f>'Herb Monographs'!BB3</f>
        <v/>
      </c>
      <c r="J3" s="181">
        <f>IF('Herb Monographs'!AY3="","",'Herb Monographs'!AY3)</f>
        <v/>
      </c>
      <c r="K3" s="181">
        <f>IF('Herb Monographs'!BD3="","",'Herb Monographs'!BD3)</f>
        <v/>
      </c>
      <c r="L3" s="181">
        <f>IF('Herb Monographs'!AW3="","",'Herb Monographs'!AW3)</f>
        <v/>
      </c>
      <c r="M3" s="181">
        <f>IF('Herb Monographs'!BC3="","",'Herb Monographs'!BC3)</f>
        <v/>
      </c>
      <c r="N3" s="181">
        <f>IF('Herb Monographs'!BF3="","",'Herb Monographs'!BF3)</f>
        <v/>
      </c>
      <c r="O3" s="181">
        <f>'Herb Monographs'!BG3</f>
        <v/>
      </c>
    </row>
    <row r="4">
      <c r="A4" s="181">
        <f>'Herb Monographs'!B4</f>
        <v/>
      </c>
      <c r="B4" s="181">
        <f>'Herb Monographs'!C4</f>
        <v/>
      </c>
      <c r="C4" s="181">
        <f>'Herb Monographs'!AP4</f>
        <v/>
      </c>
      <c r="D4" s="181">
        <f>'Herb Monographs'!AK4</f>
        <v/>
      </c>
      <c r="E4" s="181">
        <f>'Herb Monographs'!AO4</f>
        <v/>
      </c>
      <c r="F4" s="181">
        <f>'Herb Monographs'!AR4</f>
        <v/>
      </c>
      <c r="G4" s="181">
        <f>'Herb Monographs'!AS4</f>
        <v/>
      </c>
      <c r="H4" s="181">
        <f>'Herb Monographs'!BA4</f>
        <v/>
      </c>
      <c r="I4" s="181">
        <f>'Herb Monographs'!BB4</f>
        <v/>
      </c>
      <c r="J4" s="181">
        <f>IF('Herb Monographs'!AY4="","",'Herb Monographs'!AY4)</f>
        <v/>
      </c>
      <c r="K4" s="181">
        <f>IF('Herb Monographs'!BD4="","",'Herb Monographs'!BD4)</f>
        <v/>
      </c>
      <c r="L4" s="181">
        <f>IF('Herb Monographs'!AW4="","",'Herb Monographs'!AW4)</f>
        <v/>
      </c>
      <c r="M4" s="181">
        <f>IF('Herb Monographs'!BC4="","",'Herb Monographs'!BC4)</f>
        <v/>
      </c>
      <c r="N4" s="181">
        <f>IF('Herb Monographs'!BF4="","",'Herb Monographs'!BF4)</f>
        <v/>
      </c>
      <c r="O4" s="181">
        <f>'Herb Monographs'!BG4</f>
        <v/>
      </c>
    </row>
    <row r="5">
      <c r="A5" s="181">
        <f>'Herb Monographs'!B5</f>
        <v/>
      </c>
      <c r="B5" s="181">
        <f>'Herb Monographs'!C5</f>
        <v/>
      </c>
      <c r="C5" s="181">
        <f>'Herb Monographs'!AP5</f>
        <v/>
      </c>
      <c r="D5" s="181">
        <f>'Herb Monographs'!AK5</f>
        <v/>
      </c>
      <c r="E5" s="181">
        <f>'Herb Monographs'!AO5</f>
        <v/>
      </c>
      <c r="F5" s="181">
        <f>'Herb Monographs'!AR5</f>
        <v/>
      </c>
      <c r="G5" s="181">
        <f>'Herb Monographs'!AS5</f>
        <v/>
      </c>
      <c r="H5" s="181">
        <f>'Herb Monographs'!BA5</f>
        <v/>
      </c>
      <c r="I5" s="181">
        <f>'Herb Monographs'!BB5</f>
        <v/>
      </c>
      <c r="J5" s="181">
        <f>IF('Herb Monographs'!AY5="","",'Herb Monographs'!AY5)</f>
        <v/>
      </c>
      <c r="K5" s="181">
        <f>IF('Herb Monographs'!BD5="","",'Herb Monographs'!BD5)</f>
        <v/>
      </c>
      <c r="L5" s="181">
        <f>IF('Herb Monographs'!AW5="","",'Herb Monographs'!AW5)</f>
        <v/>
      </c>
      <c r="M5" s="181">
        <f>IF('Herb Monographs'!BC5="","",'Herb Monographs'!BC5)</f>
        <v/>
      </c>
      <c r="N5" s="181">
        <f>IF('Herb Monographs'!BF5="","",'Herb Monographs'!BF5)</f>
        <v/>
      </c>
      <c r="O5" s="181">
        <f>'Herb Monographs'!BG5</f>
        <v/>
      </c>
    </row>
    <row r="6">
      <c r="A6" s="181">
        <f>'Herb Monographs'!B6</f>
        <v/>
      </c>
      <c r="B6" s="181">
        <f>'Herb Monographs'!C6</f>
        <v/>
      </c>
      <c r="C6" s="181">
        <f>'Herb Monographs'!AP6</f>
        <v/>
      </c>
      <c r="D6" s="181">
        <f>'Herb Monographs'!AK6</f>
        <v/>
      </c>
      <c r="E6" s="181">
        <f>'Herb Monographs'!AO6</f>
        <v/>
      </c>
      <c r="F6" s="181">
        <f>'Herb Monographs'!AR6</f>
        <v/>
      </c>
      <c r="G6" s="181">
        <f>'Herb Monographs'!AS6</f>
        <v/>
      </c>
      <c r="H6" s="181">
        <f>'Herb Monographs'!BA6</f>
        <v/>
      </c>
      <c r="I6" s="181">
        <f>'Herb Monographs'!BB6</f>
        <v/>
      </c>
      <c r="J6" s="181">
        <f>IF('Herb Monographs'!AY6="","",'Herb Monographs'!AY6)</f>
        <v/>
      </c>
      <c r="K6" s="181">
        <f>IF('Herb Monographs'!BD6="","",'Herb Monographs'!BD6)</f>
        <v/>
      </c>
      <c r="L6" s="181">
        <f>IF('Herb Monographs'!AW6="","",'Herb Monographs'!AW6)</f>
        <v/>
      </c>
      <c r="M6" s="181">
        <f>IF('Herb Monographs'!BC6="","",'Herb Monographs'!BC6)</f>
        <v/>
      </c>
      <c r="N6" s="181">
        <f>IF('Herb Monographs'!BF6="","",'Herb Monographs'!BF6)</f>
        <v/>
      </c>
      <c r="O6" s="181">
        <f>'Herb Monographs'!BG6</f>
        <v/>
      </c>
    </row>
    <row r="7">
      <c r="A7" s="181">
        <f>'Herb Monographs'!B7</f>
        <v/>
      </c>
      <c r="B7" s="181">
        <f>'Herb Monographs'!C7</f>
        <v/>
      </c>
      <c r="C7" s="181">
        <f>'Herb Monographs'!AP7</f>
        <v/>
      </c>
      <c r="D7" s="181">
        <f>'Herb Monographs'!AK7</f>
        <v/>
      </c>
      <c r="E7" s="181">
        <f>'Herb Monographs'!AO7</f>
        <v/>
      </c>
      <c r="F7" s="181">
        <f>'Herb Monographs'!AR7</f>
        <v/>
      </c>
      <c r="G7" s="181">
        <f>'Herb Monographs'!AS7</f>
        <v/>
      </c>
      <c r="H7" s="181">
        <f>'Herb Monographs'!BA7</f>
        <v/>
      </c>
      <c r="I7" s="181">
        <f>'Herb Monographs'!BB7</f>
        <v/>
      </c>
      <c r="J7" s="181">
        <f>IF('Herb Monographs'!AY7="","",'Herb Monographs'!AY7)</f>
        <v/>
      </c>
      <c r="K7" s="181">
        <f>IF('Herb Monographs'!BD7="","",'Herb Monographs'!BD7)</f>
        <v/>
      </c>
      <c r="L7" s="181">
        <f>IF('Herb Monographs'!AW7="","",'Herb Monographs'!AW7)</f>
        <v/>
      </c>
      <c r="M7" s="181">
        <f>IF('Herb Monographs'!BC7="","",'Herb Monographs'!BC7)</f>
        <v/>
      </c>
      <c r="N7" s="181">
        <f>IF('Herb Monographs'!BF7="","",'Herb Monographs'!BF7)</f>
        <v/>
      </c>
      <c r="O7" s="181">
        <f>'Herb Monographs'!BG7</f>
        <v/>
      </c>
    </row>
    <row r="8">
      <c r="A8" s="181">
        <f>'Herb Monographs'!B8</f>
        <v/>
      </c>
      <c r="B8" s="181">
        <f>'Herb Monographs'!C8</f>
        <v/>
      </c>
      <c r="C8" s="181">
        <f>'Herb Monographs'!AP8</f>
        <v/>
      </c>
      <c r="D8" s="181">
        <f>'Herb Monographs'!AK8</f>
        <v/>
      </c>
      <c r="E8" s="181">
        <f>'Herb Monographs'!AO8</f>
        <v/>
      </c>
      <c r="F8" s="181">
        <f>'Herb Monographs'!AR8</f>
        <v/>
      </c>
      <c r="G8" s="181">
        <f>'Herb Monographs'!AS8</f>
        <v/>
      </c>
      <c r="H8" s="181">
        <f>'Herb Monographs'!BA8</f>
        <v/>
      </c>
      <c r="I8" s="181">
        <f>'Herb Monographs'!BB8</f>
        <v/>
      </c>
      <c r="J8" s="181">
        <f>IF('Herb Monographs'!AY8="","",'Herb Monographs'!AY8)</f>
        <v/>
      </c>
      <c r="K8" s="181">
        <f>IF('Herb Monographs'!BD8="","",'Herb Monographs'!BD8)</f>
        <v/>
      </c>
      <c r="L8" s="181">
        <f>IF('Herb Monographs'!AW8="","",'Herb Monographs'!AW8)</f>
        <v/>
      </c>
      <c r="M8" s="181">
        <f>IF('Herb Monographs'!BC8="","",'Herb Monographs'!BC8)</f>
        <v/>
      </c>
      <c r="N8" s="181">
        <f>IF('Herb Monographs'!BF8="","",'Herb Monographs'!BF8)</f>
        <v/>
      </c>
      <c r="O8" s="181">
        <f>'Herb Monographs'!BG8</f>
        <v/>
      </c>
    </row>
    <row r="9">
      <c r="A9" s="181">
        <f>'Herb Monographs'!B9</f>
        <v/>
      </c>
      <c r="B9" s="181">
        <f>'Herb Monographs'!C9</f>
        <v/>
      </c>
      <c r="C9" s="181">
        <f>'Herb Monographs'!AP9</f>
        <v/>
      </c>
      <c r="D9" s="181">
        <f>'Herb Monographs'!AK9</f>
        <v/>
      </c>
      <c r="E9" s="181">
        <f>'Herb Monographs'!AO9</f>
        <v/>
      </c>
      <c r="F9" s="181">
        <f>'Herb Monographs'!AR9</f>
        <v/>
      </c>
      <c r="G9" s="181">
        <f>'Herb Monographs'!AS9</f>
        <v/>
      </c>
      <c r="H9" s="181">
        <f>'Herb Monographs'!BA9</f>
        <v/>
      </c>
      <c r="I9" s="181">
        <f>'Herb Monographs'!BB9</f>
        <v/>
      </c>
      <c r="J9" s="181">
        <f>IF('Herb Monographs'!AY9="","",'Herb Monographs'!AY9)</f>
        <v/>
      </c>
      <c r="K9" s="181">
        <f>IF('Herb Monographs'!BD9="","",'Herb Monographs'!BD9)</f>
        <v/>
      </c>
      <c r="L9" s="181">
        <f>IF('Herb Monographs'!AW9="","",'Herb Monographs'!AW9)</f>
        <v/>
      </c>
      <c r="M9" s="181">
        <f>IF('Herb Monographs'!BC9="","",'Herb Monographs'!BC9)</f>
        <v/>
      </c>
      <c r="N9" s="181">
        <f>IF('Herb Monographs'!BF9="","",'Herb Monographs'!BF9)</f>
        <v/>
      </c>
      <c r="O9" s="181">
        <f>'Herb Monographs'!BG9</f>
        <v/>
      </c>
    </row>
    <row r="10">
      <c r="A10" s="181">
        <f>'Herb Monographs'!B10</f>
        <v/>
      </c>
      <c r="B10" s="181">
        <f>'Herb Monographs'!C10</f>
        <v/>
      </c>
      <c r="C10" s="181">
        <f>'Herb Monographs'!AP10</f>
        <v/>
      </c>
      <c r="D10" s="181">
        <f>'Herb Monographs'!AK10</f>
        <v/>
      </c>
      <c r="E10" s="181">
        <f>'Herb Monographs'!AO10</f>
        <v/>
      </c>
      <c r="F10" s="181">
        <f>'Herb Monographs'!AR10</f>
        <v/>
      </c>
      <c r="G10" s="181">
        <f>'Herb Monographs'!AS10</f>
        <v/>
      </c>
      <c r="H10" s="181">
        <f>'Herb Monographs'!BA10</f>
        <v/>
      </c>
      <c r="I10" s="181">
        <f>'Herb Monographs'!BB10</f>
        <v/>
      </c>
      <c r="J10" s="181">
        <f>IF('Herb Monographs'!AY10="","",'Herb Monographs'!AY10)</f>
        <v/>
      </c>
      <c r="K10" s="181">
        <f>IF('Herb Monographs'!BD10="","",'Herb Monographs'!BD10)</f>
        <v/>
      </c>
      <c r="L10" s="181">
        <f>IF('Herb Monographs'!AW10="","",'Herb Monographs'!AW10)</f>
        <v/>
      </c>
      <c r="M10" s="181">
        <f>IF('Herb Monographs'!BC10="","",'Herb Monographs'!BC10)</f>
        <v/>
      </c>
      <c r="N10" s="181">
        <f>IF('Herb Monographs'!BF10="","",'Herb Monographs'!BF10)</f>
        <v/>
      </c>
      <c r="O10" s="181">
        <f>'Herb Monographs'!BG10</f>
        <v/>
      </c>
    </row>
    <row r="11">
      <c r="A11" s="181">
        <f>'Herb Monographs'!B11</f>
        <v/>
      </c>
      <c r="B11" s="181">
        <f>'Herb Monographs'!C11</f>
        <v/>
      </c>
      <c r="C11" s="181">
        <f>'Herb Monographs'!AP11</f>
        <v/>
      </c>
      <c r="D11" s="181">
        <f>'Herb Monographs'!AK11</f>
        <v/>
      </c>
      <c r="E11" s="181">
        <f>'Herb Monographs'!AO11</f>
        <v/>
      </c>
      <c r="F11" s="181">
        <f>'Herb Monographs'!AR11</f>
        <v/>
      </c>
      <c r="G11" s="181">
        <f>'Herb Monographs'!AS11</f>
        <v/>
      </c>
      <c r="H11" s="181">
        <f>'Herb Monographs'!BA11</f>
        <v/>
      </c>
      <c r="I11" s="181">
        <f>'Herb Monographs'!BB11</f>
        <v/>
      </c>
      <c r="J11" s="181">
        <f>IF('Herb Monographs'!AY11="","",'Herb Monographs'!AY11)</f>
        <v/>
      </c>
      <c r="K11" s="181">
        <f>IF('Herb Monographs'!BD11="","",'Herb Monographs'!BD11)</f>
        <v/>
      </c>
      <c r="L11" s="181">
        <f>IF('Herb Monographs'!AW11="","",'Herb Monographs'!AW11)</f>
        <v/>
      </c>
      <c r="M11" s="181">
        <f>IF('Herb Monographs'!BC11="","",'Herb Monographs'!BC11)</f>
        <v/>
      </c>
      <c r="N11" s="181">
        <f>IF('Herb Monographs'!BF11="","",'Herb Monographs'!BF11)</f>
        <v/>
      </c>
      <c r="O11" s="181">
        <f>'Herb Monographs'!BG11</f>
        <v/>
      </c>
    </row>
    <row r="12">
      <c r="A12" s="181">
        <f>'Herb Monographs'!B12</f>
        <v/>
      </c>
      <c r="B12" s="181">
        <f>'Herb Monographs'!C12</f>
        <v/>
      </c>
      <c r="C12" s="181">
        <f>'Herb Monographs'!AP12</f>
        <v/>
      </c>
      <c r="D12" s="181">
        <f>'Herb Monographs'!AK12</f>
        <v/>
      </c>
      <c r="E12" s="181">
        <f>'Herb Monographs'!AO12</f>
        <v/>
      </c>
      <c r="F12" s="181">
        <f>'Herb Monographs'!AR12</f>
        <v/>
      </c>
      <c r="G12" s="181">
        <f>'Herb Monographs'!AS12</f>
        <v/>
      </c>
      <c r="H12" s="181">
        <f>'Herb Monographs'!BA12</f>
        <v/>
      </c>
      <c r="I12" s="181">
        <f>'Herb Monographs'!BB12</f>
        <v/>
      </c>
      <c r="J12" s="181">
        <f>IF('Herb Monographs'!AY12="","",'Herb Monographs'!AY12)</f>
        <v/>
      </c>
      <c r="K12" s="181">
        <f>IF('Herb Monographs'!BD12="","",'Herb Monographs'!BD12)</f>
        <v/>
      </c>
      <c r="L12" s="181">
        <f>IF('Herb Monographs'!AW12="","",'Herb Monographs'!AW12)</f>
        <v/>
      </c>
      <c r="M12" s="181">
        <f>IF('Herb Monographs'!BC12="","",'Herb Monographs'!BC12)</f>
        <v/>
      </c>
      <c r="N12" s="181">
        <f>IF('Herb Monographs'!BF12="","",'Herb Monographs'!BF12)</f>
        <v/>
      </c>
      <c r="O12" s="181">
        <f>'Herb Monographs'!BG12</f>
        <v/>
      </c>
    </row>
    <row r="13">
      <c r="A13" s="181">
        <f>'Herb Monographs'!B13</f>
        <v/>
      </c>
      <c r="B13" s="181">
        <f>'Herb Monographs'!C13</f>
        <v/>
      </c>
      <c r="C13" s="181">
        <f>'Herb Monographs'!AP13</f>
        <v/>
      </c>
      <c r="D13" s="181">
        <f>'Herb Monographs'!AK13</f>
        <v/>
      </c>
      <c r="E13" s="181">
        <f>'Herb Monographs'!AO13</f>
        <v/>
      </c>
      <c r="F13" s="181">
        <f>'Herb Monographs'!AR13</f>
        <v/>
      </c>
      <c r="G13" s="181">
        <f>'Herb Monographs'!AS13</f>
        <v/>
      </c>
      <c r="H13" s="181">
        <f>'Herb Monographs'!BA13</f>
        <v/>
      </c>
      <c r="I13" s="181">
        <f>'Herb Monographs'!BB13</f>
        <v/>
      </c>
      <c r="J13" s="181">
        <f>IF('Herb Monographs'!AY13="","",'Herb Monographs'!AY13)</f>
        <v/>
      </c>
      <c r="K13" s="181">
        <f>IF('Herb Monographs'!BD13="","",'Herb Monographs'!BD13)</f>
        <v/>
      </c>
      <c r="L13" s="181">
        <f>IF('Herb Monographs'!AW13="","",'Herb Monographs'!AW13)</f>
        <v/>
      </c>
      <c r="M13" s="181">
        <f>IF('Herb Monographs'!BC13="","",'Herb Monographs'!BC13)</f>
        <v/>
      </c>
      <c r="N13" s="181">
        <f>IF('Herb Monographs'!BF13="","",'Herb Monographs'!BF13)</f>
        <v/>
      </c>
      <c r="O13" s="181">
        <f>'Herb Monographs'!BG13</f>
        <v/>
      </c>
    </row>
    <row r="14">
      <c r="A14" s="181">
        <f>'Herb Monographs'!B14</f>
        <v/>
      </c>
      <c r="B14" s="181">
        <f>'Herb Monographs'!C14</f>
        <v/>
      </c>
      <c r="C14" s="181">
        <f>'Herb Monographs'!AP14</f>
        <v/>
      </c>
      <c r="D14" s="181">
        <f>'Herb Monographs'!AK14</f>
        <v/>
      </c>
      <c r="E14" s="181">
        <f>'Herb Monographs'!AO14</f>
        <v/>
      </c>
      <c r="F14" s="181">
        <f>'Herb Monographs'!AR14</f>
        <v/>
      </c>
      <c r="G14" s="181">
        <f>'Herb Monographs'!AS14</f>
        <v/>
      </c>
      <c r="H14" s="181">
        <f>'Herb Monographs'!BA14</f>
        <v/>
      </c>
      <c r="I14" s="181">
        <f>'Herb Monographs'!BB14</f>
        <v/>
      </c>
      <c r="J14" s="181">
        <f>IF('Herb Monographs'!AY14="","",'Herb Monographs'!AY14)</f>
        <v/>
      </c>
      <c r="K14" s="181">
        <f>IF('Herb Monographs'!BD14="","",'Herb Monographs'!BD14)</f>
        <v/>
      </c>
      <c r="L14" s="181">
        <f>IF('Herb Monographs'!AW14="","",'Herb Monographs'!AW14)</f>
        <v/>
      </c>
      <c r="M14" s="181">
        <f>IF('Herb Monographs'!BC14="","",'Herb Monographs'!BC14)</f>
        <v/>
      </c>
      <c r="N14" s="181">
        <f>IF('Herb Monographs'!BF14="","",'Herb Monographs'!BF14)</f>
        <v/>
      </c>
      <c r="O14" s="181">
        <f>'Herb Monographs'!BG14</f>
        <v/>
      </c>
    </row>
    <row r="15">
      <c r="A15" s="181">
        <f>'Herb Monographs'!B15</f>
        <v/>
      </c>
      <c r="B15" s="181">
        <f>'Herb Monographs'!C15</f>
        <v/>
      </c>
      <c r="C15" s="181">
        <f>'Herb Monographs'!AP15</f>
        <v/>
      </c>
      <c r="D15" s="181">
        <f>'Herb Monographs'!AK15</f>
        <v/>
      </c>
      <c r="E15" s="181">
        <f>'Herb Monographs'!AO15</f>
        <v/>
      </c>
      <c r="F15" s="181">
        <f>'Herb Monographs'!AR15</f>
        <v/>
      </c>
      <c r="G15" s="181">
        <f>'Herb Monographs'!AS15</f>
        <v/>
      </c>
      <c r="H15" s="181">
        <f>'Herb Monographs'!BA15</f>
        <v/>
      </c>
      <c r="I15" s="181">
        <f>'Herb Monographs'!BB15</f>
        <v/>
      </c>
      <c r="J15" s="181">
        <f>IF('Herb Monographs'!AY15="","",'Herb Monographs'!AY15)</f>
        <v/>
      </c>
      <c r="K15" s="181">
        <f>IF('Herb Monographs'!BD15="","",'Herb Monographs'!BD15)</f>
        <v/>
      </c>
      <c r="L15" s="181">
        <f>IF('Herb Monographs'!AW15="","",'Herb Monographs'!AW15)</f>
        <v/>
      </c>
      <c r="M15" s="181">
        <f>IF('Herb Monographs'!BC15="","",'Herb Monographs'!BC15)</f>
        <v/>
      </c>
      <c r="N15" s="181">
        <f>IF('Herb Monographs'!BF15="","",'Herb Monographs'!BF15)</f>
        <v/>
      </c>
      <c r="O15" s="181">
        <f>'Herb Monographs'!BG15</f>
        <v/>
      </c>
    </row>
    <row r="16">
      <c r="A16" s="181">
        <f>'Herb Monographs'!B16</f>
        <v/>
      </c>
      <c r="B16" s="181">
        <f>'Herb Monographs'!C16</f>
        <v/>
      </c>
      <c r="C16" s="181">
        <f>'Herb Monographs'!AP16</f>
        <v/>
      </c>
      <c r="D16" s="181">
        <f>'Herb Monographs'!AK16</f>
        <v/>
      </c>
      <c r="E16" s="181">
        <f>'Herb Monographs'!AO16</f>
        <v/>
      </c>
      <c r="F16" s="181">
        <f>'Herb Monographs'!AR16</f>
        <v/>
      </c>
      <c r="G16" s="181">
        <f>'Herb Monographs'!AS16</f>
        <v/>
      </c>
      <c r="H16" s="181">
        <f>'Herb Monographs'!BA16</f>
        <v/>
      </c>
      <c r="I16" s="181">
        <f>'Herb Monographs'!BB16</f>
        <v/>
      </c>
      <c r="J16" s="181">
        <f>IF('Herb Monographs'!AY16="","",'Herb Monographs'!AY16)</f>
        <v/>
      </c>
      <c r="K16" s="181">
        <f>IF('Herb Monographs'!BD16="","",'Herb Monographs'!BD16)</f>
        <v/>
      </c>
      <c r="L16" s="181">
        <f>IF('Herb Monographs'!AW16="","",'Herb Monographs'!AW16)</f>
        <v/>
      </c>
      <c r="M16" s="181">
        <f>IF('Herb Monographs'!BC16="","",'Herb Monographs'!BC16)</f>
        <v/>
      </c>
      <c r="N16" s="181">
        <f>IF('Herb Monographs'!BF16="","",'Herb Monographs'!BF16)</f>
        <v/>
      </c>
      <c r="O16" s="181">
        <f>'Herb Monographs'!BG16</f>
        <v/>
      </c>
    </row>
    <row r="17">
      <c r="A17" s="181">
        <f>'Herb Monographs'!B17</f>
        <v/>
      </c>
      <c r="B17" s="181">
        <f>'Herb Monographs'!C17</f>
        <v/>
      </c>
      <c r="C17" s="181">
        <f>'Herb Monographs'!AP17</f>
        <v/>
      </c>
      <c r="D17" s="181">
        <f>'Herb Monographs'!AK17</f>
        <v/>
      </c>
      <c r="E17" s="181">
        <f>'Herb Monographs'!AO17</f>
        <v/>
      </c>
      <c r="F17" s="181">
        <f>'Herb Monographs'!AR17</f>
        <v/>
      </c>
      <c r="G17" s="181">
        <f>'Herb Monographs'!AS17</f>
        <v/>
      </c>
      <c r="H17" s="181">
        <f>'Herb Monographs'!BA17</f>
        <v/>
      </c>
      <c r="I17" s="181">
        <f>'Herb Monographs'!BB17</f>
        <v/>
      </c>
      <c r="J17" s="181">
        <f>IF('Herb Monographs'!AY17="","",'Herb Monographs'!AY17)</f>
        <v/>
      </c>
      <c r="K17" s="181">
        <f>IF('Herb Monographs'!BD17="","",'Herb Monographs'!BD17)</f>
        <v/>
      </c>
      <c r="L17" s="181">
        <f>IF('Herb Monographs'!AW17="","",'Herb Monographs'!AW17)</f>
        <v/>
      </c>
      <c r="M17" s="181">
        <f>IF('Herb Monographs'!BC17="","",'Herb Monographs'!BC17)</f>
        <v/>
      </c>
      <c r="N17" s="181">
        <f>IF('Herb Monographs'!BF17="","",'Herb Monographs'!BF17)</f>
        <v/>
      </c>
      <c r="O17" s="181">
        <f>'Herb Monographs'!BG17</f>
        <v/>
      </c>
    </row>
    <row r="18">
      <c r="A18" s="181">
        <f>'Herb Monographs'!B18</f>
        <v/>
      </c>
      <c r="B18" s="181">
        <f>'Herb Monographs'!C18</f>
        <v/>
      </c>
      <c r="C18" s="181">
        <f>'Herb Monographs'!AP18</f>
        <v/>
      </c>
      <c r="D18" s="181">
        <f>'Herb Monographs'!AK18</f>
        <v/>
      </c>
      <c r="E18" s="181">
        <f>'Herb Monographs'!AO18</f>
        <v/>
      </c>
      <c r="F18" s="181">
        <f>'Herb Monographs'!AR18</f>
        <v/>
      </c>
      <c r="G18" s="181">
        <f>'Herb Monographs'!AS18</f>
        <v/>
      </c>
      <c r="H18" s="181">
        <f>'Herb Monographs'!BA18</f>
        <v/>
      </c>
      <c r="I18" s="181">
        <f>'Herb Monographs'!BB18</f>
        <v/>
      </c>
      <c r="J18" s="181">
        <f>IF('Herb Monographs'!AY18="","",'Herb Monographs'!AY18)</f>
        <v/>
      </c>
      <c r="K18" s="181">
        <f>IF('Herb Monographs'!BD18="","",'Herb Monographs'!BD18)</f>
        <v/>
      </c>
      <c r="L18" s="181">
        <f>IF('Herb Monographs'!AW18="","",'Herb Monographs'!AW18)</f>
        <v/>
      </c>
      <c r="M18" s="181">
        <f>IF('Herb Monographs'!BC18="","",'Herb Monographs'!BC18)</f>
        <v/>
      </c>
      <c r="N18" s="181">
        <f>IF('Herb Monographs'!BF18="","",'Herb Monographs'!BF18)</f>
        <v/>
      </c>
      <c r="O18" s="181">
        <f>'Herb Monographs'!BG18</f>
        <v/>
      </c>
    </row>
  </sheetData>
  <conditionalFormatting sqref="I2:I18">
    <cfRule type="expression" priority="1" dxfId="18">
      <formula>I2="Approved"</formula>
    </cfRule>
    <cfRule type="expression" priority="2" dxfId="19">
      <formula>I2="In review"</formula>
    </cfRule>
    <cfRule type="expression" priority="3" dxfId="20">
      <formula>I2="Pending"</formula>
    </cfRule>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10" customWidth="1" style="76" min="1" max="1"/>
    <col width="18" customWidth="1" style="76" min="2" max="2"/>
    <col width="18" customWidth="1" style="76" min="3" max="3"/>
    <col width="16" customWidth="1" style="76" min="4" max="4"/>
    <col width="22" customWidth="1" style="76" min="5" max="5"/>
    <col width="22" customWidth="1" style="76" min="6" max="6"/>
    <col width="14" customWidth="1" style="76" min="7" max="7"/>
    <col width="14" customWidth="1" style="76" min="8" max="8"/>
    <col width="18" customWidth="1" style="76" min="9" max="9"/>
    <col width="28" customWidth="1" style="76" min="10" max="10"/>
  </cols>
  <sheetData>
    <row r="1">
      <c r="A1" s="105" t="inlineStr">
        <is>
          <t>logId</t>
        </is>
      </c>
      <c r="B1" s="105" t="inlineStr">
        <is>
          <t>timestamp</t>
        </is>
      </c>
      <c r="C1" s="105" t="inlineStr">
        <is>
          <t>slug</t>
        </is>
      </c>
      <c r="D1" s="105" t="inlineStr">
        <is>
          <t>fieldChanged</t>
        </is>
      </c>
      <c r="E1" s="105" t="inlineStr">
        <is>
          <t>oldValue</t>
        </is>
      </c>
      <c r="F1" s="105" t="inlineStr">
        <is>
          <t>newValue</t>
        </is>
      </c>
      <c r="G1" s="105" t="inlineStr">
        <is>
          <t>changedBy</t>
        </is>
      </c>
      <c r="H1" s="105" t="inlineStr">
        <is>
          <t>reviewedBy</t>
        </is>
      </c>
      <c r="I1" s="105" t="inlineStr">
        <is>
          <t>approvalTimestamp</t>
        </is>
      </c>
      <c r="J1" s="105" t="inlineStr">
        <is>
          <t>changeNote</t>
        </is>
      </c>
    </row>
    <row r="2">
      <c r="A2" s="181" t="n">
        <v>1</v>
      </c>
      <c r="B2" s="180" t="str"/>
      <c r="C2" s="181" t="str"/>
      <c r="D2" s="181" t="str"/>
      <c r="E2" s="181" t="str"/>
      <c r="F2" s="181" t="str"/>
      <c r="G2" s="181" t="str"/>
      <c r="H2" s="181" t="str"/>
      <c r="I2" s="180" t="str"/>
      <c r="J2" s="181" t="str"/>
    </row>
    <row r="3">
      <c r="A3" s="181" t="n">
        <v>2</v>
      </c>
      <c r="B3" s="180" t="str"/>
      <c r="C3" s="181" t="str"/>
      <c r="D3" s="181" t="str"/>
      <c r="E3" s="181" t="str"/>
      <c r="F3" s="181" t="str"/>
      <c r="G3" s="181" t="str"/>
      <c r="H3" s="181" t="str"/>
      <c r="I3" s="180" t="str"/>
      <c r="J3" s="181" t="str"/>
    </row>
    <row r="4">
      <c r="A4" s="181" t="n">
        <v>3</v>
      </c>
      <c r="B4" s="180" t="str"/>
      <c r="C4" s="181" t="str"/>
      <c r="D4" s="181" t="str"/>
      <c r="E4" s="181" t="str"/>
      <c r="F4" s="181" t="str"/>
      <c r="G4" s="181" t="str"/>
      <c r="H4" s="181" t="str"/>
      <c r="I4" s="180" t="str"/>
      <c r="J4" s="181" t="str"/>
    </row>
    <row r="5">
      <c r="A5" s="181" t="n">
        <v>4</v>
      </c>
      <c r="B5" s="180" t="str"/>
      <c r="C5" s="181" t="str"/>
      <c r="D5" s="181" t="str"/>
      <c r="E5" s="181" t="str"/>
      <c r="F5" s="181" t="str"/>
      <c r="G5" s="181" t="str"/>
      <c r="H5" s="181" t="str"/>
      <c r="I5" s="180" t="str"/>
      <c r="J5" s="181" t="str"/>
    </row>
    <row r="6">
      <c r="A6" s="181" t="n">
        <v>5</v>
      </c>
      <c r="B6" s="180" t="str"/>
      <c r="C6" s="181" t="str"/>
      <c r="D6" s="181" t="str"/>
      <c r="E6" s="181" t="str"/>
      <c r="F6" s="181" t="str"/>
      <c r="G6" s="181" t="str"/>
      <c r="H6" s="181" t="str"/>
      <c r="I6" s="180" t="str"/>
      <c r="J6" s="181" t="str"/>
    </row>
    <row r="7">
      <c r="A7" s="181" t="n">
        <v>6</v>
      </c>
      <c r="B7" s="180" t="str"/>
      <c r="C7" s="181" t="str"/>
      <c r="D7" s="181" t="str"/>
      <c r="E7" s="181" t="str"/>
      <c r="F7" s="181" t="str"/>
      <c r="G7" s="181" t="str"/>
      <c r="H7" s="181" t="str"/>
      <c r="I7" s="180" t="str"/>
      <c r="J7" s="181" t="str"/>
    </row>
    <row r="8">
      <c r="A8" s="181" t="n">
        <v>7</v>
      </c>
      <c r="B8" s="180" t="str"/>
      <c r="C8" s="181" t="str"/>
      <c r="D8" s="181" t="str"/>
      <c r="E8" s="181" t="str"/>
      <c r="F8" s="181" t="str"/>
      <c r="G8" s="181" t="str"/>
      <c r="H8" s="181" t="str"/>
      <c r="I8" s="180" t="str"/>
      <c r="J8" s="181" t="str"/>
    </row>
    <row r="9">
      <c r="A9" s="181" t="n">
        <v>8</v>
      </c>
      <c r="B9" s="180" t="str"/>
      <c r="C9" s="181" t="str"/>
      <c r="D9" s="181" t="str"/>
      <c r="E9" s="181" t="str"/>
      <c r="F9" s="181" t="str"/>
      <c r="G9" s="181" t="str"/>
      <c r="H9" s="181" t="str"/>
      <c r="I9" s="180" t="str"/>
      <c r="J9" s="181" t="str"/>
    </row>
    <row r="10">
      <c r="A10" s="181" t="n">
        <v>9</v>
      </c>
      <c r="B10" s="180" t="str"/>
      <c r="C10" s="181" t="str"/>
      <c r="D10" s="181" t="str"/>
      <c r="E10" s="181" t="str"/>
      <c r="F10" s="181" t="str"/>
      <c r="G10" s="181" t="str"/>
      <c r="H10" s="181" t="str"/>
      <c r="I10" s="180" t="str"/>
      <c r="J10" s="181" t="str"/>
    </row>
    <row r="11">
      <c r="A11" s="181" t="n">
        <v>10</v>
      </c>
      <c r="B11" s="180" t="str"/>
      <c r="C11" s="181" t="str"/>
      <c r="D11" s="181" t="str"/>
      <c r="E11" s="181" t="str"/>
      <c r="F11" s="181" t="str"/>
      <c r="G11" s="181" t="str"/>
      <c r="H11" s="181" t="str"/>
      <c r="I11" s="180" t="str"/>
      <c r="J11" s="181" t="str"/>
    </row>
    <row r="12">
      <c r="A12" s="181" t="n">
        <v>11</v>
      </c>
      <c r="B12" s="180" t="str"/>
      <c r="C12" s="181" t="str"/>
      <c r="D12" s="181" t="str"/>
      <c r="E12" s="181" t="str"/>
      <c r="F12" s="181" t="str"/>
      <c r="G12" s="181" t="str"/>
      <c r="H12" s="181" t="str"/>
      <c r="I12" s="180" t="str"/>
      <c r="J12" s="181" t="str"/>
    </row>
    <row r="13">
      <c r="A13" s="181" t="n">
        <v>12</v>
      </c>
      <c r="B13" s="180" t="str"/>
      <c r="C13" s="181" t="str"/>
      <c r="D13" s="181" t="str"/>
      <c r="E13" s="181" t="str"/>
      <c r="F13" s="181" t="str"/>
      <c r="G13" s="181" t="str"/>
      <c r="H13" s="181" t="str"/>
      <c r="I13" s="180" t="str"/>
      <c r="J13" s="181" t="str"/>
    </row>
    <row r="14">
      <c r="A14" s="181" t="n">
        <v>13</v>
      </c>
      <c r="B14" s="180" t="str"/>
      <c r="C14" s="181" t="str"/>
      <c r="D14" s="181" t="str"/>
      <c r="E14" s="181" t="str"/>
      <c r="F14" s="181" t="str"/>
      <c r="G14" s="181" t="str"/>
      <c r="H14" s="181" t="str"/>
      <c r="I14" s="180" t="str"/>
      <c r="J14" s="181" t="str"/>
    </row>
    <row r="15">
      <c r="A15" s="181" t="n">
        <v>14</v>
      </c>
      <c r="B15" s="180" t="str"/>
      <c r="C15" s="181" t="str"/>
      <c r="D15" s="181" t="str"/>
      <c r="E15" s="181" t="str"/>
      <c r="F15" s="181" t="str"/>
      <c r="G15" s="181" t="str"/>
      <c r="H15" s="181" t="str"/>
      <c r="I15" s="180" t="str"/>
      <c r="J15" s="181" t="str"/>
    </row>
    <row r="16">
      <c r="A16" s="181" t="n">
        <v>15</v>
      </c>
      <c r="B16" s="180" t="str"/>
      <c r="C16" s="181" t="str"/>
      <c r="D16" s="181" t="str"/>
      <c r="E16" s="181" t="str"/>
      <c r="F16" s="181" t="str"/>
      <c r="G16" s="181" t="str"/>
      <c r="H16" s="181" t="str"/>
      <c r="I16" s="180" t="str"/>
      <c r="J16" s="181" t="str"/>
    </row>
    <row r="17">
      <c r="A17" s="181" t="n">
        <v>16</v>
      </c>
      <c r="B17" s="180" t="str"/>
      <c r="C17" s="181" t="str"/>
      <c r="D17" s="181" t="str"/>
      <c r="E17" s="181" t="str"/>
      <c r="F17" s="181" t="str"/>
      <c r="G17" s="181" t="str"/>
      <c r="H17" s="181" t="str"/>
      <c r="I17" s="180" t="str"/>
      <c r="J17" s="181" t="str"/>
    </row>
    <row r="18">
      <c r="A18" s="181" t="n">
        <v>17</v>
      </c>
      <c r="B18" s="180" t="str"/>
      <c r="C18" s="181" t="str"/>
      <c r="D18" s="181" t="str"/>
      <c r="E18" s="181" t="str"/>
      <c r="F18" s="181" t="str"/>
      <c r="G18" s="181" t="str"/>
      <c r="H18" s="181" t="str"/>
      <c r="I18" s="180" t="str"/>
      <c r="J18" s="181" t="str"/>
    </row>
    <row r="19">
      <c r="A19" s="181" t="n">
        <v>18</v>
      </c>
      <c r="B19" s="180" t="str"/>
      <c r="C19" s="181" t="str"/>
      <c r="D19" s="181" t="str"/>
      <c r="E19" s="181" t="str"/>
      <c r="F19" s="181" t="str"/>
      <c r="G19" s="181" t="str"/>
      <c r="H19" s="181" t="str"/>
      <c r="I19" s="180" t="str"/>
      <c r="J19" s="181" t="str"/>
    </row>
    <row r="20">
      <c r="A20" s="181" t="n">
        <v>19</v>
      </c>
      <c r="B20" s="180" t="str"/>
      <c r="C20" s="181" t="str"/>
      <c r="D20" s="181" t="str"/>
      <c r="E20" s="181" t="str"/>
      <c r="F20" s="181" t="str"/>
      <c r="G20" s="181" t="str"/>
      <c r="H20" s="181" t="str"/>
      <c r="I20" s="180" t="str"/>
      <c r="J20" s="181" t="str"/>
    </row>
    <row r="21">
      <c r="A21" s="181" t="n">
        <v>20</v>
      </c>
      <c r="B21" s="180" t="str"/>
      <c r="C21" s="181" t="str"/>
      <c r="D21" s="181" t="str"/>
      <c r="E21" s="181" t="str"/>
      <c r="F21" s="181" t="str"/>
      <c r="G21" s="181" t="str"/>
      <c r="H21" s="181" t="str"/>
      <c r="I21" s="180" t="str"/>
      <c r="J21" s="181" t="str"/>
    </row>
    <row r="22">
      <c r="A22" s="181" t="n">
        <v>21</v>
      </c>
      <c r="B22" s="180" t="str"/>
      <c r="C22" s="181" t="str"/>
      <c r="D22" s="181" t="str"/>
      <c r="E22" s="181" t="str"/>
      <c r="F22" s="181" t="str"/>
      <c r="G22" s="181" t="str"/>
      <c r="H22" s="181" t="str"/>
      <c r="I22" s="180" t="str"/>
      <c r="J22" s="181" t="str"/>
    </row>
    <row r="23">
      <c r="A23" s="181" t="n">
        <v>22</v>
      </c>
      <c r="B23" s="180" t="str"/>
      <c r="C23" s="181" t="str"/>
      <c r="D23" s="181" t="str"/>
      <c r="E23" s="181" t="str"/>
      <c r="F23" s="181" t="str"/>
      <c r="G23" s="181" t="str"/>
      <c r="H23" s="181" t="str"/>
      <c r="I23" s="180" t="str"/>
      <c r="J23" s="181" t="str"/>
    </row>
    <row r="24">
      <c r="A24" s="181" t="n">
        <v>23</v>
      </c>
      <c r="B24" s="180" t="str"/>
      <c r="C24" s="181" t="str"/>
      <c r="D24" s="181" t="str"/>
      <c r="E24" s="181" t="str"/>
      <c r="F24" s="181" t="str"/>
      <c r="G24" s="181" t="str"/>
      <c r="H24" s="181" t="str"/>
      <c r="I24" s="180" t="str"/>
      <c r="J24" s="181" t="str"/>
    </row>
    <row r="25">
      <c r="A25" s="181" t="n">
        <v>24</v>
      </c>
      <c r="B25" s="180" t="str"/>
      <c r="C25" s="181" t="str"/>
      <c r="D25" s="181" t="str"/>
      <c r="E25" s="181" t="str"/>
      <c r="F25" s="181" t="str"/>
      <c r="G25" s="181" t="str"/>
      <c r="H25" s="181" t="str"/>
      <c r="I25" s="180" t="str"/>
      <c r="J25" s="181" t="str"/>
    </row>
    <row r="26">
      <c r="A26" s="181" t="n">
        <v>25</v>
      </c>
      <c r="B26" s="180" t="str"/>
      <c r="C26" s="181" t="str"/>
      <c r="D26" s="181" t="str"/>
      <c r="E26" s="181" t="str"/>
      <c r="F26" s="181" t="str"/>
      <c r="G26" s="181" t="str"/>
      <c r="H26" s="181" t="str"/>
      <c r="I26" s="180" t="str"/>
      <c r="J26" s="181" t="str"/>
    </row>
    <row r="27">
      <c r="A27" s="181" t="n">
        <v>26</v>
      </c>
      <c r="B27" s="180" t="str"/>
      <c r="C27" s="181" t="str"/>
      <c r="D27" s="181" t="str"/>
      <c r="E27" s="181" t="str"/>
      <c r="F27" s="181" t="str"/>
      <c r="G27" s="181" t="str"/>
      <c r="H27" s="181" t="str"/>
      <c r="I27" s="180" t="str"/>
      <c r="J27" s="181" t="str"/>
    </row>
    <row r="28">
      <c r="A28" s="181" t="n">
        <v>27</v>
      </c>
      <c r="B28" s="180" t="str"/>
      <c r="C28" s="181" t="str"/>
      <c r="D28" s="181" t="str"/>
      <c r="E28" s="181" t="str"/>
      <c r="F28" s="181" t="str"/>
      <c r="G28" s="181" t="str"/>
      <c r="H28" s="181" t="str"/>
      <c r="I28" s="180" t="str"/>
      <c r="J28" s="181" t="str"/>
    </row>
    <row r="29">
      <c r="A29" s="181" t="n">
        <v>28</v>
      </c>
      <c r="B29" s="180" t="str"/>
      <c r="C29" s="181" t="str"/>
      <c r="D29" s="181" t="str"/>
      <c r="E29" s="181" t="str"/>
      <c r="F29" s="181" t="str"/>
      <c r="G29" s="181" t="str"/>
      <c r="H29" s="181" t="str"/>
      <c r="I29" s="180" t="str"/>
      <c r="J29" s="181" t="str"/>
    </row>
    <row r="30">
      <c r="A30" s="181" t="n">
        <v>29</v>
      </c>
      <c r="B30" s="180" t="str"/>
      <c r="C30" s="181" t="str"/>
      <c r="D30" s="181" t="str"/>
      <c r="E30" s="181" t="str"/>
      <c r="F30" s="181" t="str"/>
      <c r="G30" s="181" t="str"/>
      <c r="H30" s="181" t="str"/>
      <c r="I30" s="180" t="str"/>
      <c r="J30" s="181" t="str"/>
    </row>
    <row r="31">
      <c r="A31" s="181" t="n">
        <v>30</v>
      </c>
      <c r="B31" s="180" t="str"/>
      <c r="C31" s="181" t="str"/>
      <c r="D31" s="181" t="str"/>
      <c r="E31" s="181" t="str"/>
      <c r="F31" s="181" t="str"/>
      <c r="G31" s="181" t="str"/>
      <c r="H31" s="181" t="str"/>
      <c r="I31" s="180" t="str"/>
      <c r="J31" s="181" t="str"/>
    </row>
    <row r="32">
      <c r="A32" s="181" t="n">
        <v>31</v>
      </c>
      <c r="B32" s="180" t="str"/>
      <c r="C32" s="181" t="str"/>
      <c r="D32" s="181" t="str"/>
      <c r="E32" s="181" t="str"/>
      <c r="F32" s="181" t="str"/>
      <c r="G32" s="181" t="str"/>
      <c r="H32" s="181" t="str"/>
      <c r="I32" s="180" t="str"/>
      <c r="J32" s="181" t="str"/>
    </row>
    <row r="33">
      <c r="A33" s="181" t="n">
        <v>32</v>
      </c>
      <c r="B33" s="180" t="str"/>
      <c r="C33" s="181" t="str"/>
      <c r="D33" s="181" t="str"/>
      <c r="E33" s="181" t="str"/>
      <c r="F33" s="181" t="str"/>
      <c r="G33" s="181" t="str"/>
      <c r="H33" s="181" t="str"/>
      <c r="I33" s="180" t="str"/>
      <c r="J33" s="181" t="str"/>
    </row>
    <row r="34">
      <c r="A34" s="181" t="n">
        <v>33</v>
      </c>
      <c r="B34" s="180" t="str"/>
      <c r="C34" s="181" t="str"/>
      <c r="D34" s="181" t="str"/>
      <c r="E34" s="181" t="str"/>
      <c r="F34" s="181" t="str"/>
      <c r="G34" s="181" t="str"/>
      <c r="H34" s="181" t="str"/>
      <c r="I34" s="180" t="str"/>
      <c r="J34" s="181" t="str"/>
    </row>
    <row r="35">
      <c r="A35" s="181" t="n">
        <v>34</v>
      </c>
      <c r="B35" s="180" t="str"/>
      <c r="C35" s="181" t="str"/>
      <c r="D35" s="181" t="str"/>
      <c r="E35" s="181" t="str"/>
      <c r="F35" s="181" t="str"/>
      <c r="G35" s="181" t="str"/>
      <c r="H35" s="181" t="str"/>
      <c r="I35" s="180" t="str"/>
      <c r="J35" s="181" t="str"/>
    </row>
    <row r="36">
      <c r="A36" s="181" t="n">
        <v>35</v>
      </c>
      <c r="B36" s="180" t="str"/>
      <c r="C36" s="181" t="str"/>
      <c r="D36" s="181" t="str"/>
      <c r="E36" s="181" t="str"/>
      <c r="F36" s="181" t="str"/>
      <c r="G36" s="181" t="str"/>
      <c r="H36" s="181" t="str"/>
      <c r="I36" s="180" t="str"/>
      <c r="J36" s="181" t="str"/>
    </row>
    <row r="37">
      <c r="A37" s="181" t="n">
        <v>36</v>
      </c>
      <c r="B37" s="180" t="str"/>
      <c r="C37" s="181" t="str"/>
      <c r="D37" s="181" t="str"/>
      <c r="E37" s="181" t="str"/>
      <c r="F37" s="181" t="str"/>
      <c r="G37" s="181" t="str"/>
      <c r="H37" s="181" t="str"/>
      <c r="I37" s="180" t="str"/>
      <c r="J37" s="181" t="str"/>
    </row>
    <row r="38">
      <c r="A38" s="181" t="n">
        <v>37</v>
      </c>
      <c r="B38" s="180" t="str"/>
      <c r="C38" s="181" t="str"/>
      <c r="D38" s="181" t="str"/>
      <c r="E38" s="181" t="str"/>
      <c r="F38" s="181" t="str"/>
      <c r="G38" s="181" t="str"/>
      <c r="H38" s="181" t="str"/>
      <c r="I38" s="180" t="str"/>
      <c r="J38" s="181" t="str"/>
    </row>
    <row r="39">
      <c r="A39" s="181" t="n">
        <v>38</v>
      </c>
      <c r="B39" s="180" t="str"/>
      <c r="C39" s="181" t="str"/>
      <c r="D39" s="181" t="str"/>
      <c r="E39" s="181" t="str"/>
      <c r="F39" s="181" t="str"/>
      <c r="G39" s="181" t="str"/>
      <c r="H39" s="181" t="str"/>
      <c r="I39" s="180" t="str"/>
      <c r="J39" s="181" t="str"/>
    </row>
    <row r="40">
      <c r="A40" s="181" t="n">
        <v>39</v>
      </c>
      <c r="B40" s="180" t="str"/>
      <c r="C40" s="181" t="str"/>
      <c r="D40" s="181" t="str"/>
      <c r="E40" s="181" t="str"/>
      <c r="F40" s="181" t="str"/>
      <c r="G40" s="181" t="str"/>
      <c r="H40" s="181" t="str"/>
      <c r="I40" s="180" t="str"/>
      <c r="J40" s="181" t="str"/>
    </row>
    <row r="41">
      <c r="A41" s="181" t="n">
        <v>40</v>
      </c>
      <c r="B41" s="180" t="str"/>
      <c r="C41" s="181" t="str"/>
      <c r="D41" s="181" t="str"/>
      <c r="E41" s="181" t="str"/>
      <c r="F41" s="181" t="str"/>
      <c r="G41" s="181" t="str"/>
      <c r="H41" s="181" t="str"/>
      <c r="I41" s="180" t="str"/>
      <c r="J41" s="181" t="str"/>
    </row>
    <row r="42">
      <c r="A42" s="181" t="n">
        <v>41</v>
      </c>
      <c r="B42" s="180" t="str"/>
      <c r="C42" s="181" t="str"/>
      <c r="D42" s="181" t="str"/>
      <c r="E42" s="181" t="str"/>
      <c r="F42" s="181" t="str"/>
      <c r="G42" s="181" t="str"/>
      <c r="H42" s="181" t="str"/>
      <c r="I42" s="180" t="str"/>
      <c r="J42" s="181" t="str"/>
    </row>
    <row r="43">
      <c r="A43" s="181" t="n">
        <v>42</v>
      </c>
      <c r="B43" s="180" t="str"/>
      <c r="C43" s="181" t="str"/>
      <c r="D43" s="181" t="str"/>
      <c r="E43" s="181" t="str"/>
      <c r="F43" s="181" t="str"/>
      <c r="G43" s="181" t="str"/>
      <c r="H43" s="181" t="str"/>
      <c r="I43" s="180" t="str"/>
      <c r="J43" s="181" t="str"/>
    </row>
    <row r="44">
      <c r="A44" s="181" t="n">
        <v>43</v>
      </c>
      <c r="B44" s="180" t="str"/>
      <c r="C44" s="181" t="str"/>
      <c r="D44" s="181" t="str"/>
      <c r="E44" s="181" t="str"/>
      <c r="F44" s="181" t="str"/>
      <c r="G44" s="181" t="str"/>
      <c r="H44" s="181" t="str"/>
      <c r="I44" s="180" t="str"/>
      <c r="J44" s="181" t="str"/>
    </row>
    <row r="45">
      <c r="A45" s="181" t="n">
        <v>44</v>
      </c>
      <c r="B45" s="180" t="str"/>
      <c r="C45" s="181" t="str"/>
      <c r="D45" s="181" t="str"/>
      <c r="E45" s="181" t="str"/>
      <c r="F45" s="181" t="str"/>
      <c r="G45" s="181" t="str"/>
      <c r="H45" s="181" t="str"/>
      <c r="I45" s="180" t="str"/>
      <c r="J45" s="181" t="str"/>
    </row>
    <row r="46">
      <c r="A46" s="181" t="n">
        <v>45</v>
      </c>
      <c r="B46" s="180" t="str"/>
      <c r="C46" s="181" t="str"/>
      <c r="D46" s="181" t="str"/>
      <c r="E46" s="181" t="str"/>
      <c r="F46" s="181" t="str"/>
      <c r="G46" s="181" t="str"/>
      <c r="H46" s="181" t="str"/>
      <c r="I46" s="180" t="str"/>
      <c r="J46" s="181" t="str"/>
    </row>
    <row r="47">
      <c r="A47" s="181" t="n">
        <v>46</v>
      </c>
      <c r="B47" s="180" t="str"/>
      <c r="C47" s="181" t="str"/>
      <c r="D47" s="181" t="str"/>
      <c r="E47" s="181" t="str"/>
      <c r="F47" s="181" t="str"/>
      <c r="G47" s="181" t="str"/>
      <c r="H47" s="181" t="str"/>
      <c r="I47" s="180" t="str"/>
      <c r="J47" s="181" t="str"/>
    </row>
    <row r="48">
      <c r="A48" s="181" t="n">
        <v>47</v>
      </c>
      <c r="B48" s="180" t="str"/>
      <c r="C48" s="181" t="str"/>
      <c r="D48" s="181" t="str"/>
      <c r="E48" s="181" t="str"/>
      <c r="F48" s="181" t="str"/>
      <c r="G48" s="181" t="str"/>
      <c r="H48" s="181" t="str"/>
      <c r="I48" s="180" t="str"/>
      <c r="J48" s="181" t="str"/>
    </row>
    <row r="49">
      <c r="A49" s="181" t="n">
        <v>48</v>
      </c>
      <c r="B49" s="180" t="str"/>
      <c r="C49" s="181" t="str"/>
      <c r="D49" s="181" t="str"/>
      <c r="E49" s="181" t="str"/>
      <c r="F49" s="181" t="str"/>
      <c r="G49" s="181" t="str"/>
      <c r="H49" s="181" t="str"/>
      <c r="I49" s="180" t="str"/>
      <c r="J49" s="181" t="str"/>
    </row>
    <row r="50">
      <c r="A50" s="181" t="n">
        <v>49</v>
      </c>
      <c r="B50" s="180" t="str"/>
      <c r="C50" s="181" t="str"/>
      <c r="D50" s="181" t="str"/>
      <c r="E50" s="181" t="str"/>
      <c r="F50" s="181" t="str"/>
      <c r="G50" s="181" t="str"/>
      <c r="H50" s="181" t="str"/>
      <c r="I50" s="180" t="str"/>
      <c r="J50" s="181" t="str"/>
    </row>
    <row r="51">
      <c r="A51" s="181" t="n">
        <v>50</v>
      </c>
      <c r="B51" s="180" t="str"/>
      <c r="C51" s="181" t="str"/>
      <c r="D51" s="181" t="str"/>
      <c r="E51" s="181" t="str"/>
      <c r="F51" s="181" t="str"/>
      <c r="G51" s="181" t="str"/>
      <c r="H51" s="181" t="str"/>
      <c r="I51" s="180" t="str"/>
      <c r="J51" s="181" t="str"/>
    </row>
    <row r="52">
      <c r="A52" s="181" t="n">
        <v>51</v>
      </c>
      <c r="B52" s="180" t="str"/>
      <c r="C52" s="181" t="str"/>
      <c r="D52" s="181" t="str"/>
      <c r="E52" s="181" t="str"/>
      <c r="F52" s="181" t="str"/>
      <c r="G52" s="181" t="str"/>
      <c r="H52" s="181" t="str"/>
      <c r="I52" s="180" t="str"/>
      <c r="J52" s="181" t="str"/>
    </row>
    <row r="53">
      <c r="A53" s="181" t="n">
        <v>52</v>
      </c>
      <c r="B53" s="180" t="str"/>
      <c r="C53" s="181" t="str"/>
      <c r="D53" s="181" t="str"/>
      <c r="E53" s="181" t="str"/>
      <c r="F53" s="181" t="str"/>
      <c r="G53" s="181" t="str"/>
      <c r="H53" s="181" t="str"/>
      <c r="I53" s="180" t="str"/>
      <c r="J53" s="181" t="str"/>
    </row>
    <row r="54">
      <c r="A54" s="181" t="n">
        <v>53</v>
      </c>
      <c r="B54" s="180" t="str"/>
      <c r="C54" s="181" t="str"/>
      <c r="D54" s="181" t="str"/>
      <c r="E54" s="181" t="str"/>
      <c r="F54" s="181" t="str"/>
      <c r="G54" s="181" t="str"/>
      <c r="H54" s="181" t="str"/>
      <c r="I54" s="180" t="str"/>
      <c r="J54" s="181" t="str"/>
    </row>
    <row r="55">
      <c r="A55" s="181" t="n">
        <v>54</v>
      </c>
      <c r="B55" s="180" t="str"/>
      <c r="C55" s="181" t="str"/>
      <c r="D55" s="181" t="str"/>
      <c r="E55" s="181" t="str"/>
      <c r="F55" s="181" t="str"/>
      <c r="G55" s="181" t="str"/>
      <c r="H55" s="181" t="str"/>
      <c r="I55" s="180" t="str"/>
      <c r="J55" s="181" t="str"/>
    </row>
    <row r="56">
      <c r="A56" s="181" t="n">
        <v>55</v>
      </c>
      <c r="B56" s="180" t="str"/>
      <c r="C56" s="181" t="str"/>
      <c r="D56" s="181" t="str"/>
      <c r="E56" s="181" t="str"/>
      <c r="F56" s="181" t="str"/>
      <c r="G56" s="181" t="str"/>
      <c r="H56" s="181" t="str"/>
      <c r="I56" s="180" t="str"/>
      <c r="J56" s="181" t="str"/>
    </row>
    <row r="57">
      <c r="A57" s="181" t="n">
        <v>56</v>
      </c>
      <c r="B57" s="180" t="str"/>
      <c r="C57" s="181" t="str"/>
      <c r="D57" s="181" t="str"/>
      <c r="E57" s="181" t="str"/>
      <c r="F57" s="181" t="str"/>
      <c r="G57" s="181" t="str"/>
      <c r="H57" s="181" t="str"/>
      <c r="I57" s="180" t="str"/>
      <c r="J57" s="181" t="str"/>
    </row>
    <row r="58">
      <c r="A58" s="181" t="n">
        <v>57</v>
      </c>
      <c r="B58" s="180" t="str"/>
      <c r="C58" s="181" t="str"/>
      <c r="D58" s="181" t="str"/>
      <c r="E58" s="181" t="str"/>
      <c r="F58" s="181" t="str"/>
      <c r="G58" s="181" t="str"/>
      <c r="H58" s="181" t="str"/>
      <c r="I58" s="180" t="str"/>
      <c r="J58" s="181" t="str"/>
    </row>
    <row r="59">
      <c r="A59" s="181" t="n">
        <v>58</v>
      </c>
      <c r="B59" s="180" t="str"/>
      <c r="C59" s="181" t="str"/>
      <c r="D59" s="181" t="str"/>
      <c r="E59" s="181" t="str"/>
      <c r="F59" s="181" t="str"/>
      <c r="G59" s="181" t="str"/>
      <c r="H59" s="181" t="str"/>
      <c r="I59" s="180" t="str"/>
      <c r="J59" s="181" t="str"/>
    </row>
    <row r="60">
      <c r="A60" s="181" t="n">
        <v>59</v>
      </c>
      <c r="B60" s="180" t="str"/>
      <c r="C60" s="181" t="str"/>
      <c r="D60" s="181" t="str"/>
      <c r="E60" s="181" t="str"/>
      <c r="F60" s="181" t="str"/>
      <c r="G60" s="181" t="str"/>
      <c r="H60" s="181" t="str"/>
      <c r="I60" s="180" t="str"/>
      <c r="J60" s="181" t="str"/>
    </row>
    <row r="61">
      <c r="A61" s="181" t="n">
        <v>60</v>
      </c>
      <c r="B61" s="180" t="str"/>
      <c r="C61" s="181" t="str"/>
      <c r="D61" s="181" t="str"/>
      <c r="E61" s="181" t="str"/>
      <c r="F61" s="181" t="str"/>
      <c r="G61" s="181" t="str"/>
      <c r="H61" s="181" t="str"/>
      <c r="I61" s="180" t="str"/>
      <c r="J61" s="181" t="str"/>
    </row>
    <row r="62">
      <c r="A62" s="181" t="n">
        <v>61</v>
      </c>
      <c r="B62" s="180" t="str"/>
      <c r="C62" s="181" t="str"/>
      <c r="D62" s="181" t="str"/>
      <c r="E62" s="181" t="str"/>
      <c r="F62" s="181" t="str"/>
      <c r="G62" s="181" t="str"/>
      <c r="H62" s="181" t="str"/>
      <c r="I62" s="180" t="str"/>
      <c r="J62" s="181" t="str"/>
    </row>
    <row r="63">
      <c r="A63" s="181" t="n">
        <v>62</v>
      </c>
      <c r="B63" s="180" t="str"/>
      <c r="C63" s="181" t="str"/>
      <c r="D63" s="181" t="str"/>
      <c r="E63" s="181" t="str"/>
      <c r="F63" s="181" t="str"/>
      <c r="G63" s="181" t="str"/>
      <c r="H63" s="181" t="str"/>
      <c r="I63" s="180" t="str"/>
      <c r="J63" s="181" t="str"/>
    </row>
    <row r="64">
      <c r="A64" s="181" t="n">
        <v>63</v>
      </c>
      <c r="B64" s="180" t="str"/>
      <c r="C64" s="181" t="str"/>
      <c r="D64" s="181" t="str"/>
      <c r="E64" s="181" t="str"/>
      <c r="F64" s="181" t="str"/>
      <c r="G64" s="181" t="str"/>
      <c r="H64" s="181" t="str"/>
      <c r="I64" s="180" t="str"/>
      <c r="J64" s="181" t="str"/>
    </row>
    <row r="65">
      <c r="A65" s="181" t="n">
        <v>64</v>
      </c>
      <c r="B65" s="180" t="str"/>
      <c r="C65" s="181" t="str"/>
      <c r="D65" s="181" t="str"/>
      <c r="E65" s="181" t="str"/>
      <c r="F65" s="181" t="str"/>
      <c r="G65" s="181" t="str"/>
      <c r="H65" s="181" t="str"/>
      <c r="I65" s="180" t="str"/>
      <c r="J65" s="181" t="str"/>
    </row>
    <row r="66">
      <c r="A66" s="181" t="n">
        <v>65</v>
      </c>
      <c r="B66" s="180" t="str"/>
      <c r="C66" s="181" t="str"/>
      <c r="D66" s="181" t="str"/>
      <c r="E66" s="181" t="str"/>
      <c r="F66" s="181" t="str"/>
      <c r="G66" s="181" t="str"/>
      <c r="H66" s="181" t="str"/>
      <c r="I66" s="180" t="str"/>
      <c r="J66" s="181" t="str"/>
    </row>
    <row r="67">
      <c r="A67" s="181" t="n">
        <v>66</v>
      </c>
      <c r="B67" s="180" t="str"/>
      <c r="C67" s="181" t="str"/>
      <c r="D67" s="181" t="str"/>
      <c r="E67" s="181" t="str"/>
      <c r="F67" s="181" t="str"/>
      <c r="G67" s="181" t="str"/>
      <c r="H67" s="181" t="str"/>
      <c r="I67" s="180" t="str"/>
      <c r="J67" s="181" t="str"/>
    </row>
    <row r="68">
      <c r="A68" s="181" t="n">
        <v>67</v>
      </c>
      <c r="B68" s="180" t="str"/>
      <c r="C68" s="181" t="str"/>
      <c r="D68" s="181" t="str"/>
      <c r="E68" s="181" t="str"/>
      <c r="F68" s="181" t="str"/>
      <c r="G68" s="181" t="str"/>
      <c r="H68" s="181" t="str"/>
      <c r="I68" s="180" t="str"/>
      <c r="J68" s="181" t="str"/>
    </row>
    <row r="69">
      <c r="A69" s="181" t="n">
        <v>68</v>
      </c>
      <c r="B69" s="180" t="str"/>
      <c r="C69" s="181" t="str"/>
      <c r="D69" s="181" t="str"/>
      <c r="E69" s="181" t="str"/>
      <c r="F69" s="181" t="str"/>
      <c r="G69" s="181" t="str"/>
      <c r="H69" s="181" t="str"/>
      <c r="I69" s="180" t="str"/>
      <c r="J69" s="181" t="str"/>
    </row>
    <row r="70">
      <c r="A70" s="181" t="n">
        <v>69</v>
      </c>
      <c r="B70" s="180" t="str"/>
      <c r="C70" s="181" t="str"/>
      <c r="D70" s="181" t="str"/>
      <c r="E70" s="181" t="str"/>
      <c r="F70" s="181" t="str"/>
      <c r="G70" s="181" t="str"/>
      <c r="H70" s="181" t="str"/>
      <c r="I70" s="180" t="str"/>
      <c r="J70" s="181" t="str"/>
    </row>
    <row r="71">
      <c r="A71" s="181" t="n">
        <v>70</v>
      </c>
      <c r="B71" s="180" t="str"/>
      <c r="C71" s="181" t="str"/>
      <c r="D71" s="181" t="str"/>
      <c r="E71" s="181" t="str"/>
      <c r="F71" s="181" t="str"/>
      <c r="G71" s="181" t="str"/>
      <c r="H71" s="181" t="str"/>
      <c r="I71" s="180" t="str"/>
      <c r="J71" s="181" t="str"/>
    </row>
    <row r="72">
      <c r="A72" s="181" t="n">
        <v>71</v>
      </c>
      <c r="B72" s="180" t="str"/>
      <c r="C72" s="181" t="str"/>
      <c r="D72" s="181" t="str"/>
      <c r="E72" s="181" t="str"/>
      <c r="F72" s="181" t="str"/>
      <c r="G72" s="181" t="str"/>
      <c r="H72" s="181" t="str"/>
      <c r="I72" s="180" t="str"/>
      <c r="J72" s="181" t="str"/>
    </row>
    <row r="73">
      <c r="A73" s="181" t="n">
        <v>72</v>
      </c>
      <c r="B73" s="180" t="str"/>
      <c r="C73" s="181" t="str"/>
      <c r="D73" s="181" t="str"/>
      <c r="E73" s="181" t="str"/>
      <c r="F73" s="181" t="str"/>
      <c r="G73" s="181" t="str"/>
      <c r="H73" s="181" t="str"/>
      <c r="I73" s="180" t="str"/>
      <c r="J73" s="181" t="str"/>
    </row>
    <row r="74">
      <c r="A74" s="181" t="n">
        <v>73</v>
      </c>
      <c r="B74" s="180" t="str"/>
      <c r="C74" s="181" t="str"/>
      <c r="D74" s="181" t="str"/>
      <c r="E74" s="181" t="str"/>
      <c r="F74" s="181" t="str"/>
      <c r="G74" s="181" t="str"/>
      <c r="H74" s="181" t="str"/>
      <c r="I74" s="180" t="str"/>
      <c r="J74" s="181" t="str"/>
    </row>
    <row r="75">
      <c r="A75" s="181" t="n">
        <v>74</v>
      </c>
      <c r="B75" s="180" t="str"/>
      <c r="C75" s="181" t="str"/>
      <c r="D75" s="181" t="str"/>
      <c r="E75" s="181" t="str"/>
      <c r="F75" s="181" t="str"/>
      <c r="G75" s="181" t="str"/>
      <c r="H75" s="181" t="str"/>
      <c r="I75" s="180" t="str"/>
      <c r="J75" s="181" t="str"/>
    </row>
    <row r="76">
      <c r="A76" s="181" t="n">
        <v>75</v>
      </c>
      <c r="B76" s="180" t="str"/>
      <c r="C76" s="181" t="str"/>
      <c r="D76" s="181" t="str"/>
      <c r="E76" s="181" t="str"/>
      <c r="F76" s="181" t="str"/>
      <c r="G76" s="181" t="str"/>
      <c r="H76" s="181" t="str"/>
      <c r="I76" s="180" t="str"/>
      <c r="J76" s="181" t="str"/>
    </row>
    <row r="77">
      <c r="A77" s="181" t="n">
        <v>76</v>
      </c>
      <c r="B77" s="180" t="str"/>
      <c r="C77" s="181" t="str"/>
      <c r="D77" s="181" t="str"/>
      <c r="E77" s="181" t="str"/>
      <c r="F77" s="181" t="str"/>
      <c r="G77" s="181" t="str"/>
      <c r="H77" s="181" t="str"/>
      <c r="I77" s="180" t="str"/>
      <c r="J77" s="181" t="str"/>
    </row>
    <row r="78">
      <c r="A78" s="181" t="n">
        <v>77</v>
      </c>
      <c r="B78" s="180" t="str"/>
      <c r="C78" s="181" t="str"/>
      <c r="D78" s="181" t="str"/>
      <c r="E78" s="181" t="str"/>
      <c r="F78" s="181" t="str"/>
      <c r="G78" s="181" t="str"/>
      <c r="H78" s="181" t="str"/>
      <c r="I78" s="180" t="str"/>
      <c r="J78" s="181" t="str"/>
    </row>
    <row r="79">
      <c r="A79" s="181" t="n">
        <v>78</v>
      </c>
      <c r="B79" s="180" t="str"/>
      <c r="C79" s="181" t="str"/>
      <c r="D79" s="181" t="str"/>
      <c r="E79" s="181" t="str"/>
      <c r="F79" s="181" t="str"/>
      <c r="G79" s="181" t="str"/>
      <c r="H79" s="181" t="str"/>
      <c r="I79" s="180" t="str"/>
      <c r="J79" s="181" t="str"/>
    </row>
    <row r="80">
      <c r="A80" s="181" t="n">
        <v>79</v>
      </c>
      <c r="B80" s="180" t="str"/>
      <c r="C80" s="181" t="str"/>
      <c r="D80" s="181" t="str"/>
      <c r="E80" s="181" t="str"/>
      <c r="F80" s="181" t="str"/>
      <c r="G80" s="181" t="str"/>
      <c r="H80" s="181" t="str"/>
      <c r="I80" s="180" t="str"/>
      <c r="J80" s="181" t="str"/>
    </row>
    <row r="81">
      <c r="A81" s="181" t="n">
        <v>80</v>
      </c>
      <c r="B81" s="180" t="str"/>
      <c r="C81" s="181" t="str"/>
      <c r="D81" s="181" t="str"/>
      <c r="E81" s="181" t="str"/>
      <c r="F81" s="181" t="str"/>
      <c r="G81" s="181" t="str"/>
      <c r="H81" s="181" t="str"/>
      <c r="I81" s="180" t="str"/>
      <c r="J81" s="181" t="str"/>
    </row>
    <row r="82">
      <c r="A82" s="181" t="n">
        <v>81</v>
      </c>
      <c r="B82" s="180" t="str"/>
      <c r="C82" s="181" t="str"/>
      <c r="D82" s="181" t="str"/>
      <c r="E82" s="181" t="str"/>
      <c r="F82" s="181" t="str"/>
      <c r="G82" s="181" t="str"/>
      <c r="H82" s="181" t="str"/>
      <c r="I82" s="180" t="str"/>
      <c r="J82" s="181" t="str"/>
    </row>
    <row r="83">
      <c r="A83" s="181" t="n">
        <v>82</v>
      </c>
      <c r="B83" s="180" t="str"/>
      <c r="C83" s="181" t="str"/>
      <c r="D83" s="181" t="str"/>
      <c r="E83" s="181" t="str"/>
      <c r="F83" s="181" t="str"/>
      <c r="G83" s="181" t="str"/>
      <c r="H83" s="181" t="str"/>
      <c r="I83" s="180" t="str"/>
      <c r="J83" s="181" t="str"/>
    </row>
    <row r="84">
      <c r="A84" s="181" t="n">
        <v>83</v>
      </c>
      <c r="B84" s="180" t="str"/>
      <c r="C84" s="181" t="str"/>
      <c r="D84" s="181" t="str"/>
      <c r="E84" s="181" t="str"/>
      <c r="F84" s="181" t="str"/>
      <c r="G84" s="181" t="str"/>
      <c r="H84" s="181" t="str"/>
      <c r="I84" s="180" t="str"/>
      <c r="J84" s="181" t="str"/>
    </row>
    <row r="85">
      <c r="A85" s="181" t="n">
        <v>84</v>
      </c>
      <c r="B85" s="180" t="str"/>
      <c r="C85" s="181" t="str"/>
      <c r="D85" s="181" t="str"/>
      <c r="E85" s="181" t="str"/>
      <c r="F85" s="181" t="str"/>
      <c r="G85" s="181" t="str"/>
      <c r="H85" s="181" t="str"/>
      <c r="I85" s="180" t="str"/>
      <c r="J85" s="181" t="str"/>
    </row>
    <row r="86">
      <c r="A86" s="181" t="n">
        <v>85</v>
      </c>
      <c r="B86" s="180" t="str"/>
      <c r="C86" s="181" t="str"/>
      <c r="D86" s="181" t="str"/>
      <c r="E86" s="181" t="str"/>
      <c r="F86" s="181" t="str"/>
      <c r="G86" s="181" t="str"/>
      <c r="H86" s="181" t="str"/>
      <c r="I86" s="180" t="str"/>
      <c r="J86" s="181" t="str"/>
    </row>
    <row r="87">
      <c r="A87" s="181" t="n">
        <v>86</v>
      </c>
      <c r="B87" s="180" t="str"/>
      <c r="C87" s="181" t="str"/>
      <c r="D87" s="181" t="str"/>
      <c r="E87" s="181" t="str"/>
      <c r="F87" s="181" t="str"/>
      <c r="G87" s="181" t="str"/>
      <c r="H87" s="181" t="str"/>
      <c r="I87" s="180" t="str"/>
      <c r="J87" s="181" t="str"/>
    </row>
    <row r="88">
      <c r="A88" s="181" t="n">
        <v>87</v>
      </c>
      <c r="B88" s="180" t="str"/>
      <c r="C88" s="181" t="str"/>
      <c r="D88" s="181" t="str"/>
      <c r="E88" s="181" t="str"/>
      <c r="F88" s="181" t="str"/>
      <c r="G88" s="181" t="str"/>
      <c r="H88" s="181" t="str"/>
      <c r="I88" s="180" t="str"/>
      <c r="J88" s="181" t="str"/>
    </row>
    <row r="89">
      <c r="A89" s="181" t="n">
        <v>88</v>
      </c>
      <c r="B89" s="180" t="str"/>
      <c r="C89" s="181" t="str"/>
      <c r="D89" s="181" t="str"/>
      <c r="E89" s="181" t="str"/>
      <c r="F89" s="181" t="str"/>
      <c r="G89" s="181" t="str"/>
      <c r="H89" s="181" t="str"/>
      <c r="I89" s="180" t="str"/>
      <c r="J89" s="181" t="str"/>
    </row>
    <row r="90">
      <c r="A90" s="181" t="n">
        <v>89</v>
      </c>
      <c r="B90" s="180" t="str"/>
      <c r="C90" s="181" t="str"/>
      <c r="D90" s="181" t="str"/>
      <c r="E90" s="181" t="str"/>
      <c r="F90" s="181" t="str"/>
      <c r="G90" s="181" t="str"/>
      <c r="H90" s="181" t="str"/>
      <c r="I90" s="180" t="str"/>
      <c r="J90" s="181" t="str"/>
    </row>
    <row r="91">
      <c r="A91" s="181" t="n">
        <v>90</v>
      </c>
      <c r="B91" s="180" t="str"/>
      <c r="C91" s="181" t="str"/>
      <c r="D91" s="181" t="str"/>
      <c r="E91" s="181" t="str"/>
      <c r="F91" s="181" t="str"/>
      <c r="G91" s="181" t="str"/>
      <c r="H91" s="181" t="str"/>
      <c r="I91" s="180" t="str"/>
      <c r="J91" s="181" t="str"/>
    </row>
    <row r="92">
      <c r="A92" s="181" t="n">
        <v>91</v>
      </c>
      <c r="B92" s="180" t="str"/>
      <c r="C92" s="181" t="str"/>
      <c r="D92" s="181" t="str"/>
      <c r="E92" s="181" t="str"/>
      <c r="F92" s="181" t="str"/>
      <c r="G92" s="181" t="str"/>
      <c r="H92" s="181" t="str"/>
      <c r="I92" s="180" t="str"/>
      <c r="J92" s="181" t="str"/>
    </row>
    <row r="93">
      <c r="A93" s="181" t="n">
        <v>92</v>
      </c>
      <c r="B93" s="180" t="str"/>
      <c r="C93" s="181" t="str"/>
      <c r="D93" s="181" t="str"/>
      <c r="E93" s="181" t="str"/>
      <c r="F93" s="181" t="str"/>
      <c r="G93" s="181" t="str"/>
      <c r="H93" s="181" t="str"/>
      <c r="I93" s="180" t="str"/>
      <c r="J93" s="181" t="str"/>
    </row>
    <row r="94">
      <c r="A94" s="181" t="n">
        <v>93</v>
      </c>
      <c r="B94" s="180" t="str"/>
      <c r="C94" s="181" t="str"/>
      <c r="D94" s="181" t="str"/>
      <c r="E94" s="181" t="str"/>
      <c r="F94" s="181" t="str"/>
      <c r="G94" s="181" t="str"/>
      <c r="H94" s="181" t="str"/>
      <c r="I94" s="180" t="str"/>
      <c r="J94" s="181" t="str"/>
    </row>
    <row r="95">
      <c r="A95" s="181" t="n">
        <v>94</v>
      </c>
      <c r="B95" s="180" t="str"/>
      <c r="C95" s="181" t="str"/>
      <c r="D95" s="181" t="str"/>
      <c r="E95" s="181" t="str"/>
      <c r="F95" s="181" t="str"/>
      <c r="G95" s="181" t="str"/>
      <c r="H95" s="181" t="str"/>
      <c r="I95" s="180" t="str"/>
      <c r="J95" s="181" t="str"/>
    </row>
    <row r="96">
      <c r="A96" s="181" t="n">
        <v>95</v>
      </c>
      <c r="B96" s="180" t="str"/>
      <c r="C96" s="181" t="str"/>
      <c r="D96" s="181" t="str"/>
      <c r="E96" s="181" t="str"/>
      <c r="F96" s="181" t="str"/>
      <c r="G96" s="181" t="str"/>
      <c r="H96" s="181" t="str"/>
      <c r="I96" s="180" t="str"/>
      <c r="J96" s="181" t="str"/>
    </row>
    <row r="97">
      <c r="A97" s="181" t="n">
        <v>96</v>
      </c>
      <c r="B97" s="180" t="str"/>
      <c r="C97" s="181" t="str"/>
      <c r="D97" s="181" t="str"/>
      <c r="E97" s="181" t="str"/>
      <c r="F97" s="181" t="str"/>
      <c r="G97" s="181" t="str"/>
      <c r="H97" s="181" t="str"/>
      <c r="I97" s="180" t="str"/>
      <c r="J97" s="181" t="str"/>
    </row>
    <row r="98">
      <c r="A98" s="181" t="n">
        <v>97</v>
      </c>
      <c r="B98" s="180" t="str"/>
      <c r="C98" s="181" t="str"/>
      <c r="D98" s="181" t="str"/>
      <c r="E98" s="181" t="str"/>
      <c r="F98" s="181" t="str"/>
      <c r="G98" s="181" t="str"/>
      <c r="H98" s="181" t="str"/>
      <c r="I98" s="180" t="str"/>
      <c r="J98" s="181" t="str"/>
    </row>
    <row r="99">
      <c r="A99" s="181" t="n">
        <v>98</v>
      </c>
      <c r="B99" s="180" t="str"/>
      <c r="C99" s="181" t="str"/>
      <c r="D99" s="181" t="str"/>
      <c r="E99" s="181" t="str"/>
      <c r="F99" s="181" t="str"/>
      <c r="G99" s="181" t="str"/>
      <c r="H99" s="181" t="str"/>
      <c r="I99" s="180" t="str"/>
      <c r="J99" s="181" t="str"/>
    </row>
    <row r="100">
      <c r="A100" s="181" t="n">
        <v>99</v>
      </c>
      <c r="B100" s="180" t="str"/>
      <c r="C100" s="181" t="str"/>
      <c r="D100" s="181" t="str"/>
      <c r="E100" s="181" t="str"/>
      <c r="F100" s="181" t="str"/>
      <c r="G100" s="181" t="str"/>
      <c r="H100" s="181" t="str"/>
      <c r="I100" s="180" t="str"/>
      <c r="J100" s="181" t="str"/>
    </row>
    <row r="101">
      <c r="A101" s="181" t="n">
        <v>100</v>
      </c>
      <c r="B101" s="180" t="str"/>
      <c r="C101" s="181" t="str"/>
      <c r="D101" s="181" t="str"/>
      <c r="E101" s="181" t="str"/>
      <c r="F101" s="181" t="str"/>
      <c r="G101" s="181" t="str"/>
      <c r="H101" s="181" t="str"/>
      <c r="I101" s="180" t="str"/>
      <c r="J101" s="181" t="str"/>
    </row>
    <row r="102">
      <c r="A102" s="181" t="n">
        <v>101</v>
      </c>
      <c r="B102" s="180" t="str"/>
      <c r="C102" s="181" t="str"/>
      <c r="D102" s="181" t="str"/>
      <c r="E102" s="181" t="str"/>
      <c r="F102" s="181" t="str"/>
      <c r="G102" s="181" t="str"/>
      <c r="H102" s="181" t="str"/>
      <c r="I102" s="180" t="str"/>
      <c r="J102" s="181" t="str"/>
    </row>
    <row r="103">
      <c r="A103" s="181" t="n">
        <v>102</v>
      </c>
      <c r="B103" s="180" t="str"/>
      <c r="C103" s="181" t="str"/>
      <c r="D103" s="181" t="str"/>
      <c r="E103" s="181" t="str"/>
      <c r="F103" s="181" t="str"/>
      <c r="G103" s="181" t="str"/>
      <c r="H103" s="181" t="str"/>
      <c r="I103" s="180" t="str"/>
      <c r="J103" s="181" t="str"/>
    </row>
    <row r="104">
      <c r="A104" s="181" t="n">
        <v>103</v>
      </c>
      <c r="B104" s="180" t="str"/>
      <c r="C104" s="181" t="str"/>
      <c r="D104" s="181" t="str"/>
      <c r="E104" s="181" t="str"/>
      <c r="F104" s="181" t="str"/>
      <c r="G104" s="181" t="str"/>
      <c r="H104" s="181" t="str"/>
      <c r="I104" s="180" t="str"/>
      <c r="J104" s="181" t="str"/>
    </row>
    <row r="105">
      <c r="A105" s="181" t="n">
        <v>104</v>
      </c>
      <c r="B105" s="180" t="str"/>
      <c r="C105" s="181" t="str"/>
      <c r="D105" s="181" t="str"/>
      <c r="E105" s="181" t="str"/>
      <c r="F105" s="181" t="str"/>
      <c r="G105" s="181" t="str"/>
      <c r="H105" s="181" t="str"/>
      <c r="I105" s="180" t="str"/>
      <c r="J105" s="181" t="str"/>
    </row>
    <row r="106">
      <c r="A106" s="181" t="n">
        <v>105</v>
      </c>
      <c r="B106" s="180" t="str"/>
      <c r="C106" s="181" t="str"/>
      <c r="D106" s="181" t="str"/>
      <c r="E106" s="181" t="str"/>
      <c r="F106" s="181" t="str"/>
      <c r="G106" s="181" t="str"/>
      <c r="H106" s="181" t="str"/>
      <c r="I106" s="180" t="str"/>
      <c r="J106" s="181" t="str"/>
    </row>
    <row r="107">
      <c r="A107" s="181" t="n">
        <v>106</v>
      </c>
      <c r="B107" s="180" t="str"/>
      <c r="C107" s="181" t="str"/>
      <c r="D107" s="181" t="str"/>
      <c r="E107" s="181" t="str"/>
      <c r="F107" s="181" t="str"/>
      <c r="G107" s="181" t="str"/>
      <c r="H107" s="181" t="str"/>
      <c r="I107" s="180" t="str"/>
      <c r="J107" s="181" t="str"/>
    </row>
    <row r="108">
      <c r="A108" s="181" t="n">
        <v>107</v>
      </c>
      <c r="B108" s="180" t="str"/>
      <c r="C108" s="181" t="str"/>
      <c r="D108" s="181" t="str"/>
      <c r="E108" s="181" t="str"/>
      <c r="F108" s="181" t="str"/>
      <c r="G108" s="181" t="str"/>
      <c r="H108" s="181" t="str"/>
      <c r="I108" s="180" t="str"/>
      <c r="J108" s="181" t="str"/>
    </row>
    <row r="109">
      <c r="A109" s="181" t="n">
        <v>108</v>
      </c>
      <c r="B109" s="180" t="str"/>
      <c r="C109" s="181" t="str"/>
      <c r="D109" s="181" t="str"/>
      <c r="E109" s="181" t="str"/>
      <c r="F109" s="181" t="str"/>
      <c r="G109" s="181" t="str"/>
      <c r="H109" s="181" t="str"/>
      <c r="I109" s="180" t="str"/>
      <c r="J109" s="181" t="str"/>
    </row>
    <row r="110">
      <c r="A110" s="181" t="n">
        <v>109</v>
      </c>
      <c r="B110" s="180" t="str"/>
      <c r="C110" s="181" t="str"/>
      <c r="D110" s="181" t="str"/>
      <c r="E110" s="181" t="str"/>
      <c r="F110" s="181" t="str"/>
      <c r="G110" s="181" t="str"/>
      <c r="H110" s="181" t="str"/>
      <c r="I110" s="180" t="str"/>
      <c r="J110" s="181" t="str"/>
    </row>
    <row r="111">
      <c r="A111" s="181" t="n">
        <v>110</v>
      </c>
      <c r="B111" s="180" t="str"/>
      <c r="C111" s="181" t="str"/>
      <c r="D111" s="181" t="str"/>
      <c r="E111" s="181" t="str"/>
      <c r="F111" s="181" t="str"/>
      <c r="G111" s="181" t="str"/>
      <c r="H111" s="181" t="str"/>
      <c r="I111" s="180" t="str"/>
      <c r="J111" s="181" t="str"/>
    </row>
    <row r="112">
      <c r="A112" s="181" t="n">
        <v>111</v>
      </c>
      <c r="B112" s="180" t="str"/>
      <c r="C112" s="181" t="str"/>
      <c r="D112" s="181" t="str"/>
      <c r="E112" s="181" t="str"/>
      <c r="F112" s="181" t="str"/>
      <c r="G112" s="181" t="str"/>
      <c r="H112" s="181" t="str"/>
      <c r="I112" s="180" t="str"/>
      <c r="J112" s="181" t="str"/>
    </row>
    <row r="113">
      <c r="A113" s="181" t="n">
        <v>112</v>
      </c>
      <c r="B113" s="180" t="str"/>
      <c r="C113" s="181" t="str"/>
      <c r="D113" s="181" t="str"/>
      <c r="E113" s="181" t="str"/>
      <c r="F113" s="181" t="str"/>
      <c r="G113" s="181" t="str"/>
      <c r="H113" s="181" t="str"/>
      <c r="I113" s="180" t="str"/>
      <c r="J113" s="181" t="str"/>
    </row>
    <row r="114">
      <c r="A114" s="181" t="n">
        <v>113</v>
      </c>
      <c r="B114" s="180" t="str"/>
      <c r="C114" s="181" t="str"/>
      <c r="D114" s="181" t="str"/>
      <c r="E114" s="181" t="str"/>
      <c r="F114" s="181" t="str"/>
      <c r="G114" s="181" t="str"/>
      <c r="H114" s="181" t="str"/>
      <c r="I114" s="180" t="str"/>
      <c r="J114" s="181" t="str"/>
    </row>
    <row r="115">
      <c r="A115" s="181" t="n">
        <v>114</v>
      </c>
      <c r="B115" s="180" t="str"/>
      <c r="C115" s="181" t="str"/>
      <c r="D115" s="181" t="str"/>
      <c r="E115" s="181" t="str"/>
      <c r="F115" s="181" t="str"/>
      <c r="G115" s="181" t="str"/>
      <c r="H115" s="181" t="str"/>
      <c r="I115" s="180" t="str"/>
      <c r="J115" s="181" t="str"/>
    </row>
    <row r="116">
      <c r="A116" s="181" t="n">
        <v>115</v>
      </c>
      <c r="B116" s="180" t="str"/>
      <c r="C116" s="181" t="str"/>
      <c r="D116" s="181" t="str"/>
      <c r="E116" s="181" t="str"/>
      <c r="F116" s="181" t="str"/>
      <c r="G116" s="181" t="str"/>
      <c r="H116" s="181" t="str"/>
      <c r="I116" s="180" t="str"/>
      <c r="J116" s="181" t="str"/>
    </row>
    <row r="117">
      <c r="A117" s="181" t="n">
        <v>116</v>
      </c>
      <c r="B117" s="180" t="str"/>
      <c r="C117" s="181" t="str"/>
      <c r="D117" s="181" t="str"/>
      <c r="E117" s="181" t="str"/>
      <c r="F117" s="181" t="str"/>
      <c r="G117" s="181" t="str"/>
      <c r="H117" s="181" t="str"/>
      <c r="I117" s="180" t="str"/>
      <c r="J117" s="181" t="str"/>
    </row>
    <row r="118">
      <c r="A118" s="181" t="n">
        <v>117</v>
      </c>
      <c r="B118" s="180" t="str"/>
      <c r="C118" s="181" t="str"/>
      <c r="D118" s="181" t="str"/>
      <c r="E118" s="181" t="str"/>
      <c r="F118" s="181" t="str"/>
      <c r="G118" s="181" t="str"/>
      <c r="H118" s="181" t="str"/>
      <c r="I118" s="180" t="str"/>
      <c r="J118" s="181" t="str"/>
    </row>
    <row r="119">
      <c r="A119" s="181" t="n">
        <v>118</v>
      </c>
      <c r="B119" s="180" t="str"/>
      <c r="C119" s="181" t="str"/>
      <c r="D119" s="181" t="str"/>
      <c r="E119" s="181" t="str"/>
      <c r="F119" s="181" t="str"/>
      <c r="G119" s="181" t="str"/>
      <c r="H119" s="181" t="str"/>
      <c r="I119" s="180" t="str"/>
      <c r="J119" s="181" t="str"/>
    </row>
    <row r="120">
      <c r="A120" s="181" t="n">
        <v>119</v>
      </c>
      <c r="B120" s="180" t="str"/>
      <c r="C120" s="181" t="str"/>
      <c r="D120" s="181" t="str"/>
      <c r="E120" s="181" t="str"/>
      <c r="F120" s="181" t="str"/>
      <c r="G120" s="181" t="str"/>
      <c r="H120" s="181" t="str"/>
      <c r="I120" s="180" t="str"/>
      <c r="J120" s="181" t="str"/>
    </row>
    <row r="121">
      <c r="A121" s="181" t="n">
        <v>120</v>
      </c>
      <c r="B121" s="180" t="str"/>
      <c r="C121" s="181" t="str"/>
      <c r="D121" s="181" t="str"/>
      <c r="E121" s="181" t="str"/>
      <c r="F121" s="181" t="str"/>
      <c r="G121" s="181" t="str"/>
      <c r="H121" s="181" t="str"/>
      <c r="I121" s="180" t="str"/>
      <c r="J121" s="181" t="str"/>
    </row>
    <row r="122">
      <c r="A122" s="181" t="n">
        <v>121</v>
      </c>
      <c r="B122" s="180" t="str"/>
      <c r="C122" s="181" t="str"/>
      <c r="D122" s="181" t="str"/>
      <c r="E122" s="181" t="str"/>
      <c r="F122" s="181" t="str"/>
      <c r="G122" s="181" t="str"/>
      <c r="H122" s="181" t="str"/>
      <c r="I122" s="180" t="str"/>
      <c r="J122" s="181" t="str"/>
    </row>
    <row r="123">
      <c r="A123" s="181" t="n">
        <v>122</v>
      </c>
      <c r="B123" s="180" t="str"/>
      <c r="C123" s="181" t="str"/>
      <c r="D123" s="181" t="str"/>
      <c r="E123" s="181" t="str"/>
      <c r="F123" s="181" t="str"/>
      <c r="G123" s="181" t="str"/>
      <c r="H123" s="181" t="str"/>
      <c r="I123" s="180" t="str"/>
      <c r="J123" s="181" t="str"/>
    </row>
    <row r="124">
      <c r="A124" s="181" t="n">
        <v>123</v>
      </c>
      <c r="B124" s="180" t="str"/>
      <c r="C124" s="181" t="str"/>
      <c r="D124" s="181" t="str"/>
      <c r="E124" s="181" t="str"/>
      <c r="F124" s="181" t="str"/>
      <c r="G124" s="181" t="str"/>
      <c r="H124" s="181" t="str"/>
      <c r="I124" s="180" t="str"/>
      <c r="J124" s="181" t="str"/>
    </row>
    <row r="125">
      <c r="A125" s="181" t="n">
        <v>124</v>
      </c>
      <c r="B125" s="180" t="str"/>
      <c r="C125" s="181" t="str"/>
      <c r="D125" s="181" t="str"/>
      <c r="E125" s="181" t="str"/>
      <c r="F125" s="181" t="str"/>
      <c r="G125" s="181" t="str"/>
      <c r="H125" s="181" t="str"/>
      <c r="I125" s="180" t="str"/>
      <c r="J125" s="181" t="str"/>
    </row>
    <row r="126">
      <c r="A126" s="181" t="n">
        <v>125</v>
      </c>
      <c r="B126" s="180" t="str"/>
      <c r="C126" s="181" t="str"/>
      <c r="D126" s="181" t="str"/>
      <c r="E126" s="181" t="str"/>
      <c r="F126" s="181" t="str"/>
      <c r="G126" s="181" t="str"/>
      <c r="H126" s="181" t="str"/>
      <c r="I126" s="180" t="str"/>
      <c r="J126" s="181" t="str"/>
    </row>
    <row r="127">
      <c r="A127" s="181" t="n">
        <v>126</v>
      </c>
      <c r="B127" s="180" t="str"/>
      <c r="C127" s="181" t="str"/>
      <c r="D127" s="181" t="str"/>
      <c r="E127" s="181" t="str"/>
      <c r="F127" s="181" t="str"/>
      <c r="G127" s="181" t="str"/>
      <c r="H127" s="181" t="str"/>
      <c r="I127" s="180" t="str"/>
      <c r="J127" s="181" t="str"/>
    </row>
    <row r="128">
      <c r="A128" s="181" t="n">
        <v>127</v>
      </c>
      <c r="B128" s="180" t="str"/>
      <c r="C128" s="181" t="str"/>
      <c r="D128" s="181" t="str"/>
      <c r="E128" s="181" t="str"/>
      <c r="F128" s="181" t="str"/>
      <c r="G128" s="181" t="str"/>
      <c r="H128" s="181" t="str"/>
      <c r="I128" s="180" t="str"/>
      <c r="J128" s="181" t="str"/>
    </row>
    <row r="129">
      <c r="A129" s="181" t="n">
        <v>128</v>
      </c>
      <c r="B129" s="180" t="str"/>
      <c r="C129" s="181" t="str"/>
      <c r="D129" s="181" t="str"/>
      <c r="E129" s="181" t="str"/>
      <c r="F129" s="181" t="str"/>
      <c r="G129" s="181" t="str"/>
      <c r="H129" s="181" t="str"/>
      <c r="I129" s="180" t="str"/>
      <c r="J129" s="181" t="str"/>
    </row>
    <row r="130">
      <c r="A130" s="181" t="n">
        <v>129</v>
      </c>
      <c r="B130" s="180" t="str"/>
      <c r="C130" s="181" t="str"/>
      <c r="D130" s="181" t="str"/>
      <c r="E130" s="181" t="str"/>
      <c r="F130" s="181" t="str"/>
      <c r="G130" s="181" t="str"/>
      <c r="H130" s="181" t="str"/>
      <c r="I130" s="180" t="str"/>
      <c r="J130" s="181" t="str"/>
    </row>
    <row r="131">
      <c r="A131" s="181" t="n">
        <v>130</v>
      </c>
      <c r="B131" s="180" t="str"/>
      <c r="C131" s="181" t="str"/>
      <c r="D131" s="181" t="str"/>
      <c r="E131" s="181" t="str"/>
      <c r="F131" s="181" t="str"/>
      <c r="G131" s="181" t="str"/>
      <c r="H131" s="181" t="str"/>
      <c r="I131" s="180" t="str"/>
      <c r="J131" s="181" t="str"/>
    </row>
    <row r="132">
      <c r="A132" s="181" t="n">
        <v>131</v>
      </c>
      <c r="B132" s="180" t="str"/>
      <c r="C132" s="181" t="str"/>
      <c r="D132" s="181" t="str"/>
      <c r="E132" s="181" t="str"/>
      <c r="F132" s="181" t="str"/>
      <c r="G132" s="181" t="str"/>
      <c r="H132" s="181" t="str"/>
      <c r="I132" s="180" t="str"/>
      <c r="J132" s="181" t="str"/>
    </row>
    <row r="133">
      <c r="A133" s="181" t="n">
        <v>132</v>
      </c>
      <c r="B133" s="180" t="str"/>
      <c r="C133" s="181" t="str"/>
      <c r="D133" s="181" t="str"/>
      <c r="E133" s="181" t="str"/>
      <c r="F133" s="181" t="str"/>
      <c r="G133" s="181" t="str"/>
      <c r="H133" s="181" t="str"/>
      <c r="I133" s="180" t="str"/>
      <c r="J133" s="181" t="str"/>
    </row>
    <row r="134">
      <c r="A134" s="181" t="n">
        <v>133</v>
      </c>
      <c r="B134" s="180" t="str"/>
      <c r="C134" s="181" t="str"/>
      <c r="D134" s="181" t="str"/>
      <c r="E134" s="181" t="str"/>
      <c r="F134" s="181" t="str"/>
      <c r="G134" s="181" t="str"/>
      <c r="H134" s="181" t="str"/>
      <c r="I134" s="180" t="str"/>
      <c r="J134" s="181" t="str"/>
    </row>
    <row r="135">
      <c r="A135" s="181" t="n">
        <v>134</v>
      </c>
      <c r="B135" s="180" t="str"/>
      <c r="C135" s="181" t="str"/>
      <c r="D135" s="181" t="str"/>
      <c r="E135" s="181" t="str"/>
      <c r="F135" s="181" t="str"/>
      <c r="G135" s="181" t="str"/>
      <c r="H135" s="181" t="str"/>
      <c r="I135" s="180" t="str"/>
      <c r="J135" s="181" t="str"/>
    </row>
    <row r="136">
      <c r="A136" s="181" t="n">
        <v>135</v>
      </c>
      <c r="B136" s="180" t="str"/>
      <c r="C136" s="181" t="str"/>
      <c r="D136" s="181" t="str"/>
      <c r="E136" s="181" t="str"/>
      <c r="F136" s="181" t="str"/>
      <c r="G136" s="181" t="str"/>
      <c r="H136" s="181" t="str"/>
      <c r="I136" s="180" t="str"/>
      <c r="J136" s="181" t="str"/>
    </row>
    <row r="137">
      <c r="A137" s="181" t="n">
        <v>136</v>
      </c>
      <c r="B137" s="180" t="str"/>
      <c r="C137" s="181" t="str"/>
      <c r="D137" s="181" t="str"/>
      <c r="E137" s="181" t="str"/>
      <c r="F137" s="181" t="str"/>
      <c r="G137" s="181" t="str"/>
      <c r="H137" s="181" t="str"/>
      <c r="I137" s="180" t="str"/>
      <c r="J137" s="181" t="str"/>
    </row>
    <row r="138">
      <c r="A138" s="181" t="n">
        <v>137</v>
      </c>
      <c r="B138" s="180" t="str"/>
      <c r="C138" s="181" t="str"/>
      <c r="D138" s="181" t="str"/>
      <c r="E138" s="181" t="str"/>
      <c r="F138" s="181" t="str"/>
      <c r="G138" s="181" t="str"/>
      <c r="H138" s="181" t="str"/>
      <c r="I138" s="180" t="str"/>
      <c r="J138" s="181" t="str"/>
    </row>
    <row r="139">
      <c r="A139" s="181" t="n">
        <v>138</v>
      </c>
      <c r="B139" s="180" t="str"/>
      <c r="C139" s="181" t="str"/>
      <c r="D139" s="181" t="str"/>
      <c r="E139" s="181" t="str"/>
      <c r="F139" s="181" t="str"/>
      <c r="G139" s="181" t="str"/>
      <c r="H139" s="181" t="str"/>
      <c r="I139" s="180" t="str"/>
      <c r="J139" s="181" t="str"/>
    </row>
    <row r="140">
      <c r="A140" s="181" t="n">
        <v>139</v>
      </c>
      <c r="B140" s="180" t="str"/>
      <c r="C140" s="181" t="str"/>
      <c r="D140" s="181" t="str"/>
      <c r="E140" s="181" t="str"/>
      <c r="F140" s="181" t="str"/>
      <c r="G140" s="181" t="str"/>
      <c r="H140" s="181" t="str"/>
      <c r="I140" s="180" t="str"/>
      <c r="J140" s="181" t="str"/>
    </row>
    <row r="141">
      <c r="A141" s="181" t="n">
        <v>140</v>
      </c>
      <c r="B141" s="180" t="str"/>
      <c r="C141" s="181" t="str"/>
      <c r="D141" s="181" t="str"/>
      <c r="E141" s="181" t="str"/>
      <c r="F141" s="181" t="str"/>
      <c r="G141" s="181" t="str"/>
      <c r="H141" s="181" t="str"/>
      <c r="I141" s="180" t="str"/>
      <c r="J141" s="181" t="str"/>
    </row>
    <row r="142">
      <c r="A142" s="181" t="n">
        <v>141</v>
      </c>
      <c r="B142" s="180" t="str"/>
      <c r="C142" s="181" t="str"/>
      <c r="D142" s="181" t="str"/>
      <c r="E142" s="181" t="str"/>
      <c r="F142" s="181" t="str"/>
      <c r="G142" s="181" t="str"/>
      <c r="H142" s="181" t="str"/>
      <c r="I142" s="180" t="str"/>
      <c r="J142" s="181" t="str"/>
    </row>
    <row r="143">
      <c r="A143" s="181" t="n">
        <v>142</v>
      </c>
      <c r="B143" s="180" t="str"/>
      <c r="C143" s="181" t="str"/>
      <c r="D143" s="181" t="str"/>
      <c r="E143" s="181" t="str"/>
      <c r="F143" s="181" t="str"/>
      <c r="G143" s="181" t="str"/>
      <c r="H143" s="181" t="str"/>
      <c r="I143" s="180" t="str"/>
      <c r="J143" s="181" t="str"/>
    </row>
    <row r="144">
      <c r="A144" s="181" t="n">
        <v>143</v>
      </c>
      <c r="B144" s="180" t="str"/>
      <c r="C144" s="181" t="str"/>
      <c r="D144" s="181" t="str"/>
      <c r="E144" s="181" t="str"/>
      <c r="F144" s="181" t="str"/>
      <c r="G144" s="181" t="str"/>
      <c r="H144" s="181" t="str"/>
      <c r="I144" s="180" t="str"/>
      <c r="J144" s="181" t="str"/>
    </row>
    <row r="145">
      <c r="A145" s="181" t="n">
        <v>144</v>
      </c>
      <c r="B145" s="180" t="str"/>
      <c r="C145" s="181" t="str"/>
      <c r="D145" s="181" t="str"/>
      <c r="E145" s="181" t="str"/>
      <c r="F145" s="181" t="str"/>
      <c r="G145" s="181" t="str"/>
      <c r="H145" s="181" t="str"/>
      <c r="I145" s="180" t="str"/>
      <c r="J145" s="181" t="str"/>
    </row>
    <row r="146">
      <c r="A146" s="181" t="n">
        <v>145</v>
      </c>
      <c r="B146" s="180" t="str"/>
      <c r="C146" s="181" t="str"/>
      <c r="D146" s="181" t="str"/>
      <c r="E146" s="181" t="str"/>
      <c r="F146" s="181" t="str"/>
      <c r="G146" s="181" t="str"/>
      <c r="H146" s="181" t="str"/>
      <c r="I146" s="180" t="str"/>
      <c r="J146" s="181" t="str"/>
    </row>
    <row r="147">
      <c r="A147" s="181" t="n">
        <v>146</v>
      </c>
      <c r="B147" s="180" t="str"/>
      <c r="C147" s="181" t="str"/>
      <c r="D147" s="181" t="str"/>
      <c r="E147" s="181" t="str"/>
      <c r="F147" s="181" t="str"/>
      <c r="G147" s="181" t="str"/>
      <c r="H147" s="181" t="str"/>
      <c r="I147" s="180" t="str"/>
      <c r="J147" s="181" t="str"/>
    </row>
    <row r="148">
      <c r="A148" s="181" t="n">
        <v>147</v>
      </c>
      <c r="B148" s="180" t="str"/>
      <c r="C148" s="181" t="str"/>
      <c r="D148" s="181" t="str"/>
      <c r="E148" s="181" t="str"/>
      <c r="F148" s="181" t="str"/>
      <c r="G148" s="181" t="str"/>
      <c r="H148" s="181" t="str"/>
      <c r="I148" s="180" t="str"/>
      <c r="J148" s="181" t="str"/>
    </row>
    <row r="149">
      <c r="A149" s="181" t="n">
        <v>148</v>
      </c>
      <c r="B149" s="180" t="str"/>
      <c r="C149" s="181" t="str"/>
      <c r="D149" s="181" t="str"/>
      <c r="E149" s="181" t="str"/>
      <c r="F149" s="181" t="str"/>
      <c r="G149" s="181" t="str"/>
      <c r="H149" s="181" t="str"/>
      <c r="I149" s="180" t="str"/>
      <c r="J149" s="181" t="str"/>
    </row>
    <row r="150">
      <c r="A150" s="181" t="n">
        <v>149</v>
      </c>
      <c r="B150" s="180" t="str"/>
      <c r="C150" s="181" t="str"/>
      <c r="D150" s="181" t="str"/>
      <c r="E150" s="181" t="str"/>
      <c r="F150" s="181" t="str"/>
      <c r="G150" s="181" t="str"/>
      <c r="H150" s="181" t="str"/>
      <c r="I150" s="180" t="str"/>
      <c r="J150" s="181" t="str"/>
    </row>
    <row r="151">
      <c r="A151" s="181" t="n">
        <v>150</v>
      </c>
      <c r="B151" s="180" t="str"/>
      <c r="C151" s="181" t="str"/>
      <c r="D151" s="181" t="str"/>
      <c r="E151" s="181" t="str"/>
      <c r="F151" s="181" t="str"/>
      <c r="G151" s="181" t="str"/>
      <c r="H151" s="181" t="str"/>
      <c r="I151" s="180" t="str"/>
      <c r="J151" s="181" t="str"/>
    </row>
    <row r="152">
      <c r="A152" s="181" t="n">
        <v>151</v>
      </c>
      <c r="B152" s="180" t="str"/>
      <c r="C152" s="181" t="str"/>
      <c r="D152" s="181" t="str"/>
      <c r="E152" s="181" t="str"/>
      <c r="F152" s="181" t="str"/>
      <c r="G152" s="181" t="str"/>
      <c r="H152" s="181" t="str"/>
      <c r="I152" s="180" t="str"/>
      <c r="J152" s="181" t="str"/>
    </row>
    <row r="153">
      <c r="A153" s="181" t="n">
        <v>152</v>
      </c>
      <c r="B153" s="180" t="str"/>
      <c r="C153" s="181" t="str"/>
      <c r="D153" s="181" t="str"/>
      <c r="E153" s="181" t="str"/>
      <c r="F153" s="181" t="str"/>
      <c r="G153" s="181" t="str"/>
      <c r="H153" s="181" t="str"/>
      <c r="I153" s="180" t="str"/>
      <c r="J153" s="181" t="str"/>
    </row>
    <row r="154">
      <c r="A154" s="181" t="n">
        <v>153</v>
      </c>
      <c r="B154" s="180" t="str"/>
      <c r="C154" s="181" t="str"/>
      <c r="D154" s="181" t="str"/>
      <c r="E154" s="181" t="str"/>
      <c r="F154" s="181" t="str"/>
      <c r="G154" s="181" t="str"/>
      <c r="H154" s="181" t="str"/>
      <c r="I154" s="180" t="str"/>
      <c r="J154" s="181" t="str"/>
    </row>
    <row r="155">
      <c r="A155" s="181" t="n">
        <v>154</v>
      </c>
      <c r="B155" s="180" t="str"/>
      <c r="C155" s="181" t="str"/>
      <c r="D155" s="181" t="str"/>
      <c r="E155" s="181" t="str"/>
      <c r="F155" s="181" t="str"/>
      <c r="G155" s="181" t="str"/>
      <c r="H155" s="181" t="str"/>
      <c r="I155" s="180" t="str"/>
      <c r="J155" s="181" t="str"/>
    </row>
    <row r="156">
      <c r="A156" s="181" t="n">
        <v>155</v>
      </c>
      <c r="B156" s="180" t="str"/>
      <c r="C156" s="181" t="str"/>
      <c r="D156" s="181" t="str"/>
      <c r="E156" s="181" t="str"/>
      <c r="F156" s="181" t="str"/>
      <c r="G156" s="181" t="str"/>
      <c r="H156" s="181" t="str"/>
      <c r="I156" s="180" t="str"/>
      <c r="J156" s="181" t="str"/>
    </row>
    <row r="157">
      <c r="A157" s="181" t="n">
        <v>156</v>
      </c>
      <c r="B157" s="180" t="str"/>
      <c r="C157" s="181" t="str"/>
      <c r="D157" s="181" t="str"/>
      <c r="E157" s="181" t="str"/>
      <c r="F157" s="181" t="str"/>
      <c r="G157" s="181" t="str"/>
      <c r="H157" s="181" t="str"/>
      <c r="I157" s="180" t="str"/>
      <c r="J157" s="181" t="str"/>
    </row>
    <row r="158">
      <c r="A158" s="181" t="n">
        <v>157</v>
      </c>
      <c r="B158" s="180" t="str"/>
      <c r="C158" s="181" t="str"/>
      <c r="D158" s="181" t="str"/>
      <c r="E158" s="181" t="str"/>
      <c r="F158" s="181" t="str"/>
      <c r="G158" s="181" t="str"/>
      <c r="H158" s="181" t="str"/>
      <c r="I158" s="180" t="str"/>
      <c r="J158" s="181" t="str"/>
    </row>
    <row r="159">
      <c r="A159" s="181" t="n">
        <v>158</v>
      </c>
      <c r="B159" s="180" t="str"/>
      <c r="C159" s="181" t="str"/>
      <c r="D159" s="181" t="str"/>
      <c r="E159" s="181" t="str"/>
      <c r="F159" s="181" t="str"/>
      <c r="G159" s="181" t="str"/>
      <c r="H159" s="181" t="str"/>
      <c r="I159" s="180" t="str"/>
      <c r="J159" s="181" t="str"/>
    </row>
    <row r="160">
      <c r="A160" s="181" t="n">
        <v>159</v>
      </c>
      <c r="B160" s="180" t="str"/>
      <c r="C160" s="181" t="str"/>
      <c r="D160" s="181" t="str"/>
      <c r="E160" s="181" t="str"/>
      <c r="F160" s="181" t="str"/>
      <c r="G160" s="181" t="str"/>
      <c r="H160" s="181" t="str"/>
      <c r="I160" s="180" t="str"/>
      <c r="J160" s="181" t="str"/>
    </row>
    <row r="161">
      <c r="A161" s="181" t="n">
        <v>160</v>
      </c>
      <c r="B161" s="180" t="str"/>
      <c r="C161" s="181" t="str"/>
      <c r="D161" s="181" t="str"/>
      <c r="E161" s="181" t="str"/>
      <c r="F161" s="181" t="str"/>
      <c r="G161" s="181" t="str"/>
      <c r="H161" s="181" t="str"/>
      <c r="I161" s="180" t="str"/>
      <c r="J161" s="181" t="str"/>
    </row>
    <row r="162">
      <c r="A162" s="181" t="n">
        <v>161</v>
      </c>
      <c r="B162" s="180" t="str"/>
      <c r="C162" s="181" t="str"/>
      <c r="D162" s="181" t="str"/>
      <c r="E162" s="181" t="str"/>
      <c r="F162" s="181" t="str"/>
      <c r="G162" s="181" t="str"/>
      <c r="H162" s="181" t="str"/>
      <c r="I162" s="180" t="str"/>
      <c r="J162" s="181" t="str"/>
    </row>
    <row r="163">
      <c r="A163" s="181" t="n">
        <v>162</v>
      </c>
      <c r="B163" s="180" t="str"/>
      <c r="C163" s="181" t="str"/>
      <c r="D163" s="181" t="str"/>
      <c r="E163" s="181" t="str"/>
      <c r="F163" s="181" t="str"/>
      <c r="G163" s="181" t="str"/>
      <c r="H163" s="181" t="str"/>
      <c r="I163" s="180" t="str"/>
      <c r="J163" s="181" t="str"/>
    </row>
    <row r="164">
      <c r="A164" s="181" t="n">
        <v>163</v>
      </c>
      <c r="B164" s="180" t="str"/>
      <c r="C164" s="181" t="str"/>
      <c r="D164" s="181" t="str"/>
      <c r="E164" s="181" t="str"/>
      <c r="F164" s="181" t="str"/>
      <c r="G164" s="181" t="str"/>
      <c r="H164" s="181" t="str"/>
      <c r="I164" s="180" t="str"/>
      <c r="J164" s="181" t="str"/>
    </row>
    <row r="165">
      <c r="A165" s="181" t="n">
        <v>164</v>
      </c>
      <c r="B165" s="180" t="str"/>
      <c r="C165" s="181" t="str"/>
      <c r="D165" s="181" t="str"/>
      <c r="E165" s="181" t="str"/>
      <c r="F165" s="181" t="str"/>
      <c r="G165" s="181" t="str"/>
      <c r="H165" s="181" t="str"/>
      <c r="I165" s="180" t="str"/>
      <c r="J165" s="181" t="str"/>
    </row>
    <row r="166">
      <c r="A166" s="181" t="n">
        <v>165</v>
      </c>
      <c r="B166" s="180" t="str"/>
      <c r="C166" s="181" t="str"/>
      <c r="D166" s="181" t="str"/>
      <c r="E166" s="181" t="str"/>
      <c r="F166" s="181" t="str"/>
      <c r="G166" s="181" t="str"/>
      <c r="H166" s="181" t="str"/>
      <c r="I166" s="180" t="str"/>
      <c r="J166" s="181" t="str"/>
    </row>
    <row r="167">
      <c r="A167" s="181" t="n">
        <v>166</v>
      </c>
      <c r="B167" s="180" t="str"/>
      <c r="C167" s="181" t="str"/>
      <c r="D167" s="181" t="str"/>
      <c r="E167" s="181" t="str"/>
      <c r="F167" s="181" t="str"/>
      <c r="G167" s="181" t="str"/>
      <c r="H167" s="181" t="str"/>
      <c r="I167" s="180" t="str"/>
      <c r="J167" s="181" t="str"/>
    </row>
    <row r="168">
      <c r="A168" s="181" t="n">
        <v>167</v>
      </c>
      <c r="B168" s="180" t="str"/>
      <c r="C168" s="181" t="str"/>
      <c r="D168" s="181" t="str"/>
      <c r="E168" s="181" t="str"/>
      <c r="F168" s="181" t="str"/>
      <c r="G168" s="181" t="str"/>
      <c r="H168" s="181" t="str"/>
      <c r="I168" s="180" t="str"/>
      <c r="J168" s="181" t="str"/>
    </row>
    <row r="169">
      <c r="A169" s="181" t="n">
        <v>168</v>
      </c>
      <c r="B169" s="180" t="str"/>
      <c r="C169" s="181" t="str"/>
      <c r="D169" s="181" t="str"/>
      <c r="E169" s="181" t="str"/>
      <c r="F169" s="181" t="str"/>
      <c r="G169" s="181" t="str"/>
      <c r="H169" s="181" t="str"/>
      <c r="I169" s="180" t="str"/>
      <c r="J169" s="181" t="str"/>
    </row>
    <row r="170">
      <c r="A170" s="181" t="n">
        <v>169</v>
      </c>
      <c r="B170" s="180" t="str"/>
      <c r="C170" s="181" t="str"/>
      <c r="D170" s="181" t="str"/>
      <c r="E170" s="181" t="str"/>
      <c r="F170" s="181" t="str"/>
      <c r="G170" s="181" t="str"/>
      <c r="H170" s="181" t="str"/>
      <c r="I170" s="180" t="str"/>
      <c r="J170" s="181" t="str"/>
    </row>
    <row r="171">
      <c r="A171" s="181" t="n">
        <v>170</v>
      </c>
      <c r="B171" s="180" t="str"/>
      <c r="C171" s="181" t="str"/>
      <c r="D171" s="181" t="str"/>
      <c r="E171" s="181" t="str"/>
      <c r="F171" s="181" t="str"/>
      <c r="G171" s="181" t="str"/>
      <c r="H171" s="181" t="str"/>
      <c r="I171" s="180" t="str"/>
      <c r="J171" s="181" t="str"/>
    </row>
    <row r="172">
      <c r="A172" s="181" t="n">
        <v>171</v>
      </c>
      <c r="B172" s="180" t="str"/>
      <c r="C172" s="181" t="str"/>
      <c r="D172" s="181" t="str"/>
      <c r="E172" s="181" t="str"/>
      <c r="F172" s="181" t="str"/>
      <c r="G172" s="181" t="str"/>
      <c r="H172" s="181" t="str"/>
      <c r="I172" s="180" t="str"/>
      <c r="J172" s="181" t="str"/>
    </row>
    <row r="173">
      <c r="A173" s="181" t="n">
        <v>172</v>
      </c>
      <c r="B173" s="180" t="str"/>
      <c r="C173" s="181" t="str"/>
      <c r="D173" s="181" t="str"/>
      <c r="E173" s="181" t="str"/>
      <c r="F173" s="181" t="str"/>
      <c r="G173" s="181" t="str"/>
      <c r="H173" s="181" t="str"/>
      <c r="I173" s="180" t="str"/>
      <c r="J173" s="181" t="str"/>
    </row>
    <row r="174">
      <c r="A174" s="181" t="n">
        <v>173</v>
      </c>
      <c r="B174" s="180" t="str"/>
      <c r="C174" s="181" t="str"/>
      <c r="D174" s="181" t="str"/>
      <c r="E174" s="181" t="str"/>
      <c r="F174" s="181" t="str"/>
      <c r="G174" s="181" t="str"/>
      <c r="H174" s="181" t="str"/>
      <c r="I174" s="180" t="str"/>
      <c r="J174" s="181" t="str"/>
    </row>
    <row r="175">
      <c r="A175" s="181" t="n">
        <v>174</v>
      </c>
      <c r="B175" s="180" t="str"/>
      <c r="C175" s="181" t="str"/>
      <c r="D175" s="181" t="str"/>
      <c r="E175" s="181" t="str"/>
      <c r="F175" s="181" t="str"/>
      <c r="G175" s="181" t="str"/>
      <c r="H175" s="181" t="str"/>
      <c r="I175" s="180" t="str"/>
      <c r="J175" s="181" t="str"/>
    </row>
    <row r="176">
      <c r="A176" s="181" t="n">
        <v>175</v>
      </c>
      <c r="B176" s="180" t="str"/>
      <c r="C176" s="181" t="str"/>
      <c r="D176" s="181" t="str"/>
      <c r="E176" s="181" t="str"/>
      <c r="F176" s="181" t="str"/>
      <c r="G176" s="181" t="str"/>
      <c r="H176" s="181" t="str"/>
      <c r="I176" s="180" t="str"/>
      <c r="J176" s="181" t="str"/>
    </row>
    <row r="177">
      <c r="A177" s="181" t="n">
        <v>176</v>
      </c>
      <c r="B177" s="180" t="str"/>
      <c r="C177" s="181" t="str"/>
      <c r="D177" s="181" t="str"/>
      <c r="E177" s="181" t="str"/>
      <c r="F177" s="181" t="str"/>
      <c r="G177" s="181" t="str"/>
      <c r="H177" s="181" t="str"/>
      <c r="I177" s="180" t="str"/>
      <c r="J177" s="181" t="str"/>
    </row>
    <row r="178">
      <c r="A178" s="181" t="n">
        <v>177</v>
      </c>
      <c r="B178" s="180" t="str"/>
      <c r="C178" s="181" t="str"/>
      <c r="D178" s="181" t="str"/>
      <c r="E178" s="181" t="str"/>
      <c r="F178" s="181" t="str"/>
      <c r="G178" s="181" t="str"/>
      <c r="H178" s="181" t="str"/>
      <c r="I178" s="180" t="str"/>
      <c r="J178" s="181" t="str"/>
    </row>
    <row r="179">
      <c r="A179" s="181" t="n">
        <v>178</v>
      </c>
      <c r="B179" s="180" t="str"/>
      <c r="C179" s="181" t="str"/>
      <c r="D179" s="181" t="str"/>
      <c r="E179" s="181" t="str"/>
      <c r="F179" s="181" t="str"/>
      <c r="G179" s="181" t="str"/>
      <c r="H179" s="181" t="str"/>
      <c r="I179" s="180" t="str"/>
      <c r="J179" s="181" t="str"/>
    </row>
    <row r="180">
      <c r="A180" s="181" t="n">
        <v>179</v>
      </c>
      <c r="B180" s="180" t="str"/>
      <c r="C180" s="181" t="str"/>
      <c r="D180" s="181" t="str"/>
      <c r="E180" s="181" t="str"/>
      <c r="F180" s="181" t="str"/>
      <c r="G180" s="181" t="str"/>
      <c r="H180" s="181" t="str"/>
      <c r="I180" s="180" t="str"/>
      <c r="J180" s="181" t="str"/>
    </row>
    <row r="181">
      <c r="A181" s="181" t="n">
        <v>180</v>
      </c>
      <c r="B181" s="180" t="str"/>
      <c r="C181" s="181" t="str"/>
      <c r="D181" s="181" t="str"/>
      <c r="E181" s="181" t="str"/>
      <c r="F181" s="181" t="str"/>
      <c r="G181" s="181" t="str"/>
      <c r="H181" s="181" t="str"/>
      <c r="I181" s="180" t="str"/>
      <c r="J181" s="181" t="str"/>
    </row>
    <row r="182">
      <c r="A182" s="181" t="n">
        <v>181</v>
      </c>
      <c r="B182" s="180" t="str"/>
      <c r="C182" s="181" t="str"/>
      <c r="D182" s="181" t="str"/>
      <c r="E182" s="181" t="str"/>
      <c r="F182" s="181" t="str"/>
      <c r="G182" s="181" t="str"/>
      <c r="H182" s="181" t="str"/>
      <c r="I182" s="180" t="str"/>
      <c r="J182" s="181" t="str"/>
    </row>
    <row r="183">
      <c r="A183" s="181" t="n">
        <v>182</v>
      </c>
      <c r="B183" s="180" t="str"/>
      <c r="C183" s="181" t="str"/>
      <c r="D183" s="181" t="str"/>
      <c r="E183" s="181" t="str"/>
      <c r="F183" s="181" t="str"/>
      <c r="G183" s="181" t="str"/>
      <c r="H183" s="181" t="str"/>
      <c r="I183" s="180" t="str"/>
      <c r="J183" s="181" t="str"/>
    </row>
    <row r="184">
      <c r="A184" s="181" t="n">
        <v>183</v>
      </c>
      <c r="B184" s="180" t="str"/>
      <c r="C184" s="181" t="str"/>
      <c r="D184" s="181" t="str"/>
      <c r="E184" s="181" t="str"/>
      <c r="F184" s="181" t="str"/>
      <c r="G184" s="181" t="str"/>
      <c r="H184" s="181" t="str"/>
      <c r="I184" s="180" t="str"/>
      <c r="J184" s="181" t="str"/>
    </row>
    <row r="185">
      <c r="A185" s="181" t="n">
        <v>184</v>
      </c>
      <c r="B185" s="180" t="str"/>
      <c r="C185" s="181" t="str"/>
      <c r="D185" s="181" t="str"/>
      <c r="E185" s="181" t="str"/>
      <c r="F185" s="181" t="str"/>
      <c r="G185" s="181" t="str"/>
      <c r="H185" s="181" t="str"/>
      <c r="I185" s="180" t="str"/>
      <c r="J185" s="181" t="str"/>
    </row>
    <row r="186">
      <c r="A186" s="181" t="n">
        <v>185</v>
      </c>
      <c r="B186" s="180" t="str"/>
      <c r="C186" s="181" t="str"/>
      <c r="D186" s="181" t="str"/>
      <c r="E186" s="181" t="str"/>
      <c r="F186" s="181" t="str"/>
      <c r="G186" s="181" t="str"/>
      <c r="H186" s="181" t="str"/>
      <c r="I186" s="180" t="str"/>
      <c r="J186" s="181" t="str"/>
    </row>
    <row r="187">
      <c r="A187" s="181" t="n">
        <v>186</v>
      </c>
      <c r="B187" s="180" t="str"/>
      <c r="C187" s="181" t="str"/>
      <c r="D187" s="181" t="str"/>
      <c r="E187" s="181" t="str"/>
      <c r="F187" s="181" t="str"/>
      <c r="G187" s="181" t="str"/>
      <c r="H187" s="181" t="str"/>
      <c r="I187" s="180" t="str"/>
      <c r="J187" s="181" t="str"/>
    </row>
    <row r="188">
      <c r="A188" s="181" t="n">
        <v>187</v>
      </c>
      <c r="B188" s="180" t="str"/>
      <c r="C188" s="181" t="str"/>
      <c r="D188" s="181" t="str"/>
      <c r="E188" s="181" t="str"/>
      <c r="F188" s="181" t="str"/>
      <c r="G188" s="181" t="str"/>
      <c r="H188" s="181" t="str"/>
      <c r="I188" s="180" t="str"/>
      <c r="J188" s="181" t="str"/>
    </row>
    <row r="189">
      <c r="A189" s="181" t="n">
        <v>188</v>
      </c>
      <c r="B189" s="180" t="str"/>
      <c r="C189" s="181" t="str"/>
      <c r="D189" s="181" t="str"/>
      <c r="E189" s="181" t="str"/>
      <c r="F189" s="181" t="str"/>
      <c r="G189" s="181" t="str"/>
      <c r="H189" s="181" t="str"/>
      <c r="I189" s="180" t="str"/>
      <c r="J189" s="181" t="str"/>
    </row>
    <row r="190">
      <c r="A190" s="181" t="n">
        <v>189</v>
      </c>
      <c r="B190" s="180" t="str"/>
      <c r="C190" s="181" t="str"/>
      <c r="D190" s="181" t="str"/>
      <c r="E190" s="181" t="str"/>
      <c r="F190" s="181" t="str"/>
      <c r="G190" s="181" t="str"/>
      <c r="H190" s="181" t="str"/>
      <c r="I190" s="180" t="str"/>
      <c r="J190" s="181" t="str"/>
    </row>
    <row r="191">
      <c r="A191" s="181" t="n">
        <v>190</v>
      </c>
      <c r="B191" s="180" t="str"/>
      <c r="C191" s="181" t="str"/>
      <c r="D191" s="181" t="str"/>
      <c r="E191" s="181" t="str"/>
      <c r="F191" s="181" t="str"/>
      <c r="G191" s="181" t="str"/>
      <c r="H191" s="181" t="str"/>
      <c r="I191" s="180" t="str"/>
      <c r="J191" s="181" t="str"/>
    </row>
    <row r="192">
      <c r="A192" s="181" t="n">
        <v>191</v>
      </c>
      <c r="B192" s="180" t="str"/>
      <c r="C192" s="181" t="str"/>
      <c r="D192" s="181" t="str"/>
      <c r="E192" s="181" t="str"/>
      <c r="F192" s="181" t="str"/>
      <c r="G192" s="181" t="str"/>
      <c r="H192" s="181" t="str"/>
      <c r="I192" s="180" t="str"/>
      <c r="J192" s="181" t="str"/>
    </row>
    <row r="193">
      <c r="A193" s="181" t="n">
        <v>192</v>
      </c>
      <c r="B193" s="180" t="str"/>
      <c r="C193" s="181" t="str"/>
      <c r="D193" s="181" t="str"/>
      <c r="E193" s="181" t="str"/>
      <c r="F193" s="181" t="str"/>
      <c r="G193" s="181" t="str"/>
      <c r="H193" s="181" t="str"/>
      <c r="I193" s="180" t="str"/>
      <c r="J193" s="181" t="str"/>
    </row>
    <row r="194">
      <c r="A194" s="181" t="n">
        <v>193</v>
      </c>
      <c r="B194" s="180" t="str"/>
      <c r="C194" s="181" t="str"/>
      <c r="D194" s="181" t="str"/>
      <c r="E194" s="181" t="str"/>
      <c r="F194" s="181" t="str"/>
      <c r="G194" s="181" t="str"/>
      <c r="H194" s="181" t="str"/>
      <c r="I194" s="180" t="str"/>
      <c r="J194" s="181" t="str"/>
    </row>
    <row r="195">
      <c r="A195" s="181" t="n">
        <v>194</v>
      </c>
      <c r="B195" s="180" t="str"/>
      <c r="C195" s="181" t="str"/>
      <c r="D195" s="181" t="str"/>
      <c r="E195" s="181" t="str"/>
      <c r="F195" s="181" t="str"/>
      <c r="G195" s="181" t="str"/>
      <c r="H195" s="181" t="str"/>
      <c r="I195" s="180" t="str"/>
      <c r="J195" s="181" t="str"/>
    </row>
    <row r="196">
      <c r="A196" s="181" t="n">
        <v>195</v>
      </c>
      <c r="B196" s="180" t="str"/>
      <c r="C196" s="181" t="str"/>
      <c r="D196" s="181" t="str"/>
      <c r="E196" s="181" t="str"/>
      <c r="F196" s="181" t="str"/>
      <c r="G196" s="181" t="str"/>
      <c r="H196" s="181" t="str"/>
      <c r="I196" s="180" t="str"/>
      <c r="J196" s="181" t="str"/>
    </row>
    <row r="197">
      <c r="A197" s="181" t="n">
        <v>196</v>
      </c>
      <c r="B197" s="180" t="str"/>
      <c r="C197" s="181" t="str"/>
      <c r="D197" s="181" t="str"/>
      <c r="E197" s="181" t="str"/>
      <c r="F197" s="181" t="str"/>
      <c r="G197" s="181" t="str"/>
      <c r="H197" s="181" t="str"/>
      <c r="I197" s="180" t="str"/>
      <c r="J197" s="181" t="str"/>
    </row>
    <row r="198">
      <c r="A198" s="181" t="n">
        <v>197</v>
      </c>
      <c r="B198" s="180" t="str"/>
      <c r="C198" s="181" t="str"/>
      <c r="D198" s="181" t="str"/>
      <c r="E198" s="181" t="str"/>
      <c r="F198" s="181" t="str"/>
      <c r="G198" s="181" t="str"/>
      <c r="H198" s="181" t="str"/>
      <c r="I198" s="180" t="str"/>
      <c r="J198" s="181" t="str"/>
    </row>
    <row r="199">
      <c r="A199" s="181" t="n">
        <v>198</v>
      </c>
      <c r="B199" s="180" t="str"/>
      <c r="C199" s="181" t="str"/>
      <c r="D199" s="181" t="str"/>
      <c r="E199" s="181" t="str"/>
      <c r="F199" s="181" t="str"/>
      <c r="G199" s="181" t="str"/>
      <c r="H199" s="181" t="str"/>
      <c r="I199" s="180" t="str"/>
      <c r="J199" s="181" t="str"/>
    </row>
    <row r="200">
      <c r="A200" s="181" t="n">
        <v>199</v>
      </c>
      <c r="B200" s="180" t="str"/>
      <c r="C200" s="181" t="str"/>
      <c r="D200" s="181" t="str"/>
      <c r="E200" s="181" t="str"/>
      <c r="F200" s="181" t="str"/>
      <c r="G200" s="181" t="str"/>
      <c r="H200" s="181" t="str"/>
      <c r="I200" s="180" t="str"/>
      <c r="J200" s="181" t="str"/>
    </row>
    <row r="201">
      <c r="A201" s="181" t="n">
        <v>200</v>
      </c>
      <c r="B201" s="180" t="str"/>
      <c r="C201" s="181" t="str"/>
      <c r="D201" s="181" t="str"/>
      <c r="E201" s="181" t="str"/>
      <c r="F201" s="181" t="str"/>
      <c r="G201" s="181" t="str"/>
      <c r="H201" s="181" t="str"/>
      <c r="I201" s="180" t="str"/>
      <c r="J201" s="181" t="str"/>
    </row>
  </sheetData>
  <dataValidations count="2">
    <dataValidation sqref="C2:C201" showDropDown="0" showInputMessage="0" showErrorMessage="0" allowBlank="0" type="list">
      <formula1>'Herb Monographs'!$B$2:$B$18</formula1>
    </dataValidation>
    <dataValidation sqref="G2:H201" showDropDown="0" showInputMessage="0" showErrorMessage="0" allowBlank="0" type="list">
      <formula1>"Research,Editorial,QA,Medical,Founder"</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8" customWidth="1" style="76" min="1" max="1"/>
    <col width="18" customWidth="1" style="76" min="2" max="2"/>
    <col width="14" customWidth="1" style="76" min="3" max="3"/>
    <col width="18" customWidth="1" style="76" min="4" max="4"/>
    <col width="14" customWidth="1" style="76" min="5" max="5"/>
    <col width="14" customWidth="1" style="76" min="6" max="6"/>
    <col width="14" customWidth="1" style="76" min="7" max="7"/>
    <col width="14" customWidth="1" style="76" min="8" max="8"/>
    <col width="14" customWidth="1" style="76" min="9" max="9"/>
    <col width="14" customWidth="1" style="76" min="10" max="10"/>
  </cols>
  <sheetData>
    <row r="1">
      <c r="A1" s="105" t="inlineStr">
        <is>
          <t>rowReviewKey</t>
        </is>
      </c>
      <c r="B1" s="105" t="inlineStr">
        <is>
          <t>slug</t>
        </is>
      </c>
      <c r="C1" s="105" t="inlineStr">
        <is>
          <t>reviewStatus</t>
        </is>
      </c>
      <c r="D1" s="105" t="inlineStr">
        <is>
          <t>approvalTimestamp</t>
        </is>
      </c>
      <c r="E1" s="105" t="inlineStr">
        <is>
          <t>reviewerName</t>
        </is>
      </c>
      <c r="F1" s="105" t="inlineStr">
        <is>
          <t>sourceLockFlag</t>
        </is>
      </c>
      <c r="G1" s="105" t="inlineStr">
        <is>
          <t>frontendReadyFlag</t>
        </is>
      </c>
      <c r="H1" s="105" t="inlineStr">
        <is>
          <t>webCopyReadyFlag</t>
        </is>
      </c>
      <c r="I1" s="105" t="inlineStr">
        <is>
          <t>publishStatus</t>
        </is>
      </c>
      <c r="J1" s="105" t="inlineStr">
        <is>
          <t>qaStatus</t>
        </is>
      </c>
    </row>
    <row r="2">
      <c r="A2" s="181">
        <f>'Herb Monographs'!BG2</f>
        <v/>
      </c>
      <c r="B2" s="181">
        <f>'Herb Monographs'!B2</f>
        <v/>
      </c>
      <c r="C2" s="181">
        <f>'Herb Monographs'!BB2</f>
        <v/>
      </c>
      <c r="D2" s="181">
        <f>IF('Herb Monographs'!BD2="","",'Herb Monographs'!BD2)</f>
        <v/>
      </c>
      <c r="E2" s="181">
        <f>IF('Herb Monographs'!AY2="","",'Herb Monographs'!AY2)</f>
        <v/>
      </c>
      <c r="F2" s="181">
        <f>'Herb Monographs'!AT2</f>
        <v/>
      </c>
      <c r="G2" s="181">
        <f>'Herb Monographs'!AU2</f>
        <v/>
      </c>
      <c r="H2" s="181">
        <f>'Herb Monographs'!AV2</f>
        <v/>
      </c>
      <c r="I2" s="181">
        <f>'Herb Monographs'!AR2</f>
        <v/>
      </c>
      <c r="J2" s="181">
        <f>'Herb Monographs'!AS2</f>
        <v/>
      </c>
    </row>
    <row r="3">
      <c r="A3" s="181">
        <f>'Herb Monographs'!BG3</f>
        <v/>
      </c>
      <c r="B3" s="181">
        <f>'Herb Monographs'!B3</f>
        <v/>
      </c>
      <c r="C3" s="181">
        <f>'Herb Monographs'!BB3</f>
        <v/>
      </c>
      <c r="D3" s="181">
        <f>IF('Herb Monographs'!BD3="","",'Herb Monographs'!BD3)</f>
        <v/>
      </c>
      <c r="E3" s="181">
        <f>IF('Herb Monographs'!AY3="","",'Herb Monographs'!AY3)</f>
        <v/>
      </c>
      <c r="F3" s="181">
        <f>'Herb Monographs'!AT3</f>
        <v/>
      </c>
      <c r="G3" s="181">
        <f>'Herb Monographs'!AU3</f>
        <v/>
      </c>
      <c r="H3" s="181">
        <f>'Herb Monographs'!AV3</f>
        <v/>
      </c>
      <c r="I3" s="181">
        <f>'Herb Monographs'!AR3</f>
        <v/>
      </c>
      <c r="J3" s="181">
        <f>'Herb Monographs'!AS3</f>
        <v/>
      </c>
    </row>
    <row r="4">
      <c r="A4" s="181">
        <f>'Herb Monographs'!BG4</f>
        <v/>
      </c>
      <c r="B4" s="181">
        <f>'Herb Monographs'!B4</f>
        <v/>
      </c>
      <c r="C4" s="181">
        <f>'Herb Monographs'!BB4</f>
        <v/>
      </c>
      <c r="D4" s="181">
        <f>IF('Herb Monographs'!BD4="","",'Herb Monographs'!BD4)</f>
        <v/>
      </c>
      <c r="E4" s="181">
        <f>IF('Herb Monographs'!AY4="","",'Herb Monographs'!AY4)</f>
        <v/>
      </c>
      <c r="F4" s="181">
        <f>'Herb Monographs'!AT4</f>
        <v/>
      </c>
      <c r="G4" s="181">
        <f>'Herb Monographs'!AU4</f>
        <v/>
      </c>
      <c r="H4" s="181">
        <f>'Herb Monographs'!AV4</f>
        <v/>
      </c>
      <c r="I4" s="181">
        <f>'Herb Monographs'!AR4</f>
        <v/>
      </c>
      <c r="J4" s="181">
        <f>'Herb Monographs'!AS4</f>
        <v/>
      </c>
    </row>
    <row r="5">
      <c r="A5" s="181">
        <f>'Herb Monographs'!BG5</f>
        <v/>
      </c>
      <c r="B5" s="181">
        <f>'Herb Monographs'!B5</f>
        <v/>
      </c>
      <c r="C5" s="181">
        <f>'Herb Monographs'!BB5</f>
        <v/>
      </c>
      <c r="D5" s="181">
        <f>IF('Herb Monographs'!BD5="","",'Herb Monographs'!BD5)</f>
        <v/>
      </c>
      <c r="E5" s="181">
        <f>IF('Herb Monographs'!AY5="","",'Herb Monographs'!AY5)</f>
        <v/>
      </c>
      <c r="F5" s="181">
        <f>'Herb Monographs'!AT5</f>
        <v/>
      </c>
      <c r="G5" s="181">
        <f>'Herb Monographs'!AU5</f>
        <v/>
      </c>
      <c r="H5" s="181">
        <f>'Herb Monographs'!AV5</f>
        <v/>
      </c>
      <c r="I5" s="181">
        <f>'Herb Monographs'!AR5</f>
        <v/>
      </c>
      <c r="J5" s="181">
        <f>'Herb Monographs'!AS5</f>
        <v/>
      </c>
    </row>
    <row r="6">
      <c r="A6" s="181">
        <f>'Herb Monographs'!BG6</f>
        <v/>
      </c>
      <c r="B6" s="181">
        <f>'Herb Monographs'!B6</f>
        <v/>
      </c>
      <c r="C6" s="181">
        <f>'Herb Monographs'!BB6</f>
        <v/>
      </c>
      <c r="D6" s="181">
        <f>IF('Herb Monographs'!BD6="","",'Herb Monographs'!BD6)</f>
        <v/>
      </c>
      <c r="E6" s="181">
        <f>IF('Herb Monographs'!AY6="","",'Herb Monographs'!AY6)</f>
        <v/>
      </c>
      <c r="F6" s="181">
        <f>'Herb Monographs'!AT6</f>
        <v/>
      </c>
      <c r="G6" s="181">
        <f>'Herb Monographs'!AU6</f>
        <v/>
      </c>
      <c r="H6" s="181">
        <f>'Herb Monographs'!AV6</f>
        <v/>
      </c>
      <c r="I6" s="181">
        <f>'Herb Monographs'!AR6</f>
        <v/>
      </c>
      <c r="J6" s="181">
        <f>'Herb Monographs'!AS6</f>
        <v/>
      </c>
    </row>
    <row r="7">
      <c r="A7" s="181">
        <f>'Herb Monographs'!BG7</f>
        <v/>
      </c>
      <c r="B7" s="181">
        <f>'Herb Monographs'!B7</f>
        <v/>
      </c>
      <c r="C7" s="181">
        <f>'Herb Monographs'!BB7</f>
        <v/>
      </c>
      <c r="D7" s="181">
        <f>IF('Herb Monographs'!BD7="","",'Herb Monographs'!BD7)</f>
        <v/>
      </c>
      <c r="E7" s="181">
        <f>IF('Herb Monographs'!AY7="","",'Herb Monographs'!AY7)</f>
        <v/>
      </c>
      <c r="F7" s="181">
        <f>'Herb Monographs'!AT7</f>
        <v/>
      </c>
      <c r="G7" s="181">
        <f>'Herb Monographs'!AU7</f>
        <v/>
      </c>
      <c r="H7" s="181">
        <f>'Herb Monographs'!AV7</f>
        <v/>
      </c>
      <c r="I7" s="181">
        <f>'Herb Monographs'!AR7</f>
        <v/>
      </c>
      <c r="J7" s="181">
        <f>'Herb Monographs'!AS7</f>
        <v/>
      </c>
    </row>
    <row r="8">
      <c r="A8" s="181">
        <f>'Herb Monographs'!BG8</f>
        <v/>
      </c>
      <c r="B8" s="181">
        <f>'Herb Monographs'!B8</f>
        <v/>
      </c>
      <c r="C8" s="181">
        <f>'Herb Monographs'!BB8</f>
        <v/>
      </c>
      <c r="D8" s="181">
        <f>IF('Herb Monographs'!BD8="","",'Herb Monographs'!BD8)</f>
        <v/>
      </c>
      <c r="E8" s="181">
        <f>IF('Herb Monographs'!AY8="","",'Herb Monographs'!AY8)</f>
        <v/>
      </c>
      <c r="F8" s="181">
        <f>'Herb Monographs'!AT8</f>
        <v/>
      </c>
      <c r="G8" s="181">
        <f>'Herb Monographs'!AU8</f>
        <v/>
      </c>
      <c r="H8" s="181">
        <f>'Herb Monographs'!AV8</f>
        <v/>
      </c>
      <c r="I8" s="181">
        <f>'Herb Monographs'!AR8</f>
        <v/>
      </c>
      <c r="J8" s="181">
        <f>'Herb Monographs'!AS8</f>
        <v/>
      </c>
    </row>
    <row r="9">
      <c r="A9" s="181">
        <f>'Herb Monographs'!BG9</f>
        <v/>
      </c>
      <c r="B9" s="181">
        <f>'Herb Monographs'!B9</f>
        <v/>
      </c>
      <c r="C9" s="181">
        <f>'Herb Monographs'!BB9</f>
        <v/>
      </c>
      <c r="D9" s="181">
        <f>IF('Herb Monographs'!BD9="","",'Herb Monographs'!BD9)</f>
        <v/>
      </c>
      <c r="E9" s="181">
        <f>IF('Herb Monographs'!AY9="","",'Herb Monographs'!AY9)</f>
        <v/>
      </c>
      <c r="F9" s="181">
        <f>'Herb Monographs'!AT9</f>
        <v/>
      </c>
      <c r="G9" s="181">
        <f>'Herb Monographs'!AU9</f>
        <v/>
      </c>
      <c r="H9" s="181">
        <f>'Herb Monographs'!AV9</f>
        <v/>
      </c>
      <c r="I9" s="181">
        <f>'Herb Monographs'!AR9</f>
        <v/>
      </c>
      <c r="J9" s="181">
        <f>'Herb Monographs'!AS9</f>
        <v/>
      </c>
    </row>
    <row r="10">
      <c r="A10" s="181">
        <f>'Herb Monographs'!BG10</f>
        <v/>
      </c>
      <c r="B10" s="181">
        <f>'Herb Monographs'!B10</f>
        <v/>
      </c>
      <c r="C10" s="181">
        <f>'Herb Monographs'!BB10</f>
        <v/>
      </c>
      <c r="D10" s="181">
        <f>IF('Herb Monographs'!BD10="","",'Herb Monographs'!BD10)</f>
        <v/>
      </c>
      <c r="E10" s="181">
        <f>IF('Herb Monographs'!AY10="","",'Herb Monographs'!AY10)</f>
        <v/>
      </c>
      <c r="F10" s="181">
        <f>'Herb Monographs'!AT10</f>
        <v/>
      </c>
      <c r="G10" s="181">
        <f>'Herb Monographs'!AU10</f>
        <v/>
      </c>
      <c r="H10" s="181">
        <f>'Herb Monographs'!AV10</f>
        <v/>
      </c>
      <c r="I10" s="181">
        <f>'Herb Monographs'!AR10</f>
        <v/>
      </c>
      <c r="J10" s="181">
        <f>'Herb Monographs'!AS10</f>
        <v/>
      </c>
    </row>
    <row r="11">
      <c r="A11" s="181">
        <f>'Herb Monographs'!BG11</f>
        <v/>
      </c>
      <c r="B11" s="181">
        <f>'Herb Monographs'!B11</f>
        <v/>
      </c>
      <c r="C11" s="181">
        <f>'Herb Monographs'!BB11</f>
        <v/>
      </c>
      <c r="D11" s="181">
        <f>IF('Herb Monographs'!BD11="","",'Herb Monographs'!BD11)</f>
        <v/>
      </c>
      <c r="E11" s="181">
        <f>IF('Herb Monographs'!AY11="","",'Herb Monographs'!AY11)</f>
        <v/>
      </c>
      <c r="F11" s="181">
        <f>'Herb Monographs'!AT11</f>
        <v/>
      </c>
      <c r="G11" s="181">
        <f>'Herb Monographs'!AU11</f>
        <v/>
      </c>
      <c r="H11" s="181">
        <f>'Herb Monographs'!AV11</f>
        <v/>
      </c>
      <c r="I11" s="181">
        <f>'Herb Monographs'!AR11</f>
        <v/>
      </c>
      <c r="J11" s="181">
        <f>'Herb Monographs'!AS11</f>
        <v/>
      </c>
    </row>
    <row r="12">
      <c r="A12" s="181">
        <f>'Herb Monographs'!BG12</f>
        <v/>
      </c>
      <c r="B12" s="181">
        <f>'Herb Monographs'!B12</f>
        <v/>
      </c>
      <c r="C12" s="181">
        <f>'Herb Monographs'!BB12</f>
        <v/>
      </c>
      <c r="D12" s="181">
        <f>IF('Herb Monographs'!BD12="","",'Herb Monographs'!BD12)</f>
        <v/>
      </c>
      <c r="E12" s="181">
        <f>IF('Herb Monographs'!AY12="","",'Herb Monographs'!AY12)</f>
        <v/>
      </c>
      <c r="F12" s="181">
        <f>'Herb Monographs'!AT12</f>
        <v/>
      </c>
      <c r="G12" s="181">
        <f>'Herb Monographs'!AU12</f>
        <v/>
      </c>
      <c r="H12" s="181">
        <f>'Herb Monographs'!AV12</f>
        <v/>
      </c>
      <c r="I12" s="181">
        <f>'Herb Monographs'!AR12</f>
        <v/>
      </c>
      <c r="J12" s="181">
        <f>'Herb Monographs'!AS12</f>
        <v/>
      </c>
    </row>
    <row r="13">
      <c r="A13" s="181">
        <f>'Herb Monographs'!BG13</f>
        <v/>
      </c>
      <c r="B13" s="181">
        <f>'Herb Monographs'!B13</f>
        <v/>
      </c>
      <c r="C13" s="181">
        <f>'Herb Monographs'!BB13</f>
        <v/>
      </c>
      <c r="D13" s="181">
        <f>IF('Herb Monographs'!BD13="","",'Herb Monographs'!BD13)</f>
        <v/>
      </c>
      <c r="E13" s="181">
        <f>IF('Herb Monographs'!AY13="","",'Herb Monographs'!AY13)</f>
        <v/>
      </c>
      <c r="F13" s="181">
        <f>'Herb Monographs'!AT13</f>
        <v/>
      </c>
      <c r="G13" s="181">
        <f>'Herb Monographs'!AU13</f>
        <v/>
      </c>
      <c r="H13" s="181">
        <f>'Herb Monographs'!AV13</f>
        <v/>
      </c>
      <c r="I13" s="181">
        <f>'Herb Monographs'!AR13</f>
        <v/>
      </c>
      <c r="J13" s="181">
        <f>'Herb Monographs'!AS13</f>
        <v/>
      </c>
    </row>
    <row r="14">
      <c r="A14" s="181">
        <f>'Herb Monographs'!BG14</f>
        <v/>
      </c>
      <c r="B14" s="181">
        <f>'Herb Monographs'!B14</f>
        <v/>
      </c>
      <c r="C14" s="181">
        <f>'Herb Monographs'!BB14</f>
        <v/>
      </c>
      <c r="D14" s="181">
        <f>IF('Herb Monographs'!BD14="","",'Herb Monographs'!BD14)</f>
        <v/>
      </c>
      <c r="E14" s="181">
        <f>IF('Herb Monographs'!AY14="","",'Herb Monographs'!AY14)</f>
        <v/>
      </c>
      <c r="F14" s="181">
        <f>'Herb Monographs'!AT14</f>
        <v/>
      </c>
      <c r="G14" s="181">
        <f>'Herb Monographs'!AU14</f>
        <v/>
      </c>
      <c r="H14" s="181">
        <f>'Herb Monographs'!AV14</f>
        <v/>
      </c>
      <c r="I14" s="181">
        <f>'Herb Monographs'!AR14</f>
        <v/>
      </c>
      <c r="J14" s="181">
        <f>'Herb Monographs'!AS14</f>
        <v/>
      </c>
    </row>
    <row r="15">
      <c r="A15" s="181">
        <f>'Herb Monographs'!BG15</f>
        <v/>
      </c>
      <c r="B15" s="181">
        <f>'Herb Monographs'!B15</f>
        <v/>
      </c>
      <c r="C15" s="181">
        <f>'Herb Monographs'!BB15</f>
        <v/>
      </c>
      <c r="D15" s="181">
        <f>IF('Herb Monographs'!BD15="","",'Herb Monographs'!BD15)</f>
        <v/>
      </c>
      <c r="E15" s="181">
        <f>IF('Herb Monographs'!AY15="","",'Herb Monographs'!AY15)</f>
        <v/>
      </c>
      <c r="F15" s="181">
        <f>'Herb Monographs'!AT15</f>
        <v/>
      </c>
      <c r="G15" s="181">
        <f>'Herb Monographs'!AU15</f>
        <v/>
      </c>
      <c r="H15" s="181">
        <f>'Herb Monographs'!AV15</f>
        <v/>
      </c>
      <c r="I15" s="181">
        <f>'Herb Monographs'!AR15</f>
        <v/>
      </c>
      <c r="J15" s="181">
        <f>'Herb Monographs'!AS15</f>
        <v/>
      </c>
    </row>
    <row r="16">
      <c r="A16" s="181">
        <f>'Herb Monographs'!BG16</f>
        <v/>
      </c>
      <c r="B16" s="181">
        <f>'Herb Monographs'!B16</f>
        <v/>
      </c>
      <c r="C16" s="181">
        <f>'Herb Monographs'!BB16</f>
        <v/>
      </c>
      <c r="D16" s="181">
        <f>IF('Herb Monographs'!BD16="","",'Herb Monographs'!BD16)</f>
        <v/>
      </c>
      <c r="E16" s="181">
        <f>IF('Herb Monographs'!AY16="","",'Herb Monographs'!AY16)</f>
        <v/>
      </c>
      <c r="F16" s="181">
        <f>'Herb Monographs'!AT16</f>
        <v/>
      </c>
      <c r="G16" s="181">
        <f>'Herb Monographs'!AU16</f>
        <v/>
      </c>
      <c r="H16" s="181">
        <f>'Herb Monographs'!AV16</f>
        <v/>
      </c>
      <c r="I16" s="181">
        <f>'Herb Monographs'!AR16</f>
        <v/>
      </c>
      <c r="J16" s="181">
        <f>'Herb Monographs'!AS16</f>
        <v/>
      </c>
    </row>
    <row r="17">
      <c r="A17" s="181">
        <f>'Herb Monographs'!BG17</f>
        <v/>
      </c>
      <c r="B17" s="181">
        <f>'Herb Monographs'!B17</f>
        <v/>
      </c>
      <c r="C17" s="181">
        <f>'Herb Monographs'!BB17</f>
        <v/>
      </c>
      <c r="D17" s="181">
        <f>IF('Herb Monographs'!BD17="","",'Herb Monographs'!BD17)</f>
        <v/>
      </c>
      <c r="E17" s="181">
        <f>IF('Herb Monographs'!AY17="","",'Herb Monographs'!AY17)</f>
        <v/>
      </c>
      <c r="F17" s="181">
        <f>'Herb Monographs'!AT17</f>
        <v/>
      </c>
      <c r="G17" s="181">
        <f>'Herb Monographs'!AU17</f>
        <v/>
      </c>
      <c r="H17" s="181">
        <f>'Herb Monographs'!AV17</f>
        <v/>
      </c>
      <c r="I17" s="181">
        <f>'Herb Monographs'!AR17</f>
        <v/>
      </c>
      <c r="J17" s="181">
        <f>'Herb Monographs'!AS17</f>
        <v/>
      </c>
    </row>
    <row r="18">
      <c r="A18" s="181">
        <f>'Herb Monographs'!BG18</f>
        <v/>
      </c>
      <c r="B18" s="181">
        <f>'Herb Monographs'!B18</f>
        <v/>
      </c>
      <c r="C18" s="181">
        <f>'Herb Monographs'!BB18</f>
        <v/>
      </c>
      <c r="D18" s="181">
        <f>IF('Herb Monographs'!BD18="","",'Herb Monographs'!BD18)</f>
        <v/>
      </c>
      <c r="E18" s="181">
        <f>IF('Herb Monographs'!AY18="","",'Herb Monographs'!AY18)</f>
        <v/>
      </c>
      <c r="F18" s="181">
        <f>'Herb Monographs'!AT18</f>
        <v/>
      </c>
      <c r="G18" s="181">
        <f>'Herb Monographs'!AU18</f>
        <v/>
      </c>
      <c r="H18" s="181">
        <f>'Herb Monographs'!AV18</f>
        <v/>
      </c>
      <c r="I18" s="181">
        <f>'Herb Monographs'!AR18</f>
        <v/>
      </c>
      <c r="J18" s="181">
        <f>'Herb Monographs'!AS18</f>
        <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style="76" min="1" max="1"/>
    <col width="14" customWidth="1" style="76" min="2" max="2"/>
    <col width="18" customWidth="1" style="76" min="4" max="4"/>
    <col width="34" customWidth="1" style="76" min="5" max="5"/>
  </cols>
  <sheetData>
    <row r="1">
      <c r="A1" s="110" t="inlineStr">
        <is>
          <t>Row-Level Review Dashboard</t>
        </is>
      </c>
    </row>
    <row r="3">
      <c r="A3" s="112" t="inlineStr">
        <is>
          <t>Metric</t>
        </is>
      </c>
      <c r="B3" s="112" t="inlineStr">
        <is>
          <t>Value</t>
        </is>
      </c>
      <c r="D3" s="116" t="inlineStr">
        <is>
          <t>Next Action</t>
        </is>
      </c>
      <c r="E3" s="116" t="inlineStr">
        <is>
          <t>Rule</t>
        </is>
      </c>
    </row>
    <row r="4">
      <c r="A4" s="112" t="inlineStr">
        <is>
          <t>Total monographs</t>
        </is>
      </c>
      <c r="B4" s="112">
        <f>COUNTA('Herb Monographs'!B2:B18)</f>
        <v/>
      </c>
      <c r="D4" s="116" t="inlineStr">
        <is>
          <t>Source review</t>
        </is>
      </c>
      <c r="E4" s="116" t="inlineStr">
        <is>
          <t>Publish status = Source review</t>
        </is>
      </c>
    </row>
    <row r="5">
      <c r="A5" s="112" t="inlineStr">
        <is>
          <t>Approved rows</t>
        </is>
      </c>
      <c r="B5" s="112">
        <f>COUNTIF('Herb Monographs'!BB2:BB18,"Approved")</f>
        <v/>
      </c>
      <c r="D5" s="116" t="inlineStr">
        <is>
          <t>Editorial review</t>
        </is>
      </c>
      <c r="E5" s="116" t="inlineStr">
        <is>
          <t>Publish status = Editorial polish</t>
        </is>
      </c>
    </row>
    <row r="6">
      <c r="A6" s="112" t="inlineStr">
        <is>
          <t>In review</t>
        </is>
      </c>
      <c r="B6" s="112">
        <f>COUNTIF('Herb Monographs'!BB2:BB18,"In review")</f>
        <v/>
      </c>
      <c r="D6" s="116" t="inlineStr">
        <is>
          <t>QA review</t>
        </is>
      </c>
      <c r="E6" s="116" t="inlineStr">
        <is>
          <t>Publish status = Ready for QA</t>
        </is>
      </c>
    </row>
    <row r="7">
      <c r="A7" s="112" t="inlineStr">
        <is>
          <t>Pending review</t>
        </is>
      </c>
      <c r="B7" s="112">
        <f>COUNTIF('Herb Monographs'!BB2:BB18,"Pending")</f>
        <v/>
      </c>
      <c r="D7" s="116" t="inlineStr">
        <is>
          <t>Approve</t>
        </is>
      </c>
      <c r="E7" s="116" t="inlineStr">
        <is>
          <t>qaStatus = Passed OR approval timestamp entered</t>
        </is>
      </c>
    </row>
    <row r="8">
      <c r="A8" s="112" t="inlineStr">
        <is>
          <t>Rows with blockers</t>
        </is>
      </c>
      <c r="B8" s="112">
        <f>COUNTIF('Herb Monographs'!AW2:AW18,"&lt;&gt;")</f>
        <v/>
      </c>
      <c r="D8" s="116" t="inlineStr">
        <is>
          <t>Publish</t>
        </is>
      </c>
      <c r="E8" s="116" t="inlineStr">
        <is>
          <t>publishStatus = Published</t>
        </is>
      </c>
    </row>
    <row r="9">
      <c r="A9" s="112" t="inlineStr">
        <is>
          <t>Rows with history entries</t>
        </is>
      </c>
      <c r="B9" s="112">
        <f>COUNTIF('Herb Monographs'!BH2:BH18,"&gt;0")</f>
        <v/>
      </c>
    </row>
    <row r="10">
      <c r="A10" s="114" t="n"/>
      <c r="B10" s="114" t="n"/>
      <c r="D10" s="114" t="inlineStr">
        <is>
          <t>Metric</t>
        </is>
      </c>
      <c r="E10" s="114" t="inlineStr">
        <is>
          <t>Value</t>
        </is>
      </c>
    </row>
    <row r="11">
      <c r="A11" s="114" t="n"/>
      <c r="B11" s="114" t="n"/>
      <c r="D11" s="114" t="inlineStr">
        <is>
          <t>Approved timestamps present</t>
        </is>
      </c>
      <c r="E11" s="114">
        <f>COUNTIF('Herb Monographs'!BD2:BD18,"&lt;&gt;")</f>
        <v/>
      </c>
    </row>
    <row r="12">
      <c r="A12" s="114" t="n"/>
      <c r="B12" s="114" t="n"/>
      <c r="D12" s="114" t="inlineStr">
        <is>
          <t>Rows missing reviewer notes</t>
        </is>
      </c>
      <c r="E12" s="114">
        <f>COUNTBLANK('Herb Monographs'!BC2:BC18)</f>
        <v/>
      </c>
    </row>
  </sheetData>
  <mergeCells count="1">
    <mergeCell ref="A1:D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0" customWidth="1" style="76" min="1" max="1"/>
    <col width="24" customWidth="1" style="76" min="2" max="2"/>
    <col width="42" customWidth="1" style="76" min="3" max="3"/>
  </cols>
  <sheetData>
    <row r="1">
      <c r="A1" s="105" t="inlineStr">
        <is>
          <t>Field</t>
        </is>
      </c>
      <c r="B1" s="105" t="inlineStr">
        <is>
          <t>Meaning</t>
        </is>
      </c>
      <c r="C1" s="105" t="inlineStr">
        <is>
          <t>How to use</t>
        </is>
      </c>
    </row>
    <row r="2">
      <c r="A2" s="181" t="inlineStr">
        <is>
          <t>reviewRound</t>
        </is>
      </c>
      <c r="B2" s="181" t="inlineStr">
        <is>
          <t>Iteration number for the row</t>
        </is>
      </c>
      <c r="C2" s="181" t="inlineStr">
        <is>
          <t>Increment when a row goes through another formal review pass</t>
        </is>
      </c>
    </row>
    <row r="3">
      <c r="A3" s="181" t="inlineStr">
        <is>
          <t>reviewerName</t>
        </is>
      </c>
      <c r="B3" s="181" t="inlineStr">
        <is>
          <t>Person or function doing the review</t>
        </is>
      </c>
      <c r="C3" s="181" t="inlineStr">
        <is>
          <t>Assign when row is actively reviewed</t>
        </is>
      </c>
    </row>
    <row r="4">
      <c r="A4" s="181" t="inlineStr">
        <is>
          <t>reviewerRole</t>
        </is>
      </c>
      <c r="B4" s="181" t="inlineStr">
        <is>
          <t>Type of reviewer</t>
        </is>
      </c>
      <c r="C4" s="181" t="inlineStr">
        <is>
          <t>Use Research / Editorial / QA / Medical / Final</t>
        </is>
      </c>
    </row>
    <row r="5">
      <c r="A5" s="181" t="inlineStr">
        <is>
          <t>reviewStage</t>
        </is>
      </c>
      <c r="B5" s="181" t="inlineStr">
        <is>
          <t>Current stage of review</t>
        </is>
      </c>
      <c r="C5" s="181" t="inlineStr">
        <is>
          <t>Auto-derived from publish + QA state</t>
        </is>
      </c>
    </row>
    <row r="6">
      <c r="A6" s="181" t="inlineStr">
        <is>
          <t>reviewStatus</t>
        </is>
      </c>
      <c r="B6" s="181" t="inlineStr">
        <is>
          <t>Pending / In review / Approved</t>
        </is>
      </c>
      <c r="C6" s="181" t="inlineStr">
        <is>
          <t>Pending until notes or owner set; approved when QA passes or approval timestamp entered</t>
        </is>
      </c>
    </row>
    <row r="7">
      <c r="A7" s="181" t="inlineStr">
        <is>
          <t>reviewerNotes</t>
        </is>
      </c>
      <c r="B7" s="181" t="inlineStr">
        <is>
          <t>Row-specific editorial or medical notes</t>
        </is>
      </c>
      <c r="C7" s="181" t="inlineStr">
        <is>
          <t>Capture issues that must be resolved before publish</t>
        </is>
      </c>
    </row>
    <row r="8">
      <c r="A8" s="181" t="inlineStr">
        <is>
          <t>approvalTimestamp</t>
        </is>
      </c>
      <c r="B8" s="181" t="inlineStr">
        <is>
          <t>Date/time row was approved</t>
        </is>
      </c>
      <c r="C8" s="181" t="inlineStr">
        <is>
          <t>Enter when final reviewer signs off</t>
        </is>
      </c>
    </row>
    <row r="9">
      <c r="A9" s="181" t="inlineStr">
        <is>
          <t>lastModifiedTimestamp</t>
        </is>
      </c>
      <c r="B9" s="181" t="inlineStr">
        <is>
          <t>Simple workbook timestamp proxy</t>
        </is>
      </c>
      <c r="C9" s="181" t="inlineStr">
        <is>
          <t>Auto-populates when row review fields are touched</t>
        </is>
      </c>
    </row>
    <row r="10">
      <c r="A10" s="181" t="inlineStr">
        <is>
          <t>changeSummary</t>
        </is>
      </c>
      <c r="B10" s="181" t="inlineStr">
        <is>
          <t>Short description of what changed</t>
        </is>
      </c>
      <c r="C10" s="181" t="inlineStr">
        <is>
          <t>Use concise diff language</t>
        </is>
      </c>
    </row>
    <row r="11">
      <c r="A11" s="181" t="inlineStr">
        <is>
          <t>rowReviewKey</t>
        </is>
      </c>
      <c r="B11" s="181" t="inlineStr">
        <is>
          <t>Stable row + round key</t>
        </is>
      </c>
      <c r="C11" s="181" t="inlineStr">
        <is>
          <t>Used to join approval + change history sheets</t>
        </is>
      </c>
    </row>
    <row r="12">
      <c r="A12" s="181" t="inlineStr">
        <is>
          <t>historyEntries</t>
        </is>
      </c>
      <c r="B12" s="181" t="inlineStr">
        <is>
          <t>Count of change-log rows for the slug</t>
        </is>
      </c>
      <c r="C12" s="181" t="inlineStr">
        <is>
          <t>Helps identify rows that changed often</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style="76" min="1" max="1"/>
    <col width="12" customWidth="1" style="76" min="2" max="2"/>
    <col width="48" customWidth="1" style="76" min="3" max="3"/>
  </cols>
  <sheetData>
    <row r="1" ht="24" customHeight="1" s="76">
      <c r="A1" s="122" t="inlineStr">
        <is>
          <t>Compound Layer V2 Dashboard</t>
        </is>
      </c>
      <c r="B1" s="122" t="inlineStr">
        <is>
          <t>Value</t>
        </is>
      </c>
      <c r="C1" s="122" t="inlineStr">
        <is>
          <t>Notes</t>
        </is>
      </c>
    </row>
    <row r="2">
      <c r="A2" s="181" t="inlineStr">
        <is>
          <t>Total compounds in integrated master</t>
        </is>
      </c>
      <c r="B2" s="181" t="n">
        <v>478</v>
      </c>
      <c r="C2" s="181" t="inlineStr">
        <is>
          <t>Unified from compound workbook + cleaned high-signal CSV</t>
        </is>
      </c>
    </row>
    <row r="3">
      <c r="A3" s="181" t="inlineStr">
        <is>
          <t>Compounds linked to at least one herb</t>
        </is>
      </c>
      <c r="B3" s="181" t="n">
        <v>443</v>
      </c>
      <c r="C3" s="181" t="inlineStr">
        <is>
          <t>Reverse lookup ready compounds</t>
        </is>
      </c>
    </row>
    <row r="4">
      <c r="A4" s="181" t="inlineStr">
        <is>
          <t>Total herb-compound links</t>
        </is>
      </c>
      <c r="B4" s="181" t="n">
        <v>80</v>
      </c>
      <c r="C4" s="181" t="inlineStr">
        <is>
          <t>Includes herb-row links and dataset-derived links</t>
        </is>
      </c>
    </row>
    <row r="5">
      <c r="A5" s="181" t="inlineStr">
        <is>
          <t>Exact herb-row matches</t>
        </is>
      </c>
      <c r="B5" s="181" t="n">
        <v>32</v>
      </c>
      <c r="C5" s="181" t="inlineStr">
        <is>
          <t>From Herb Monographs activeCompounds</t>
        </is>
      </c>
    </row>
    <row r="6">
      <c r="A6" s="181" t="inlineStr">
        <is>
          <t>Dataset-derived links</t>
        </is>
      </c>
      <c r="B6" s="181" t="n">
        <v>0</v>
      </c>
      <c r="C6" s="181" t="inlineStr">
        <is>
          <t>From integrated compound dataset</t>
        </is>
      </c>
    </row>
    <row r="7">
      <c r="A7" s="181" t="inlineStr">
        <is>
          <t>Unmatched herb-row compounds</t>
        </is>
      </c>
      <c r="B7" s="181" t="n">
        <v>48</v>
      </c>
      <c r="C7" s="181" t="inlineStr">
        <is>
          <t>Normalization targets for next pass</t>
        </is>
      </c>
    </row>
    <row r="8">
      <c r="A8" s="181" t="inlineStr">
        <is>
          <t>Unique pathway rows</t>
        </is>
      </c>
      <c r="B8" s="181" t="n">
        <v>655</v>
      </c>
      <c r="C8" s="181" t="inlineStr">
        <is>
          <t>Pathway-target index entries</t>
        </is>
      </c>
    </row>
    <row r="9">
      <c r="A9" s="181" t="inlineStr">
        <is>
          <t>Herbs in enrichment queue</t>
        </is>
      </c>
      <c r="B9" s="181" t="n">
        <v>17</v>
      </c>
      <c r="C9" s="181" t="inlineStr">
        <is>
          <t>Current herb layer review queue</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T479"/>
  <sheetViews>
    <sheetView workbookViewId="0">
      <selection activeCell="A1" sqref="A1"/>
    </sheetView>
  </sheetViews>
  <sheetFormatPr baseColWidth="8" defaultRowHeight="15"/>
  <cols>
    <col width="22" customWidth="1" style="76" min="1" max="1"/>
    <col width="20" customWidth="1" style="76" min="2" max="2"/>
    <col width="22" customWidth="1" style="76" min="3" max="3"/>
    <col width="40" customWidth="1" style="76" min="4" max="4"/>
    <col width="22" customWidth="1" style="76" min="5" max="5"/>
    <col width="26" customWidth="1" style="76" min="6" max="6"/>
    <col width="28" customWidth="1" style="76" min="7" max="7"/>
    <col width="26" customWidth="1" style="76" min="8" max="8"/>
    <col width="26" customWidth="1" style="76" min="9" max="9"/>
    <col width="26" customWidth="1" style="76" min="10" max="10"/>
    <col width="12" customWidth="1" style="76" min="11" max="11"/>
    <col width="14" customWidth="1" style="76" min="12" max="12"/>
    <col width="34" customWidth="1" style="76" min="13" max="13"/>
    <col width="16" customWidth="1" style="76" min="14" max="14"/>
    <col width="18" customWidth="1" style="76" min="15" max="15"/>
    <col width="22" customWidth="1" style="76" min="16" max="16"/>
    <col width="22" customWidth="1" style="76" min="17" max="17"/>
    <col width="10" customWidth="1" style="76" min="18" max="18"/>
    <col width="14" customWidth="1" style="76" min="19" max="19"/>
    <col width="30" customWidth="1" style="76" min="20" max="20"/>
  </cols>
  <sheetData>
    <row r="1" ht="24" customHeight="1" s="76">
      <c r="A1" s="122" t="inlineStr">
        <is>
          <t>canonicalCompoundId</t>
        </is>
      </c>
      <c r="B1" s="122" t="inlineStr">
        <is>
          <t>compoundName</t>
        </is>
      </c>
      <c r="C1" s="122" t="inlineStr">
        <is>
          <t>aliases</t>
        </is>
      </c>
      <c r="D1" s="122" t="inlineStr">
        <is>
          <t>compoundClass</t>
        </is>
      </c>
      <c r="E1" s="122" t="inlineStr">
        <is>
          <t>mechanism</t>
        </is>
      </c>
      <c r="F1" s="122" t="inlineStr">
        <is>
          <t>mechanismTags</t>
        </is>
      </c>
      <c r="G1" s="122" t="inlineStr">
        <is>
          <t>pathwayTargets</t>
        </is>
      </c>
      <c r="H1" s="122" t="inlineStr">
        <is>
          <t>pharmacokinetics</t>
        </is>
      </c>
      <c r="I1" s="122" t="inlineStr">
        <is>
          <t>safetyNotes</t>
        </is>
      </c>
      <c r="J1" s="122" t="inlineStr">
        <is>
          <t>drugInteractions</t>
        </is>
      </c>
      <c r="K1" s="122" t="inlineStr">
        <is>
          <t>confidence</t>
        </is>
      </c>
      <c r="L1" s="122" t="inlineStr">
        <is>
          <t>evidence</t>
        </is>
      </c>
      <c r="M1" s="122" t="inlineStr">
        <is>
          <t>sourceUrls</t>
        </is>
      </c>
      <c r="N1" s="122" t="inlineStr">
        <is>
          <t>sourceQuality</t>
        </is>
      </c>
      <c r="O1" s="122" t="inlineStr">
        <is>
          <t>sourceBasis</t>
        </is>
      </c>
      <c r="P1" s="122" t="inlineStr">
        <is>
          <t>sourceWorkbook</t>
        </is>
      </c>
      <c r="Q1" s="122" t="inlineStr">
        <is>
          <t>relatedHerbSlugs</t>
        </is>
      </c>
      <c r="R1" s="122" t="inlineStr">
        <is>
          <t>herbCount</t>
        </is>
      </c>
      <c r="S1" s="122" t="inlineStr">
        <is>
          <t>reverseLookupReady</t>
        </is>
      </c>
      <c r="T1" s="122" t="inlineStr">
        <is>
          <t>integrationNotes</t>
        </is>
      </c>
    </row>
    <row r="2">
      <c r="A2" s="181" t="inlineStr">
        <is>
          <t>11-keto-beta-boswellic acid</t>
        </is>
      </c>
      <c r="B2" s="181" t="inlineStr">
        <is>
          <t>11-keto-beta-boswellic acid</t>
        </is>
      </c>
      <c r="C2" s="181" t="str"/>
      <c r="D2" s="181" t="inlineStr">
        <is>
          <t>organic acid</t>
        </is>
      </c>
      <c r="E2" s="181" t="inlineStr">
        <is>
          <t>Boswellic acids, especially AKBA, act as relatively selective 5-lipoxygenase inhibitors and reduce leukotriene synthesis in inflammatory pathways.</t>
        </is>
      </c>
      <c r="F2" s="181" t="inlineStr">
        <is>
          <t>multi-target signaling modulation</t>
        </is>
      </c>
      <c r="G2" s="181" t="inlineStr">
        <is>
          <t>general or unknown targets</t>
        </is>
      </c>
      <c r="H2" s="181" t="inlineStr">
        <is>
          <t>moderate absorption; hepatic metabolism</t>
        </is>
      </c>
      <c r="I2" s="181" t="inlineStr">
        <is>
          <t>low</t>
        </is>
      </c>
      <c r="J2" s="181" t="inlineStr">
        <is>
          <t>no well-documented interactions</t>
        </is>
      </c>
      <c r="K2" s="181" t="str"/>
      <c r="L2" s="181" t="inlineStr">
        <is>
          <t>compound_level</t>
        </is>
      </c>
      <c r="M2" s="181" t="inlineStr">
        <is>
          <t>https://plants.sc.egov.usda.gov/home/search?query=frankincense%20%28boswellia%29 | https://pubchem.ncbi.nlm.nih.gov/#query=11-keto-beta-boswellic%20acid</t>
        </is>
      </c>
      <c r="N2" s="181" t="inlineStr">
        <is>
          <t>trusted_gov_added</t>
        </is>
      </c>
      <c r="O2" s="181" t="inlineStr">
        <is>
          <t>PubChem compound page (NIH); USDA Plants database</t>
        </is>
      </c>
      <c r="P2" s="181" t="str"/>
      <c r="Q2" s="181" t="inlineStr">
        <is>
          <t>frankincense-boswellia</t>
        </is>
      </c>
      <c r="R2" s="181" t="n">
        <v>1</v>
      </c>
      <c r="S2" s="181" t="inlineStr">
        <is>
          <t>Yes</t>
        </is>
      </c>
      <c r="T2" s="181" t="inlineStr">
        <is>
          <t>Integrated from cleaned high-signal dataset</t>
        </is>
      </c>
    </row>
    <row r="3">
      <c r="A3" s="181" t="inlineStr">
        <is>
          <t>5-hydroxytryptophan</t>
        </is>
      </c>
      <c r="B3" s="181" t="inlineStr">
        <is>
          <t>5-hydroxytryptophan (5-HTP)</t>
        </is>
      </c>
      <c r="C3" s="181" t="str"/>
      <c r="D3" s="181" t="inlineStr">
        <is>
          <t>amino acid derivative</t>
        </is>
      </c>
      <c r="E3" s="181" t="inlineStr">
        <is>
          <t>Immediate serotonin precursor formed from tryptophan and decarboxylated by aromatic L-amino-acid decarboxylase to serotonin; strongest mechanism is precursor loading rather than receptor binding.</t>
        </is>
      </c>
      <c r="F3" s="181" t="inlineStr">
        <is>
          <t>serotonergic modulation</t>
        </is>
      </c>
      <c r="G3" s="181" t="inlineStr">
        <is>
          <t>Aromatic L-amino-acid decarboxylase pathway; HTR1A, HTR2A (serotonin receptors); melatonin precursor biology; serotonin biosynthesis</t>
        </is>
      </c>
      <c r="H3" s="181" t="inlineStr">
        <is>
          <t>Crosses the blood-brain barrier, but substantial peripheral decarboxylation to serotonin occurs unless decarboxylase activity is inhibited.</t>
        </is>
      </c>
      <c r="I3" s="181" t="inlineStr">
        <is>
          <t>Nausea and vomiting are common; serotonergic toxicity risk rises with interacting serotonergic drugs.</t>
        </is>
      </c>
      <c r="J3" s="181" t="inlineStr">
        <is>
          <t>SSRIs/SNRIs/MAOIs/triptans and other serotonergic agents (additive ↑ serotonin-toxicity risk); carbidopa (can increase 5-HTP exposure and GI/serotonergic adverse effects).</t>
        </is>
      </c>
      <c r="K3" s="181" t="inlineStr">
        <is>
          <t>High</t>
        </is>
      </c>
      <c r="L3" s="181" t="inlineStr">
        <is>
          <t>mixed</t>
        </is>
      </c>
      <c r="M3" s="181" t="inlineStr">
        <is>
          <t>https://plants.sc.egov.usda.gov/home/search?query=Griffonia%20simplicifolia | https://pmc.ncbi.nlm.nih.gov/articles/PMC5580516/ | https://pmc.ncbi.nlm.nih.gov/articles/PMC6141939/ | https://pubchem.ncbi.nlm.nih.gov/#query=5-hydroxytryptophan%20%285-htp%29 | https://pubchem.ncbi.nlm.nih.gov/compound/5-Hydroxytryptophan | https://pubchem.ncbi.nlm.nih.gov/compound/Oxitriptan</t>
        </is>
      </c>
      <c r="N3" s="181" t="inlineStr">
        <is>
          <t>inferred_plus_trusted_gov</t>
        </is>
      </c>
      <c r="O3" s="181" t="inlineStr">
        <is>
          <t>scientific name; PubChem compound page (NIH); USDA Plants database</t>
        </is>
      </c>
      <c r="P3" s="181" t="inlineStr">
        <is>
          <t>Batch11_neuroprecursors_2026-04-06</t>
        </is>
      </c>
      <c r="Q3" s="181" t="inlineStr">
        <is>
          <t>griffonia-simplicifolia</t>
        </is>
      </c>
      <c r="R3" s="181" t="n">
        <v>1</v>
      </c>
      <c r="S3" s="181" t="inlineStr">
        <is>
          <t>Yes</t>
        </is>
      </c>
      <c r="T3" s="181" t="inlineStr">
        <is>
          <t>Integrated from cleaned high-signal dataset; Integrated from compound monograph workbook</t>
        </is>
      </c>
    </row>
    <row r="4">
      <c r="A4" s="181" t="inlineStr">
        <is>
          <t>5-meo-dmt</t>
        </is>
      </c>
      <c r="B4" s="181" t="inlineStr">
        <is>
          <t>5-meo-dmt</t>
        </is>
      </c>
      <c r="C4" s="181" t="str"/>
      <c r="D4" s="181" t="inlineStr">
        <is>
          <t>alkaloid</t>
        </is>
      </c>
      <c r="E4" s="181" t="inlineStr">
        <is>
          <t>Tryptamines act on serotonergic receptors, especially 5-HT2A, producing psychedelic effects.</t>
        </is>
      </c>
      <c r="F4" s="181" t="inlineStr">
        <is>
          <t>serotonin receptor interaction</t>
        </is>
      </c>
      <c r="G4" s="181" t="inlineStr">
        <is>
          <t>serotonergic_5HT2A_agonism</t>
        </is>
      </c>
      <c r="H4" s="181" t="inlineStr">
        <is>
          <t>rapid absorption; CNS penetration; hepatic metabolism</t>
        </is>
      </c>
      <c r="I4" s="181" t="inlineStr">
        <is>
          <t>moderate-high</t>
        </is>
      </c>
      <c r="J4" s="181" t="inlineStr">
        <is>
          <t>avoid with SSRIs/MAOIs; risk of serotonin syndrome</t>
        </is>
      </c>
      <c r="K4" s="181" t="str"/>
      <c r="L4" s="181" t="inlineStr">
        <is>
          <t>compound_level</t>
        </is>
      </c>
      <c r="M4" s="181" t="inlineStr">
        <is>
          <t>https://plants.sc.egov.usda.gov/home/search?query=Anadenanthera%20Colubrina | https://plants.sc.egov.usda.gov/home/search?query=Piptadenia%20peregrina | https://plants.sc.egov.usda.gov/home/search?query=Virola%20calophylla | https://plants.sc.egov.usda.gov/home/search?query=Virola%20elongata | https://plants.sc.egov.usda.gov/home/search?query=Virola%20sebifera | https://plants.sc.egov.usda.gov/home/search?query=Virola%20spp. | https://plants.sc.egov.usda.gov/home/search?query=anadenanthera%20colubrina | https://plants.sc.egov.usda.gov/home/search?query=anadenanthera%20peregrina | https://pubchem.ncbi.nlm.nih.gov/#query=5-methoxy-n%2Cn-dimethyltryptamine</t>
        </is>
      </c>
      <c r="N4" s="181" t="inlineStr">
        <is>
          <t>inferred_plus_trusted_gov; trusted_gov_added</t>
        </is>
      </c>
      <c r="O4" s="181" t="inlineStr">
        <is>
          <t>PubChem compound page (NIH); USDA Plants database; Unknown; PubChem compound page (NIH); USDA Plants database; scientific name; PubChem compound page (NIH); USDA Plants database</t>
        </is>
      </c>
      <c r="P4" s="181" t="str"/>
      <c r="Q4" s="181" t="inlineStr">
        <is>
          <t>anadenanthera-colubrina; anadenanthera-colubrina-ceb-l; anadenanthera-peregrina; piptadenia-peregrina; virola-calophylla; virola-elongata; virola-sebifera; virola-spp.</t>
        </is>
      </c>
      <c r="R4" s="181" t="n">
        <v>8</v>
      </c>
      <c r="S4" s="181" t="inlineStr">
        <is>
          <t>Yes</t>
        </is>
      </c>
      <c r="T4" s="181" t="inlineStr">
        <is>
          <t>Integrated from cleaned high-signal dataset</t>
        </is>
      </c>
    </row>
    <row r="5">
      <c r="A5" s="181" t="inlineStr">
        <is>
          <t>6-gingerol</t>
        </is>
      </c>
      <c r="B5" s="181" t="inlineStr">
        <is>
          <t>6-gingerol</t>
        </is>
      </c>
      <c r="C5" s="181" t="str"/>
      <c r="D5" s="181" t="inlineStr">
        <is>
          <t>other</t>
        </is>
      </c>
      <c r="E5" s="181" t="inlineStr">
        <is>
          <t>insufficient evidence</t>
        </is>
      </c>
      <c r="F5" s="181" t="inlineStr">
        <is>
          <t>COX/NF-kB inhibition</t>
        </is>
      </c>
      <c r="G5" s="181" t="inlineStr">
        <is>
          <t>inflammatory_pathway_modulation</t>
        </is>
      </c>
      <c r="H5" s="181" t="inlineStr">
        <is>
          <t>oral absorption; hepatic metabolism; systemic distribution</t>
        </is>
      </c>
      <c r="I5" s="181" t="inlineStr">
        <is>
          <t>low</t>
        </is>
      </c>
      <c r="J5" s="181" t="inlineStr">
        <is>
          <t>no well-documented interactions</t>
        </is>
      </c>
      <c r="K5" s="181" t="str"/>
      <c r="L5" s="181" t="inlineStr">
        <is>
          <t>compound_level</t>
        </is>
      </c>
      <c r="M5" s="181" t="inlineStr">
        <is>
          <t>https://plants.sc.egov.usda.gov/home/search?query=ginger | https://pubchem.ncbi.nlm.nih.gov/#query=6-gingerol</t>
        </is>
      </c>
      <c r="N5" s="181" t="inlineStr">
        <is>
          <t>trusted_gov_added</t>
        </is>
      </c>
      <c r="O5" s="181" t="inlineStr">
        <is>
          <t>PubChem compound page (NIH); USDA Plants database</t>
        </is>
      </c>
      <c r="P5" s="181" t="str"/>
      <c r="Q5" s="181" t="inlineStr">
        <is>
          <t>zingiber-officinale</t>
        </is>
      </c>
      <c r="R5" s="181" t="n">
        <v>1</v>
      </c>
      <c r="S5" s="181" t="inlineStr">
        <is>
          <t>Yes</t>
        </is>
      </c>
      <c r="T5" s="181" t="inlineStr">
        <is>
          <t>Integrated from cleaned high-signal dataset</t>
        </is>
      </c>
    </row>
    <row r="6">
      <c r="A6" s="181" t="inlineStr">
        <is>
          <t>7-hydroxymitragynine</t>
        </is>
      </c>
      <c r="B6" s="181" t="inlineStr">
        <is>
          <t>7-hydroxymitragynine</t>
        </is>
      </c>
      <c r="C6" s="181" t="str"/>
      <c r="D6" s="181" t="inlineStr">
        <is>
          <t>other</t>
        </is>
      </c>
      <c r="E6" s="181" t="inlineStr">
        <is>
          <t>Mitragynine and 7-hydroxymitragynine act as partial agonists at μ-opioid receptors with additional adrenergic and serotonergic activity.</t>
        </is>
      </c>
      <c r="F6" s="181" t="inlineStr">
        <is>
          <t>multi-target signaling modulation</t>
        </is>
      </c>
      <c r="G6" s="181" t="inlineStr">
        <is>
          <t>general or unknown targets</t>
        </is>
      </c>
      <c r="H6" s="181" t="inlineStr">
        <is>
          <t>moderate absorption; hepatic metabolism</t>
        </is>
      </c>
      <c r="I6" s="181" t="inlineStr">
        <is>
          <t>low</t>
        </is>
      </c>
      <c r="J6" s="181" t="inlineStr">
        <is>
          <t>no well-documented interactions</t>
        </is>
      </c>
      <c r="K6" s="181" t="str"/>
      <c r="L6" s="181" t="inlineStr">
        <is>
          <t>compound_level</t>
        </is>
      </c>
      <c r="M6" s="181" t="inlineStr">
        <is>
          <t>https://plants.sc.egov.usda.gov/home/search?query=Mitragyna%20speciosa | https://plants.sc.egov.usda.gov/home/search?query=kratom%20hybrids | https://pubchem.ncbi.nlm.nih.gov/#query=7-hydroxymitragynine</t>
        </is>
      </c>
      <c r="N6" s="181" t="inlineStr">
        <is>
          <t>inferred_plus_trusted_gov; trusted_gov_added</t>
        </is>
      </c>
      <c r="O6" s="181" t="inlineStr">
        <is>
          <t>PubChem compound page (NIH); USDA Plants database; scientific name; PubChem compound page (NIH); USDA Plants database</t>
        </is>
      </c>
      <c r="P6" s="181" t="str"/>
      <c r="Q6" s="181" t="inlineStr">
        <is>
          <t>kratom-hybrids; mitragyna-speciosa</t>
        </is>
      </c>
      <c r="R6" s="181" t="n">
        <v>2</v>
      </c>
      <c r="S6" s="181" t="inlineStr">
        <is>
          <t>Yes</t>
        </is>
      </c>
      <c r="T6" s="181" t="inlineStr">
        <is>
          <t>Integrated from cleaned high-signal dataset</t>
        </is>
      </c>
    </row>
    <row r="7">
      <c r="A7" s="181" t="inlineStr">
        <is>
          <t>8-cineole</t>
        </is>
      </c>
      <c r="B7" s="181" t="inlineStr">
        <is>
          <t>8-cineole</t>
        </is>
      </c>
      <c r="C7" s="181" t="str"/>
      <c r="D7" s="181" t="inlineStr">
        <is>
          <t>other</t>
        </is>
      </c>
      <c r="E7" s="181" t="inlineStr">
        <is>
          <t>insufficient evidence</t>
        </is>
      </c>
      <c r="F7" s="181" t="inlineStr">
        <is>
          <t>multi-target signaling modulation</t>
        </is>
      </c>
      <c r="G7" s="181" t="inlineStr">
        <is>
          <t>general or unknown targets</t>
        </is>
      </c>
      <c r="H7" s="181" t="inlineStr">
        <is>
          <t>Absorption and bioavailability vary; some compounds metabolized via cytochrome P450 enzymes.</t>
        </is>
      </c>
      <c r="I7" s="181" t="inlineStr">
        <is>
          <t>low</t>
        </is>
      </c>
      <c r="J7" s="181" t="inlineStr">
        <is>
          <t>no well-documented interactions</t>
        </is>
      </c>
      <c r="K7" s="181" t="str"/>
      <c r="L7" s="181" t="inlineStr">
        <is>
          <t>compound_level</t>
        </is>
      </c>
      <c r="M7" s="181" t="inlineStr">
        <is>
          <t>https://plants.sc.egov.usda.gov/home/search?query=Artemisia%20herba-alba | https://plants.sc.egov.usda.gov/home/search?query=catnip | https://pubchem.ncbi.nlm.nih.gov/#query=8-cineole</t>
        </is>
      </c>
      <c r="N7" s="181" t="inlineStr">
        <is>
          <t>inferred_plus_trusted_gov; trusted_gov_added</t>
        </is>
      </c>
      <c r="O7" s="181" t="inlineStr">
        <is>
          <t>PubChem compound page (NIH); USDA Plants database; scientific name; PubChem compound page (NIH); USDA Plants database</t>
        </is>
      </c>
      <c r="P7" s="181" t="str"/>
      <c r="Q7" s="181" t="inlineStr">
        <is>
          <t>artemisia-herba-alba; nepeta-cataria</t>
        </is>
      </c>
      <c r="R7" s="181" t="n">
        <v>2</v>
      </c>
      <c r="S7" s="181" t="inlineStr">
        <is>
          <t>Yes</t>
        </is>
      </c>
      <c r="T7" s="181" t="inlineStr">
        <is>
          <t>Integrated from cleaned high-signal dataset</t>
        </is>
      </c>
    </row>
    <row r="8">
      <c r="A8" s="181" t="inlineStr">
        <is>
          <t>absinthin</t>
        </is>
      </c>
      <c r="B8" s="181" t="inlineStr">
        <is>
          <t>absinthin</t>
        </is>
      </c>
      <c r="C8" s="181" t="str"/>
      <c r="D8" s="181" t="inlineStr">
        <is>
          <t>other</t>
        </is>
      </c>
      <c r="E8" s="181" t="inlineStr">
        <is>
          <t>Thujone is associated with GABA_A receptor antagonism; other constituents contribute bitter, digestive, and broader preclinical bioactivities.</t>
        </is>
      </c>
      <c r="F8" s="181" t="inlineStr">
        <is>
          <t>GABAergic modulation</t>
        </is>
      </c>
      <c r="G8" s="181" t="inlineStr">
        <is>
          <t>gabaergic_modulation</t>
        </is>
      </c>
      <c r="H8" s="181" t="inlineStr">
        <is>
          <t>moderate absorption; hepatic metabolism</t>
        </is>
      </c>
      <c r="I8" s="181" t="inlineStr">
        <is>
          <t>low</t>
        </is>
      </c>
      <c r="J8" s="181" t="inlineStr">
        <is>
          <t>no well-documented interactions</t>
        </is>
      </c>
      <c r="K8" s="181" t="str"/>
      <c r="L8" s="181" t="inlineStr">
        <is>
          <t>compound_level</t>
        </is>
      </c>
      <c r="M8" s="181" t="inlineStr">
        <is>
          <t>https://plants.sc.egov.usda.gov/home/search?query=artemisia%20absinthium | https://pubchem.ncbi.nlm.nih.gov/#query=absinthin</t>
        </is>
      </c>
      <c r="N8" s="181" t="inlineStr">
        <is>
          <t>trusted_gov_added</t>
        </is>
      </c>
      <c r="O8" s="181" t="inlineStr">
        <is>
          <t>PubChem compound page (NIH); USDA Plants database</t>
        </is>
      </c>
      <c r="P8" s="181" t="str"/>
      <c r="Q8" s="181" t="inlineStr">
        <is>
          <t>artemisia-absinthium</t>
        </is>
      </c>
      <c r="R8" s="181" t="n">
        <v>1</v>
      </c>
      <c r="S8" s="181" t="inlineStr">
        <is>
          <t>Yes</t>
        </is>
      </c>
      <c r="T8" s="181" t="inlineStr">
        <is>
          <t>Integrated from cleaned high-signal dataset</t>
        </is>
      </c>
    </row>
    <row r="9">
      <c r="A9" s="181" t="inlineStr">
        <is>
          <t>acetyl-11-keto-beta-boswellic acid</t>
        </is>
      </c>
      <c r="B9" s="181" t="inlineStr">
        <is>
          <t>acetyl-11-keto-beta-boswellic acid (akba)</t>
        </is>
      </c>
      <c r="C9" s="181" t="str"/>
      <c r="D9" s="181" t="inlineStr">
        <is>
          <t>organic acid</t>
        </is>
      </c>
      <c r="E9" s="181" t="inlineStr">
        <is>
          <t>Boswellic acids, especially AKBA, act as relatively selective 5-lipoxygenase inhibitors and reduce leukotriene synthesis in inflammatory pathways.</t>
        </is>
      </c>
      <c r="F9" s="181" t="inlineStr">
        <is>
          <t>multi-target signaling modulation</t>
        </is>
      </c>
      <c r="G9" s="181" t="inlineStr">
        <is>
          <t>general or unknown targets</t>
        </is>
      </c>
      <c r="H9" s="181" t="inlineStr">
        <is>
          <t>moderate absorption; hepatic metabolism</t>
        </is>
      </c>
      <c r="I9" s="181" t="inlineStr">
        <is>
          <t>low</t>
        </is>
      </c>
      <c r="J9" s="181" t="inlineStr">
        <is>
          <t>no well-documented interactions</t>
        </is>
      </c>
      <c r="K9" s="181" t="str"/>
      <c r="L9" s="181" t="inlineStr">
        <is>
          <t>compound_level</t>
        </is>
      </c>
      <c r="M9" s="181" t="inlineStr">
        <is>
          <t>https://plants.sc.egov.usda.gov/home/search?query=frankincense%20%28boswellia%29 | https://pubchem.ncbi.nlm.nih.gov/#query=acetyl-11-keto-beta-boswellic%20acid%20%28akba%29</t>
        </is>
      </c>
      <c r="N9" s="181" t="inlineStr">
        <is>
          <t>trusted_gov_added</t>
        </is>
      </c>
      <c r="O9" s="181" t="inlineStr">
        <is>
          <t>PubChem compound page (NIH); USDA Plants database</t>
        </is>
      </c>
      <c r="P9" s="181" t="str"/>
      <c r="Q9" s="181" t="inlineStr">
        <is>
          <t>frankincense-boswellia</t>
        </is>
      </c>
      <c r="R9" s="181" t="n">
        <v>1</v>
      </c>
      <c r="S9" s="181" t="inlineStr">
        <is>
          <t>Yes</t>
        </is>
      </c>
      <c r="T9" s="181" t="inlineStr">
        <is>
          <t>Integrated from cleaned high-signal dataset</t>
        </is>
      </c>
    </row>
    <row r="10">
      <c r="A10" s="181" t="inlineStr">
        <is>
          <t>acetyl-beta-boswellic acid</t>
        </is>
      </c>
      <c r="B10" s="181" t="inlineStr">
        <is>
          <t>acetyl-beta-boswellic acid</t>
        </is>
      </c>
      <c r="C10" s="181" t="str"/>
      <c r="D10" s="181" t="inlineStr">
        <is>
          <t>organic acid</t>
        </is>
      </c>
      <c r="E10" s="181" t="inlineStr">
        <is>
          <t>Boswellic acids, especially AKBA, act as relatively selective 5-lipoxygenase inhibitors and reduce leukotriene synthesis in inflammatory pathways.</t>
        </is>
      </c>
      <c r="F10" s="181" t="inlineStr">
        <is>
          <t>multi-target signaling modulation</t>
        </is>
      </c>
      <c r="G10" s="181" t="inlineStr">
        <is>
          <t>general or unknown targets</t>
        </is>
      </c>
      <c r="H10" s="181" t="inlineStr">
        <is>
          <t>moderate absorption; hepatic metabolism</t>
        </is>
      </c>
      <c r="I10" s="181" t="inlineStr">
        <is>
          <t>low</t>
        </is>
      </c>
      <c r="J10" s="181" t="inlineStr">
        <is>
          <t>no well-documented interactions</t>
        </is>
      </c>
      <c r="K10" s="181" t="str"/>
      <c r="L10" s="181" t="inlineStr">
        <is>
          <t>compound_level</t>
        </is>
      </c>
      <c r="M10" s="181" t="inlineStr">
        <is>
          <t>https://plants.sc.egov.usda.gov/home/search?query=frankincense%20%28boswellia%29 | https://pubchem.ncbi.nlm.nih.gov/#query=acetyl-beta-boswellic%20acid</t>
        </is>
      </c>
      <c r="N10" s="181" t="inlineStr">
        <is>
          <t>trusted_gov_added</t>
        </is>
      </c>
      <c r="O10" s="181" t="inlineStr">
        <is>
          <t>PubChem compound page (NIH); USDA Plants database</t>
        </is>
      </c>
      <c r="P10" s="181" t="str"/>
      <c r="Q10" s="181" t="inlineStr">
        <is>
          <t>frankincense-boswellia</t>
        </is>
      </c>
      <c r="R10" s="181" t="n">
        <v>1</v>
      </c>
      <c r="S10" s="181" t="inlineStr">
        <is>
          <t>Yes</t>
        </is>
      </c>
      <c r="T10" s="181" t="inlineStr">
        <is>
          <t>Integrated from cleaned high-signal dataset</t>
        </is>
      </c>
    </row>
    <row r="11">
      <c r="A11" s="181" t="inlineStr">
        <is>
          <t>acetyl-l-carnitine</t>
        </is>
      </c>
      <c r="B11" s="181" t="inlineStr">
        <is>
          <t>acetyl-L-carnitine</t>
        </is>
      </c>
      <c r="C11" s="181" t="str"/>
      <c r="D11" s="181" t="inlineStr">
        <is>
          <t>amino acid derivative</t>
        </is>
      </c>
      <c r="E11" s="181" t="inlineStr">
        <is>
          <t>Facilitates mitochondrial fatty acid transport via the carnitine shuttle and supports acetyl-CoA metabolism.</t>
        </is>
      </c>
      <c r="F11" s="181" t="str"/>
      <c r="G11" s="181" t="inlineStr">
        <is>
          <t>Carnitine shuttle system; Mitochondrial beta-oxidation</t>
        </is>
      </c>
      <c r="H11" s="181" t="inlineStr">
        <is>
          <t>Absorbed orally; crosses the blood-brain barrier.</t>
        </is>
      </c>
      <c r="I11" s="181" t="inlineStr">
        <is>
          <t>Generally well tolerated; mild GI upset reported.</t>
        </is>
      </c>
      <c r="J11" s="181" t="inlineStr">
        <is>
          <t>Thyroid hormone (possible interaction); anticoagulants (theoretical interaction).</t>
        </is>
      </c>
      <c r="K11" s="181" t="inlineStr">
        <is>
          <t>moderate</t>
        </is>
      </c>
      <c r="L11" s="181" t="inlineStr">
        <is>
          <t>Batch10</t>
        </is>
      </c>
      <c r="M11" s="181" t="str"/>
      <c r="N11" s="181" t="str"/>
      <c r="O11" s="181" t="str"/>
      <c r="P11" s="181" t="inlineStr">
        <is>
          <t>manual_batch10</t>
        </is>
      </c>
      <c r="Q11" s="181" t="str"/>
      <c r="R11" s="181" t="n">
        <v>0</v>
      </c>
      <c r="S11" s="181" t="inlineStr">
        <is>
          <t>No</t>
        </is>
      </c>
      <c r="T11" s="181" t="inlineStr">
        <is>
          <t>Integrated from compound monograph workbook</t>
        </is>
      </c>
    </row>
    <row r="12">
      <c r="A12" s="181" t="inlineStr">
        <is>
          <t>aconitine</t>
        </is>
      </c>
      <c r="B12" s="181" t="inlineStr">
        <is>
          <t>aconitine</t>
        </is>
      </c>
      <c r="C12" s="181" t="str"/>
      <c r="D12" s="181" t="inlineStr">
        <is>
          <t>other</t>
        </is>
      </c>
      <c r="E12" s="181" t="inlineStr">
        <is>
          <t>insufficient evidence</t>
        </is>
      </c>
      <c r="F12" s="181" t="inlineStr">
        <is>
          <t>multi-target signaling modulation</t>
        </is>
      </c>
      <c r="G12" s="181" t="inlineStr">
        <is>
          <t>general or unknown targets</t>
        </is>
      </c>
      <c r="H12" s="181" t="inlineStr">
        <is>
          <t>Absorption and bioavailability vary; some compounds metabolized via cytochrome P450 enzymes.</t>
        </is>
      </c>
      <c r="I12" s="181" t="inlineStr">
        <is>
          <t>low</t>
        </is>
      </c>
      <c r="J12" s="181" t="inlineStr">
        <is>
          <t>no well-documented interactions</t>
        </is>
      </c>
      <c r="K12" s="181" t="str"/>
      <c r="L12" s="181" t="inlineStr">
        <is>
          <t>compound_level</t>
        </is>
      </c>
      <c r="M12" s="181" t="inlineStr">
        <is>
          <t>https://plants.sc.egov.usda.gov/home/search?query=Aconitum%20ferox | https://plants.sc.egov.usda.gov/home/search?query=Aconitum%20napellus | https://pubchem.ncbi.nlm.nih.gov/#query=aconitine</t>
        </is>
      </c>
      <c r="N12" s="181" t="inlineStr">
        <is>
          <t>inferred_plus_trusted_gov</t>
        </is>
      </c>
      <c r="O12" s="181" t="inlineStr">
        <is>
          <t>scientific name; PubChem compound page (NIH); USDA Plants database</t>
        </is>
      </c>
      <c r="P12" s="181" t="str"/>
      <c r="Q12" s="181" t="inlineStr">
        <is>
          <t>aconitum-ferox; aconitum-napellus</t>
        </is>
      </c>
      <c r="R12" s="181" t="n">
        <v>2</v>
      </c>
      <c r="S12" s="181" t="inlineStr">
        <is>
          <t>Yes</t>
        </is>
      </c>
      <c r="T12" s="181" t="inlineStr">
        <is>
          <t>Integrated from cleaned high-signal dataset</t>
        </is>
      </c>
    </row>
    <row r="13">
      <c r="A13" s="181" t="inlineStr">
        <is>
          <t>adenosine</t>
        </is>
      </c>
      <c r="B13" s="181" t="inlineStr">
        <is>
          <t>adenosine</t>
        </is>
      </c>
      <c r="C13" s="181" t="str"/>
      <c r="D13" s="181" t="inlineStr">
        <is>
          <t>polysaccharides</t>
        </is>
      </c>
      <c r="E13" s="181" t="inlineStr">
        <is>
          <t>insufficient evidence</t>
        </is>
      </c>
      <c r="F13" s="181" t="inlineStr">
        <is>
          <t>adenosine receptor antagonism</t>
        </is>
      </c>
      <c r="G13" s="181" t="inlineStr">
        <is>
          <t>adenosine_antagonism</t>
        </is>
      </c>
      <c r="H13" s="181" t="inlineStr">
        <is>
          <t>Absorption and bioavailability vary; some compounds metabolized via cytochrome P450 enzymes.</t>
        </is>
      </c>
      <c r="I13" s="181" t="inlineStr">
        <is>
          <t>low</t>
        </is>
      </c>
      <c r="J13" s="181" t="inlineStr">
        <is>
          <t>no well-documented interactions</t>
        </is>
      </c>
      <c r="K13" s="181" t="str"/>
      <c r="L13" s="181" t="inlineStr">
        <is>
          <t>compound_level</t>
        </is>
      </c>
      <c r="M13" s="181" t="inlineStr">
        <is>
          <t>https://plants.sc.egov.usda.gov/home/search?query=Cordyceps%20sinensis | https://pubchem.ncbi.nlm.nih.gov/#query=adenosine</t>
        </is>
      </c>
      <c r="N13" s="181" t="inlineStr">
        <is>
          <t>inferred_plus_trusted_gov</t>
        </is>
      </c>
      <c r="O13" s="181" t="inlineStr">
        <is>
          <t>scientific name; PubChem compound page (NIH); USDA Plants database</t>
        </is>
      </c>
      <c r="P13" s="181" t="str"/>
      <c r="Q13" s="181" t="inlineStr">
        <is>
          <t>cordyceps-sinensis</t>
        </is>
      </c>
      <c r="R13" s="181" t="n">
        <v>1</v>
      </c>
      <c r="S13" s="181" t="inlineStr">
        <is>
          <t>Yes</t>
        </is>
      </c>
      <c r="T13" s="181" t="inlineStr">
        <is>
          <t>Integrated from cleaned high-signal dataset</t>
        </is>
      </c>
    </row>
    <row r="14">
      <c r="A14" s="181" t="inlineStr">
        <is>
          <t>aegeline</t>
        </is>
      </c>
      <c r="B14" s="181" t="inlineStr">
        <is>
          <t>aegeline</t>
        </is>
      </c>
      <c r="C14" s="181" t="str"/>
      <c r="D14" s="181" t="inlineStr">
        <is>
          <t>coumarins</t>
        </is>
      </c>
      <c r="E14" s="181" t="inlineStr">
        <is>
          <t>insufficient evidence</t>
        </is>
      </c>
      <c r="F14" s="181" t="inlineStr">
        <is>
          <t>multi-target signaling modulation</t>
        </is>
      </c>
      <c r="G14" s="181" t="inlineStr">
        <is>
          <t>general or unknown targets</t>
        </is>
      </c>
      <c r="H14" s="181" t="inlineStr">
        <is>
          <t>moderate absorption; hepatic metabolism</t>
        </is>
      </c>
      <c r="I14" s="181" t="inlineStr">
        <is>
          <t>low</t>
        </is>
      </c>
      <c r="J14" s="181" t="inlineStr">
        <is>
          <t>no well-documented interactions</t>
        </is>
      </c>
      <c r="K14" s="181" t="str"/>
      <c r="L14" s="181" t="inlineStr">
        <is>
          <t>compound_level</t>
        </is>
      </c>
      <c r="M14" s="181" t="inlineStr">
        <is>
          <t>https://plants.sc.egov.usda.gov/home/search?query=aegle%20marmelos | https://pubchem.ncbi.nlm.nih.gov/#query=aegeline</t>
        </is>
      </c>
      <c r="N14" s="181" t="inlineStr">
        <is>
          <t>trusted_gov_added</t>
        </is>
      </c>
      <c r="O14" s="181" t="inlineStr">
        <is>
          <t>PubChem compound page (NIH); USDA Plants database</t>
        </is>
      </c>
      <c r="P14" s="181" t="str"/>
      <c r="Q14" s="181" t="inlineStr">
        <is>
          <t>aegle-marmelos</t>
        </is>
      </c>
      <c r="R14" s="181" t="n">
        <v>1</v>
      </c>
      <c r="S14" s="181" t="inlineStr">
        <is>
          <t>Yes</t>
        </is>
      </c>
      <c r="T14" s="181" t="inlineStr">
        <is>
          <t>Integrated from cleaned high-signal dataset</t>
        </is>
      </c>
    </row>
    <row r="15">
      <c r="A15" s="181" t="inlineStr">
        <is>
          <t>aescin</t>
        </is>
      </c>
      <c r="B15" s="181" t="inlineStr">
        <is>
          <t>aescin</t>
        </is>
      </c>
      <c r="C15" s="181" t="str"/>
      <c r="D15" s="181" t="inlineStr">
        <is>
          <t>other</t>
        </is>
      </c>
      <c r="E15" s="181" t="inlineStr">
        <is>
          <t>insufficient evidence</t>
        </is>
      </c>
      <c r="F15" s="181" t="inlineStr">
        <is>
          <t>multi-target signaling modulation</t>
        </is>
      </c>
      <c r="G15" s="181" t="inlineStr">
        <is>
          <t>general or unknown targets</t>
        </is>
      </c>
      <c r="H15" s="181" t="inlineStr">
        <is>
          <t>Absorption and bioavailability vary; some compounds metabolized via cytochrome P450 enzymes.</t>
        </is>
      </c>
      <c r="I15" s="181" t="inlineStr">
        <is>
          <t>low</t>
        </is>
      </c>
      <c r="J15" s="181" t="inlineStr">
        <is>
          <t>no well-documented interactions</t>
        </is>
      </c>
      <c r="K15" s="181" t="str"/>
      <c r="L15" s="181" t="inlineStr">
        <is>
          <t>compound_level</t>
        </is>
      </c>
      <c r="M15" s="181" t="inlineStr">
        <is>
          <t>https://plants.sc.egov.usda.gov/home/search?query=Aesculus%20hippocastanum | https://pubchem.ncbi.nlm.nih.gov/#query=aescin</t>
        </is>
      </c>
      <c r="N15" s="181" t="inlineStr">
        <is>
          <t>inferred_plus_trusted_gov</t>
        </is>
      </c>
      <c r="O15" s="181" t="inlineStr">
        <is>
          <t>scientific name; PubChem compound page (NIH); USDA Plants database</t>
        </is>
      </c>
      <c r="P15" s="181" t="str"/>
      <c r="Q15" s="181" t="inlineStr">
        <is>
          <t>aesculus-hippocastanum</t>
        </is>
      </c>
      <c r="R15" s="181" t="n">
        <v>1</v>
      </c>
      <c r="S15" s="181" t="inlineStr">
        <is>
          <t>Yes</t>
        </is>
      </c>
      <c r="T15" s="181" t="inlineStr">
        <is>
          <t>Integrated from cleaned high-signal dataset</t>
        </is>
      </c>
    </row>
    <row r="16">
      <c r="A16" s="181" t="inlineStr">
        <is>
          <t>aesculin</t>
        </is>
      </c>
      <c r="B16" s="181" t="inlineStr">
        <is>
          <t>aesculin</t>
        </is>
      </c>
      <c r="C16" s="181" t="str"/>
      <c r="D16" s="181" t="inlineStr">
        <is>
          <t>other</t>
        </is>
      </c>
      <c r="E16" s="181" t="inlineStr">
        <is>
          <t>insufficient evidence</t>
        </is>
      </c>
      <c r="F16" s="181" t="inlineStr">
        <is>
          <t>multi-target signaling modulation</t>
        </is>
      </c>
      <c r="G16" s="181" t="inlineStr">
        <is>
          <t>general or unknown targets</t>
        </is>
      </c>
      <c r="H16" s="181" t="inlineStr">
        <is>
          <t>Absorption and bioavailability vary; some compounds metabolized via cytochrome P450 enzymes.</t>
        </is>
      </c>
      <c r="I16" s="181" t="inlineStr">
        <is>
          <t>low</t>
        </is>
      </c>
      <c r="J16" s="181" t="inlineStr">
        <is>
          <t>no well-documented interactions</t>
        </is>
      </c>
      <c r="K16" s="181" t="str"/>
      <c r="L16" s="181" t="inlineStr">
        <is>
          <t>compound_level</t>
        </is>
      </c>
      <c r="M16" s="181" t="inlineStr">
        <is>
          <t>https://plants.sc.egov.usda.gov/home/search?query=Aesculus%20hippocastanum | https://pubchem.ncbi.nlm.nih.gov/#query=aesculin</t>
        </is>
      </c>
      <c r="N16" s="181" t="inlineStr">
        <is>
          <t>inferred_plus_trusted_gov</t>
        </is>
      </c>
      <c r="O16" s="181" t="inlineStr">
        <is>
          <t>scientific name; PubChem compound page (NIH); USDA Plants database</t>
        </is>
      </c>
      <c r="P16" s="181" t="str"/>
      <c r="Q16" s="181" t="inlineStr">
        <is>
          <t>aesculus-hippocastanum</t>
        </is>
      </c>
      <c r="R16" s="181" t="n">
        <v>1</v>
      </c>
      <c r="S16" s="181" t="inlineStr">
        <is>
          <t>Yes</t>
        </is>
      </c>
      <c r="T16" s="181" t="inlineStr">
        <is>
          <t>Integrated from cleaned high-signal dataset</t>
        </is>
      </c>
    </row>
    <row r="17">
      <c r="A17" s="181" t="inlineStr">
        <is>
          <t>agnuside</t>
        </is>
      </c>
      <c r="B17" s="181" t="inlineStr">
        <is>
          <t>agnuside</t>
        </is>
      </c>
      <c r="C17" s="181" t="str"/>
      <c r="D17" s="181" t="inlineStr">
        <is>
          <t>Agnuside, flavonoids, diterpenes</t>
        </is>
      </c>
      <c r="E17" s="181" t="inlineStr">
        <is>
          <t>insufficient evidence</t>
        </is>
      </c>
      <c r="F17" s="181" t="inlineStr">
        <is>
          <t>multi-target signaling modulation</t>
        </is>
      </c>
      <c r="G17" s="181" t="inlineStr">
        <is>
          <t>general or unknown targets</t>
        </is>
      </c>
      <c r="H17" s="181" t="inlineStr">
        <is>
          <t>Oral; dopamine agonist, pituitary modulator</t>
        </is>
      </c>
      <c r="I17" s="181" t="inlineStr">
        <is>
          <t>low</t>
        </is>
      </c>
      <c r="J17" s="181" t="inlineStr">
        <is>
          <t>no well-documented interactions</t>
        </is>
      </c>
      <c r="K17" s="181" t="str"/>
      <c r="L17" s="181" t="inlineStr">
        <is>
          <t>compound_level</t>
        </is>
      </c>
      <c r="M17" s="181" t="inlineStr">
        <is>
          <t>https://plants.sc.egov.usda.gov/home/search?query=Vitex%20agnus-castus | https://pubchem.ncbi.nlm.nih.gov/#query=agnuside</t>
        </is>
      </c>
      <c r="N17" s="181" t="inlineStr">
        <is>
          <t>inferred_plus_trusted_gov</t>
        </is>
      </c>
      <c r="O17" s="181" t="inlineStr">
        <is>
          <t>scientific name; PubChem compound page (NIH); USDA Plants database</t>
        </is>
      </c>
      <c r="P17" s="181" t="str"/>
      <c r="Q17" s="181" t="inlineStr">
        <is>
          <t>vitex-agnus-castus</t>
        </is>
      </c>
      <c r="R17" s="181" t="n">
        <v>1</v>
      </c>
      <c r="S17" s="181" t="inlineStr">
        <is>
          <t>Yes</t>
        </is>
      </c>
      <c r="T17" s="181" t="inlineStr">
        <is>
          <t>Integrated from cleaned high-signal dataset</t>
        </is>
      </c>
    </row>
    <row r="18">
      <c r="A18" s="181" t="inlineStr">
        <is>
          <t>agrimoniin</t>
        </is>
      </c>
      <c r="B18" s="181" t="inlineStr">
        <is>
          <t>agrimoniin</t>
        </is>
      </c>
      <c r="C18" s="181" t="str"/>
      <c r="D18" s="181" t="inlineStr">
        <is>
          <t>Tannins, agrimoniin, flavonoids</t>
        </is>
      </c>
      <c r="E18" s="181" t="inlineStr">
        <is>
          <t>insufficient evidence</t>
        </is>
      </c>
      <c r="F18" s="181" t="inlineStr">
        <is>
          <t>multi-target signaling modulation</t>
        </is>
      </c>
      <c r="G18" s="181" t="inlineStr">
        <is>
          <t>general or unknown targets</t>
        </is>
      </c>
      <c r="H18" s="181" t="inlineStr">
        <is>
          <t>Oral; mucosal toning and anti-inflammatory</t>
        </is>
      </c>
      <c r="I18" s="181" t="inlineStr">
        <is>
          <t>low</t>
        </is>
      </c>
      <c r="J18" s="181" t="inlineStr">
        <is>
          <t>no well-documented interactions</t>
        </is>
      </c>
      <c r="K18" s="181" t="str"/>
      <c r="L18" s="181" t="inlineStr">
        <is>
          <t>compound_level</t>
        </is>
      </c>
      <c r="M18" s="181" t="inlineStr">
        <is>
          <t>https://plants.sc.egov.usda.gov/home/search?query=Agrimonia%20eupatoria | https://pubchem.ncbi.nlm.nih.gov/#query=agrimoniin</t>
        </is>
      </c>
      <c r="N18" s="181" t="inlineStr">
        <is>
          <t>inferred_plus_trusted_gov</t>
        </is>
      </c>
      <c r="O18" s="181" t="inlineStr">
        <is>
          <t>scientific name; PubChem compound page (NIH); USDA Plants database</t>
        </is>
      </c>
      <c r="P18" s="181" t="str"/>
      <c r="Q18" s="181" t="inlineStr">
        <is>
          <t>agrimonia-eupatoria</t>
        </is>
      </c>
      <c r="R18" s="181" t="n">
        <v>1</v>
      </c>
      <c r="S18" s="181" t="inlineStr">
        <is>
          <t>Yes</t>
        </is>
      </c>
      <c r="T18" s="181" t="inlineStr">
        <is>
          <t>Integrated from cleaned high-signal dataset</t>
        </is>
      </c>
    </row>
    <row r="19">
      <c r="A19" s="181" t="inlineStr">
        <is>
          <t>ajmaline</t>
        </is>
      </c>
      <c r="B19" s="181" t="inlineStr">
        <is>
          <t>ajmaline</t>
        </is>
      </c>
      <c r="C19" s="181" t="str"/>
      <c r="D19" s="181" t="inlineStr">
        <is>
          <t>other</t>
        </is>
      </c>
      <c r="E19" s="181" t="inlineStr">
        <is>
          <t>insufficient evidence</t>
        </is>
      </c>
      <c r="F19" s="181" t="inlineStr">
        <is>
          <t>multi-target signaling modulation</t>
        </is>
      </c>
      <c r="G19" s="181" t="inlineStr">
        <is>
          <t>general or unknown targets</t>
        </is>
      </c>
      <c r="H19" s="181" t="inlineStr">
        <is>
          <t>Absorption and bioavailability vary; some compounds metabolized via cytochrome P450 enzymes.</t>
        </is>
      </c>
      <c r="I19" s="181" t="inlineStr">
        <is>
          <t>low</t>
        </is>
      </c>
      <c r="J19" s="181" t="inlineStr">
        <is>
          <t>no well-documented interactions</t>
        </is>
      </c>
      <c r="K19" s="181" t="str"/>
      <c r="L19" s="181" t="inlineStr">
        <is>
          <t>compound_level</t>
        </is>
      </c>
      <c r="M19" s="181" t="inlineStr">
        <is>
          <t>https://plants.sc.egov.usda.gov/home/search?query=Rauvolfia%20serpentina | https://plants.sc.egov.usda.gov/home/search?query=Rauvolfia%20vomitoria | https://pubchem.ncbi.nlm.nih.gov/#query=ajmaline</t>
        </is>
      </c>
      <c r="N19" s="181" t="inlineStr">
        <is>
          <t>inferred_plus_trusted_gov</t>
        </is>
      </c>
      <c r="O19" s="181" t="inlineStr">
        <is>
          <t>scientific name; PubChem compound page (NIH); USDA Plants database</t>
        </is>
      </c>
      <c r="P19" s="181" t="str"/>
      <c r="Q19" s="181" t="inlineStr">
        <is>
          <t>rauvolfia-serpentina; rauvolfia-vomitoria</t>
        </is>
      </c>
      <c r="R19" s="181" t="n">
        <v>2</v>
      </c>
      <c r="S19" s="181" t="inlineStr">
        <is>
          <t>Yes</t>
        </is>
      </c>
      <c r="T19" s="181" t="inlineStr">
        <is>
          <t>Integrated from cleaned high-signal dataset</t>
        </is>
      </c>
    </row>
    <row r="20">
      <c r="A20" s="181" t="inlineStr">
        <is>
          <t>ajoene</t>
        </is>
      </c>
      <c r="B20" s="181" t="inlineStr">
        <is>
          <t>ajoene</t>
        </is>
      </c>
      <c r="C20" s="181" t="str"/>
      <c r="D20" s="181" t="inlineStr">
        <is>
          <t>other</t>
        </is>
      </c>
      <c r="E20" s="181" t="inlineStr">
        <is>
          <t>insufficient evidence</t>
        </is>
      </c>
      <c r="F20" s="181" t="inlineStr">
        <is>
          <t>multi-target signaling modulation</t>
        </is>
      </c>
      <c r="G20" s="181" t="inlineStr">
        <is>
          <t>general or unknown targets</t>
        </is>
      </c>
      <c r="H20" s="181" t="inlineStr">
        <is>
          <t>Oral; vasodilatory, antibacterial, antithrombotic</t>
        </is>
      </c>
      <c r="I20" s="181" t="inlineStr">
        <is>
          <t>low</t>
        </is>
      </c>
      <c r="J20" s="181" t="inlineStr">
        <is>
          <t>no well-documented interactions</t>
        </is>
      </c>
      <c r="K20" s="181" t="str"/>
      <c r="L20" s="181" t="inlineStr">
        <is>
          <t>compound_level</t>
        </is>
      </c>
      <c r="M20" s="181" t="inlineStr">
        <is>
          <t>https://plants.sc.egov.usda.gov/home/search?query=Allium%20sativum | https://pubchem.ncbi.nlm.nih.gov/#query=ajoene</t>
        </is>
      </c>
      <c r="N20" s="181" t="inlineStr">
        <is>
          <t>inferred_plus_trusted_gov</t>
        </is>
      </c>
      <c r="O20" s="181" t="inlineStr">
        <is>
          <t>scientific name; PubChem compound page (NIH); USDA Plants database</t>
        </is>
      </c>
      <c r="P20" s="181" t="str"/>
      <c r="Q20" s="181" t="inlineStr">
        <is>
          <t>allium-sativum</t>
        </is>
      </c>
      <c r="R20" s="181" t="n">
        <v>1</v>
      </c>
      <c r="S20" s="181" t="inlineStr">
        <is>
          <t>Yes</t>
        </is>
      </c>
      <c r="T20" s="181" t="inlineStr">
        <is>
          <t>Integrated from cleaned high-signal dataset</t>
        </is>
      </c>
    </row>
    <row r="21">
      <c r="A21" s="181" t="inlineStr">
        <is>
          <t>akba</t>
        </is>
      </c>
      <c r="B21" s="181" t="inlineStr">
        <is>
          <t>akba</t>
        </is>
      </c>
      <c r="C21" s="181" t="str"/>
      <c r="D21" s="181" t="inlineStr">
        <is>
          <t>other</t>
        </is>
      </c>
      <c r="E21" s="181" t="inlineStr">
        <is>
          <t>insufficient evidence</t>
        </is>
      </c>
      <c r="F21" s="181" t="inlineStr">
        <is>
          <t>multi-target signaling modulation</t>
        </is>
      </c>
      <c r="G21" s="181" t="inlineStr">
        <is>
          <t>general or unknown targets</t>
        </is>
      </c>
      <c r="H21" s="181" t="inlineStr">
        <is>
          <t>Absorption and bioavailability vary; some compounds metabolized via cytochrome P450 enzymes.</t>
        </is>
      </c>
      <c r="I21" s="181" t="inlineStr">
        <is>
          <t>low</t>
        </is>
      </c>
      <c r="J21" s="181" t="inlineStr">
        <is>
          <t>no well-documented interactions</t>
        </is>
      </c>
      <c r="K21" s="181" t="str"/>
      <c r="L21" s="181" t="inlineStr">
        <is>
          <t>compound_level</t>
        </is>
      </c>
      <c r="M21" s="181" t="inlineStr">
        <is>
          <t>https://plants.sc.egov.usda.gov/home/search?query=Boswellia%20sacra | https://pubchem.ncbi.nlm.nih.gov/#query=akba</t>
        </is>
      </c>
      <c r="N21" s="181" t="inlineStr">
        <is>
          <t>inferred_plus_trusted_gov</t>
        </is>
      </c>
      <c r="O21" s="181" t="inlineStr">
        <is>
          <t>scientific name; PubChem compound page (NIH); USDA Plants database</t>
        </is>
      </c>
      <c r="P21" s="181" t="str"/>
      <c r="Q21" s="181" t="inlineStr">
        <is>
          <t>boswellia-sacra</t>
        </is>
      </c>
      <c r="R21" s="181" t="n">
        <v>1</v>
      </c>
      <c r="S21" s="181" t="inlineStr">
        <is>
          <t>Yes</t>
        </is>
      </c>
      <c r="T21" s="181" t="inlineStr">
        <is>
          <t>Integrated from cleaned high-signal dataset</t>
        </is>
      </c>
    </row>
    <row r="22">
      <c r="A22" s="181" t="inlineStr">
        <is>
          <t>alangine</t>
        </is>
      </c>
      <c r="B22" s="181" t="inlineStr">
        <is>
          <t>alangine</t>
        </is>
      </c>
      <c r="C22" s="181" t="str"/>
      <c r="D22" s="181" t="inlineStr">
        <is>
          <t>alkaloids</t>
        </is>
      </c>
      <c r="E22" s="181" t="inlineStr">
        <is>
          <t>insufficient evidence</t>
        </is>
      </c>
      <c r="F22" s="181" t="inlineStr">
        <is>
          <t>multi-target signaling modulation</t>
        </is>
      </c>
      <c r="G22" s="181" t="inlineStr">
        <is>
          <t>general or unknown targets</t>
        </is>
      </c>
      <c r="H22" s="181" t="inlineStr">
        <is>
          <t>Absorption and bioavailability vary; some compounds metabolized via cytochrome P450 enzymes.</t>
        </is>
      </c>
      <c r="I22" s="181" t="inlineStr">
        <is>
          <t>low</t>
        </is>
      </c>
      <c r="J22" s="181" t="inlineStr">
        <is>
          <t>no well-documented interactions</t>
        </is>
      </c>
      <c r="K22" s="181" t="str"/>
      <c r="L22" s="181" t="inlineStr">
        <is>
          <t>compound_level</t>
        </is>
      </c>
      <c r="M22" s="181" t="inlineStr">
        <is>
          <t>https://plants.sc.egov.usda.gov/home/search?query=Alangium%20salvifolium | https://pubchem.ncbi.nlm.nih.gov/#query=alangine</t>
        </is>
      </c>
      <c r="N22" s="181" t="inlineStr">
        <is>
          <t>inferred_plus_trusted_gov</t>
        </is>
      </c>
      <c r="O22" s="181" t="inlineStr">
        <is>
          <t>scientific name; PubChem compound page (NIH); USDA Plants database</t>
        </is>
      </c>
      <c r="P22" s="181" t="str"/>
      <c r="Q22" s="181" t="inlineStr">
        <is>
          <t>alangium-salvifolium</t>
        </is>
      </c>
      <c r="R22" s="181" t="n">
        <v>1</v>
      </c>
      <c r="S22" s="181" t="inlineStr">
        <is>
          <t>Yes</t>
        </is>
      </c>
      <c r="T22" s="181" t="inlineStr">
        <is>
          <t>Integrated from cleaned high-signal dataset</t>
        </is>
      </c>
    </row>
    <row r="23">
      <c r="A23" s="181" t="inlineStr">
        <is>
          <t>alchorneine</t>
        </is>
      </c>
      <c r="B23" s="181" t="inlineStr">
        <is>
          <t>alchorneine</t>
        </is>
      </c>
      <c r="C23" s="181" t="str"/>
      <c r="D23" s="181" t="inlineStr">
        <is>
          <t>iboga alkaloids</t>
        </is>
      </c>
      <c r="E23" s="181" t="inlineStr">
        <is>
          <t>insufficient evidence</t>
        </is>
      </c>
      <c r="F23" s="181" t="inlineStr">
        <is>
          <t>multi-target signaling modulation</t>
        </is>
      </c>
      <c r="G23" s="181" t="inlineStr">
        <is>
          <t>general or unknown targets</t>
        </is>
      </c>
      <c r="H23" s="181" t="inlineStr">
        <is>
          <t>Absorption and bioavailability vary; some compounds metabolized via cytochrome P450 enzymes.</t>
        </is>
      </c>
      <c r="I23" s="181" t="inlineStr">
        <is>
          <t>low</t>
        </is>
      </c>
      <c r="J23" s="181" t="inlineStr">
        <is>
          <t>no well-documented interactions</t>
        </is>
      </c>
      <c r="K23" s="181" t="str"/>
      <c r="L23" s="181" t="inlineStr">
        <is>
          <t>compound_level</t>
        </is>
      </c>
      <c r="M23" s="181" t="inlineStr">
        <is>
          <t>https://plants.sc.egov.usda.gov/home/search?query=Alchornea%20floribunda | https://pubchem.ncbi.nlm.nih.gov/#query=alchorneine</t>
        </is>
      </c>
      <c r="N23" s="181" t="inlineStr">
        <is>
          <t>inferred_plus_trusted_gov</t>
        </is>
      </c>
      <c r="O23" s="181" t="inlineStr">
        <is>
          <t>scientific name; PubChem compound page (NIH); USDA Plants database</t>
        </is>
      </c>
      <c r="P23" s="181" t="str"/>
      <c r="Q23" s="181" t="inlineStr">
        <is>
          <t>alchornea-floribunda</t>
        </is>
      </c>
      <c r="R23" s="181" t="n">
        <v>1</v>
      </c>
      <c r="S23" s="181" t="inlineStr">
        <is>
          <t>Yes</t>
        </is>
      </c>
      <c r="T23" s="181" t="inlineStr">
        <is>
          <t>Integrated from cleaned high-signal dataset</t>
        </is>
      </c>
    </row>
    <row r="24">
      <c r="A24" s="181" t="inlineStr">
        <is>
          <t>allantoin</t>
        </is>
      </c>
      <c r="B24" s="181" t="inlineStr">
        <is>
          <t>allantoin</t>
        </is>
      </c>
      <c r="C24" s="181" t="str"/>
      <c r="D24" s="181" t="inlineStr">
        <is>
          <t>other</t>
        </is>
      </c>
      <c r="E24" s="181" t="inlineStr">
        <is>
          <t>insufficient evidence</t>
        </is>
      </c>
      <c r="F24" s="181" t="inlineStr">
        <is>
          <t>multi-target signaling modulation</t>
        </is>
      </c>
      <c r="G24" s="181" t="inlineStr">
        <is>
          <t>general or unknown targets</t>
        </is>
      </c>
      <c r="H24" s="181" t="inlineStr">
        <is>
          <t>Oral/topical; mucosal and epithelial support</t>
        </is>
      </c>
      <c r="I24" s="181" t="inlineStr">
        <is>
          <t>low</t>
        </is>
      </c>
      <c r="J24" s="181" t="inlineStr">
        <is>
          <t>no well-documented interactions</t>
        </is>
      </c>
      <c r="K24" s="181" t="str"/>
      <c r="L24" s="181" t="inlineStr">
        <is>
          <t>compound_level</t>
        </is>
      </c>
      <c r="M24" s="181" t="inlineStr">
        <is>
          <t>https://plants.sc.egov.usda.gov/home/search?query=Plantago%20major | https://plants.sc.egov.usda.gov/home/search?query=Symphytum%20officinale | https://pubchem.ncbi.nlm.nih.gov/#query=allantoin</t>
        </is>
      </c>
      <c r="N24" s="181" t="inlineStr">
        <is>
          <t>inferred_plus_trusted_gov</t>
        </is>
      </c>
      <c r="O24" s="181" t="inlineStr">
        <is>
          <t>scientific name; PubChem compound page (NIH); USDA Plants database</t>
        </is>
      </c>
      <c r="P24" s="181" t="str"/>
      <c r="Q24" s="181" t="inlineStr">
        <is>
          <t>plantago-major; symphytum-officinale</t>
        </is>
      </c>
      <c r="R24" s="181" t="n">
        <v>2</v>
      </c>
      <c r="S24" s="181" t="inlineStr">
        <is>
          <t>Yes</t>
        </is>
      </c>
      <c r="T24" s="181" t="inlineStr">
        <is>
          <t>Integrated from cleaned high-signal dataset</t>
        </is>
      </c>
    </row>
    <row r="25">
      <c r="A25" s="181" t="inlineStr">
        <is>
          <t>allicin</t>
        </is>
      </c>
      <c r="B25" s="181" t="inlineStr">
        <is>
          <t>allicin</t>
        </is>
      </c>
      <c r="C25" s="181" t="str"/>
      <c r="D25" s="181" t="inlineStr">
        <is>
          <t>other</t>
        </is>
      </c>
      <c r="E25" s="181" t="inlineStr">
        <is>
          <t>insufficient evidence</t>
        </is>
      </c>
      <c r="F25" s="181" t="inlineStr">
        <is>
          <t>multi-target signaling modulation</t>
        </is>
      </c>
      <c r="G25" s="181" t="inlineStr">
        <is>
          <t>general or unknown targets</t>
        </is>
      </c>
      <c r="H25" s="181" t="inlineStr">
        <is>
          <t>Oral; vasodilatory, antibacterial, antithrombotic</t>
        </is>
      </c>
      <c r="I25" s="181" t="inlineStr">
        <is>
          <t>low</t>
        </is>
      </c>
      <c r="J25" s="181" t="inlineStr">
        <is>
          <t>no well-documented interactions</t>
        </is>
      </c>
      <c r="K25" s="181" t="str"/>
      <c r="L25" s="181" t="inlineStr">
        <is>
          <t>compound_level</t>
        </is>
      </c>
      <c r="M25" s="181" t="inlineStr">
        <is>
          <t>https://plants.sc.egov.usda.gov/home/search?query=Allium%20sativum | https://pubchem.ncbi.nlm.nih.gov/#query=allicin</t>
        </is>
      </c>
      <c r="N25" s="181" t="inlineStr">
        <is>
          <t>inferred_plus_trusted_gov</t>
        </is>
      </c>
      <c r="O25" s="181" t="inlineStr">
        <is>
          <t>scientific name; PubChem compound page (NIH); USDA Plants database</t>
        </is>
      </c>
      <c r="P25" s="181" t="str"/>
      <c r="Q25" s="181" t="inlineStr">
        <is>
          <t>allium-sativum</t>
        </is>
      </c>
      <c r="R25" s="181" t="n">
        <v>1</v>
      </c>
      <c r="S25" s="181" t="inlineStr">
        <is>
          <t>Yes</t>
        </is>
      </c>
      <c r="T25" s="181" t="inlineStr">
        <is>
          <t>Integrated from cleaned high-signal dataset</t>
        </is>
      </c>
    </row>
    <row r="26">
      <c r="A26" s="181" t="inlineStr">
        <is>
          <t>allyl isothiocyanate</t>
        </is>
      </c>
      <c r="B26" s="181" t="inlineStr">
        <is>
          <t>allyl isothiocyanate</t>
        </is>
      </c>
      <c r="C26" s="181" t="str"/>
      <c r="D26" s="181" t="inlineStr">
        <is>
          <t>other</t>
        </is>
      </c>
      <c r="E26" s="181" t="inlineStr">
        <is>
          <t>insufficient evidence</t>
        </is>
      </c>
      <c r="F26" s="181" t="inlineStr">
        <is>
          <t>multi-target signaling modulation</t>
        </is>
      </c>
      <c r="G26" s="181" t="inlineStr">
        <is>
          <t>general or unknown targets</t>
        </is>
      </c>
      <c r="H26" s="181" t="inlineStr">
        <is>
          <t>Absorption and bioavailability vary; some compounds metabolized via cytochrome P450 enzymes.</t>
        </is>
      </c>
      <c r="I26" s="181" t="inlineStr">
        <is>
          <t>low</t>
        </is>
      </c>
      <c r="J26" s="181" t="inlineStr">
        <is>
          <t>no well-documented interactions</t>
        </is>
      </c>
      <c r="K26" s="181" t="str"/>
      <c r="L26" s="181" t="inlineStr">
        <is>
          <t>compound_level</t>
        </is>
      </c>
      <c r="M26" s="181" t="inlineStr">
        <is>
          <t>https://plants.sc.egov.usda.gov/home/search?query=Armoracia%20rusticana | https://pubchem.ncbi.nlm.nih.gov/#query=allyl%20isothiocyanate</t>
        </is>
      </c>
      <c r="N26" s="181" t="inlineStr">
        <is>
          <t>inferred_plus_trusted_gov</t>
        </is>
      </c>
      <c r="O26" s="181" t="inlineStr">
        <is>
          <t>scientific name; PubChem compound page (NIH); USDA Plants database</t>
        </is>
      </c>
      <c r="P26" s="181" t="str"/>
      <c r="Q26" s="181" t="inlineStr">
        <is>
          <t>armoracia-rusticana</t>
        </is>
      </c>
      <c r="R26" s="181" t="n">
        <v>1</v>
      </c>
      <c r="S26" s="181" t="inlineStr">
        <is>
          <t>Yes</t>
        </is>
      </c>
      <c r="T26" s="181" t="inlineStr">
        <is>
          <t>Integrated from cleaned high-signal dataset</t>
        </is>
      </c>
    </row>
    <row r="27">
      <c r="A27" s="181" t="inlineStr">
        <is>
          <t>aloe-emodin</t>
        </is>
      </c>
      <c r="B27" s="181" t="inlineStr">
        <is>
          <t>aloe-emodin</t>
        </is>
      </c>
      <c r="C27" s="181" t="str"/>
      <c r="D27" s="181" t="inlineStr">
        <is>
          <t>anthraquinone</t>
        </is>
      </c>
      <c r="E27" s="181" t="inlineStr">
        <is>
          <t>Modulates MAPK and NF-kB pathways</t>
        </is>
      </c>
      <c r="F27" s="181" t="inlineStr">
        <is>
          <t>multi-target signaling modulation</t>
        </is>
      </c>
      <c r="G27" s="181" t="inlineStr">
        <is>
          <t>MAPK pathway; NF-kB inhibition; general or unknown targets</t>
        </is>
      </c>
      <c r="H27" s="181" t="inlineStr">
        <is>
          <t>Absorption and bioavailability vary; some compounds metabolized via cytochrome P450 enzymes.</t>
        </is>
      </c>
      <c r="I27" s="181" t="inlineStr">
        <is>
          <t>low</t>
        </is>
      </c>
      <c r="J27" s="181" t="inlineStr">
        <is>
          <t>Laxatives (additive effect)</t>
        </is>
      </c>
      <c r="K27" s="181" t="str"/>
      <c r="L27" s="181" t="inlineStr">
        <is>
          <t>Batch8</t>
        </is>
      </c>
      <c r="M27" s="181" t="inlineStr">
        <is>
          <t>https://plants.sc.egov.usda.gov/home/search?query=Cassia%20alata | https://plants.sc.egov.usda.gov/home/search?query=Cassia%20occidentalis | https://pubchem.ncbi.nlm.nih.gov/#query=aloe-emodin</t>
        </is>
      </c>
      <c r="N27" s="181" t="inlineStr">
        <is>
          <t>inferred_plus_trusted_gov</t>
        </is>
      </c>
      <c r="O27" s="181" t="inlineStr">
        <is>
          <t>scientific name; PubChem compound page (NIH); USDA Plants database</t>
        </is>
      </c>
      <c r="P27" s="181" t="inlineStr">
        <is>
          <t>precision_monographs_batch8.xlsx</t>
        </is>
      </c>
      <c r="Q27" s="181" t="inlineStr">
        <is>
          <t>cassia-alata; cassia-occidentalis</t>
        </is>
      </c>
      <c r="R27" s="181" t="n">
        <v>2</v>
      </c>
      <c r="S27" s="181" t="inlineStr">
        <is>
          <t>Yes</t>
        </is>
      </c>
      <c r="T27" s="181" t="inlineStr">
        <is>
          <t>Integrated from cleaned high-signal dataset; Integrated from compound monograph workbook</t>
        </is>
      </c>
    </row>
    <row r="28">
      <c r="A28" s="181" t="inlineStr">
        <is>
          <t>aloin</t>
        </is>
      </c>
      <c r="B28" s="181" t="inlineStr">
        <is>
          <t>aloin</t>
        </is>
      </c>
      <c r="C28" s="181" t="str"/>
      <c r="D28" s="181" t="inlineStr">
        <is>
          <t>Aloin, polysaccharides, anthraquinones</t>
        </is>
      </c>
      <c r="E28" s="181" t="inlineStr">
        <is>
          <t>insufficient evidence</t>
        </is>
      </c>
      <c r="F28" s="181" t="inlineStr">
        <is>
          <t>multi-target signaling modulation</t>
        </is>
      </c>
      <c r="G28" s="181" t="inlineStr">
        <is>
          <t>general or unknown targets</t>
        </is>
      </c>
      <c r="H28" s="181" t="inlineStr">
        <is>
          <t>Oral/topical; demulcent and laxative effects</t>
        </is>
      </c>
      <c r="I28" s="181" t="inlineStr">
        <is>
          <t>low</t>
        </is>
      </c>
      <c r="J28" s="181" t="inlineStr">
        <is>
          <t>no well-documented interactions</t>
        </is>
      </c>
      <c r="K28" s="181" t="str"/>
      <c r="L28" s="181" t="inlineStr">
        <is>
          <t>compound_level</t>
        </is>
      </c>
      <c r="M28" s="181" t="inlineStr">
        <is>
          <t>https://plants.sc.egov.usda.gov/home/search?query=Aloe%20vera | https://pubchem.ncbi.nlm.nih.gov/#query=aloin</t>
        </is>
      </c>
      <c r="N28" s="181" t="inlineStr">
        <is>
          <t>inferred_plus_trusted_gov</t>
        </is>
      </c>
      <c r="O28" s="181" t="inlineStr">
        <is>
          <t>scientific name; PubChem compound page (NIH); USDA Plants database</t>
        </is>
      </c>
      <c r="P28" s="181" t="str"/>
      <c r="Q28" s="181" t="inlineStr">
        <is>
          <t>aloe-vera</t>
        </is>
      </c>
      <c r="R28" s="181" t="n">
        <v>1</v>
      </c>
      <c r="S28" s="181" t="inlineStr">
        <is>
          <t>Yes</t>
        </is>
      </c>
      <c r="T28" s="181" t="inlineStr">
        <is>
          <t>Integrated from cleaned high-signal dataset</t>
        </is>
      </c>
    </row>
    <row r="29">
      <c r="A29" s="181" t="inlineStr">
        <is>
          <t>alpha-asarone</t>
        </is>
      </c>
      <c r="B29" s="181" t="inlineStr">
        <is>
          <t>alpha-asarone</t>
        </is>
      </c>
      <c r="C29" s="181" t="str"/>
      <c r="D29" s="181" t="inlineStr">
        <is>
          <t>other</t>
        </is>
      </c>
      <c r="E29" s="181" t="inlineStr">
        <is>
          <t>insufficient evidence</t>
        </is>
      </c>
      <c r="F29" s="181" t="inlineStr">
        <is>
          <t>GABAergic modulation; multi-target signaling modulation</t>
        </is>
      </c>
      <c r="G29" s="181" t="inlineStr">
        <is>
          <t>gabaergic_modulation; general or unknown targets</t>
        </is>
      </c>
      <c r="H29" s="181" t="inlineStr">
        <is>
          <t>moderate absorption; hepatic metabolism</t>
        </is>
      </c>
      <c r="I29" s="181" t="inlineStr">
        <is>
          <t>low</t>
        </is>
      </c>
      <c r="J29" s="181" t="inlineStr">
        <is>
          <t>no well-documented interactions</t>
        </is>
      </c>
      <c r="K29" s="181" t="str"/>
      <c r="L29" s="181" t="inlineStr">
        <is>
          <t>compound_level</t>
        </is>
      </c>
      <c r="M29" s="181" t="inlineStr">
        <is>
          <t>https://plants.sc.egov.usda.gov/home/search?query=Acorus%20tatarinowii | https://plants.sc.egov.usda.gov/home/search?query=acorus%20americanus | https://plants.sc.egov.usda.gov/home/search?query=acorus%20calamus | https://plants.sc.egov.usda.gov/home/search?query=acorus%20calamus%20var.%20angustatus | https://pubchem.ncbi.nlm.nih.gov/#query=alpha-asarone</t>
        </is>
      </c>
      <c r="N29" s="181" t="inlineStr">
        <is>
          <t>inferred_plus_trusted_gov; trusted_gov_added</t>
        </is>
      </c>
      <c r="O29" s="181" t="inlineStr">
        <is>
          <t>PubChem compound page (NIH); USDA Plants database; scientific name; PubChem compound page (NIH); USDA Plants database</t>
        </is>
      </c>
      <c r="P29" s="181" t="str"/>
      <c r="Q29" s="181" t="inlineStr">
        <is>
          <t>acorus-americanus; acorus-calamus; acorus-calamus-angustatus; acorus-tatarinowii</t>
        </is>
      </c>
      <c r="R29" s="181" t="n">
        <v>4</v>
      </c>
      <c r="S29" s="181" t="inlineStr">
        <is>
          <t>Yes</t>
        </is>
      </c>
      <c r="T29" s="181" t="inlineStr">
        <is>
          <t>Integrated from cleaned high-signal dataset</t>
        </is>
      </c>
    </row>
    <row r="30">
      <c r="A30" s="181" t="inlineStr">
        <is>
          <t>alpha-bisabolol</t>
        </is>
      </c>
      <c r="B30" s="181" t="inlineStr">
        <is>
          <t>alpha-bisabolol</t>
        </is>
      </c>
      <c r="C30" s="181" t="str"/>
      <c r="D30" s="181" t="inlineStr">
        <is>
          <t>other</t>
        </is>
      </c>
      <c r="E30" s="181" t="inlineStr">
        <is>
          <t>Chamomile's CNS effects are partly attributed to apigenin, which binds at the central benzodiazepine site associated with GABA_A receptor signaling; other constituents contribute anti-inflammatory and spasmolytic activity.</t>
        </is>
      </c>
      <c r="F30" s="181" t="inlineStr">
        <is>
          <t>GABAergic modulation</t>
        </is>
      </c>
      <c r="G30" s="181" t="inlineStr">
        <is>
          <t>gabaergic_modulation; inflammatory_pathway_modulation</t>
        </is>
      </c>
      <c r="H30" s="181" t="inlineStr">
        <is>
          <t>moderate absorption; hepatic metabolism</t>
        </is>
      </c>
      <c r="I30" s="181" t="inlineStr">
        <is>
          <t>low</t>
        </is>
      </c>
      <c r="J30" s="181" t="inlineStr">
        <is>
          <t>no well-documented interactions</t>
        </is>
      </c>
      <c r="K30" s="181" t="str"/>
      <c r="L30" s="181" t="inlineStr">
        <is>
          <t>compound_level</t>
        </is>
      </c>
      <c r="M30" s="181" t="inlineStr">
        <is>
          <t>https://plants.sc.egov.usda.gov/home/search?query=chamomile | https://pubchem.ncbi.nlm.nih.gov/#query=alpha-bisabolol</t>
        </is>
      </c>
      <c r="N30" s="181" t="inlineStr">
        <is>
          <t>trusted_gov_added</t>
        </is>
      </c>
      <c r="O30" s="181" t="inlineStr">
        <is>
          <t>PubChem compound page (NIH); USDA Plants database</t>
        </is>
      </c>
      <c r="P30" s="181" t="str"/>
      <c r="Q30" s="181" t="inlineStr">
        <is>
          <t>matricaria-chamomilla</t>
        </is>
      </c>
      <c r="R30" s="181" t="n">
        <v>1</v>
      </c>
      <c r="S30" s="181" t="inlineStr">
        <is>
          <t>Yes</t>
        </is>
      </c>
      <c r="T30" s="181" t="inlineStr">
        <is>
          <t>Integrated from cleaned high-signal dataset</t>
        </is>
      </c>
    </row>
    <row r="31">
      <c r="A31" s="181" t="inlineStr">
        <is>
          <t>alpha-gpc l-alpha-glycerylphosphorylcholine</t>
        </is>
      </c>
      <c r="B31" s="181" t="inlineStr">
        <is>
          <t>alpha-GPC (L-alpha-glycerylphosphorylcholine)</t>
        </is>
      </c>
      <c r="C31" s="181" t="str"/>
      <c r="D31" s="181" t="inlineStr">
        <is>
          <t>choline-containing phospholipid metabolite</t>
        </is>
      </c>
      <c r="E31" s="181" t="inlineStr">
        <is>
          <t>Highly bioavailable choline donor that increases choline availability for acetylcholine synthesis and phospholipid metabolism; primary value is precursor loading rather than direct receptor pharmacology.</t>
        </is>
      </c>
      <c r="F31" s="181" t="str"/>
      <c r="G31" s="181" t="inlineStr">
        <is>
          <t>Acetylcholine synthesis pathway; choline pool replenishment; phospholipid metabolism</t>
        </is>
      </c>
      <c r="H31" s="181" t="inlineStr">
        <is>
          <t>Rapid oral absorption with meaningful choline delivery; brain effects are usually discussed in terms of choline availability rather than intact alpha-GPC receptor action.</t>
        </is>
      </c>
      <c r="I31" s="181" t="inlineStr">
        <is>
          <t>Usually well tolerated; headache, dizziness, GI upset, and insomnia are the more practical adverse-effect cautions.</t>
        </is>
      </c>
      <c r="J31" s="181" t="inlineStr">
        <is>
          <t>Anticholinergic drugs (functional opposition); cholinergic drugs / acetylcholinesterase inhibitors (possible additive cholinergic effects).</t>
        </is>
      </c>
      <c r="K31" s="181" t="inlineStr">
        <is>
          <t>Moderate</t>
        </is>
      </c>
      <c r="L31" s="181" t="inlineStr">
        <is>
          <t>mixed</t>
        </is>
      </c>
      <c r="M31" s="181" t="inlineStr">
        <is>
          <t>https://pubchem.ncbi.nlm.nih.gov/compound/Glycerophosphocholine | https://pubmed.ncbi.nlm.nih.gov/18839195/ | https://pubmed.ncbi.nlm.nih.gov/24482832/</t>
        </is>
      </c>
      <c r="N31" s="181" t="str"/>
      <c r="O31" s="181" t="str"/>
      <c r="P31" s="181" t="inlineStr">
        <is>
          <t>Batch12_cholinergic_cognition_2026-04-07</t>
        </is>
      </c>
      <c r="Q31" s="181" t="str"/>
      <c r="R31" s="181" t="n">
        <v>0</v>
      </c>
      <c r="S31" s="181" t="inlineStr">
        <is>
          <t>No</t>
        </is>
      </c>
      <c r="T31" s="181" t="inlineStr">
        <is>
          <t>Integrated from compound monograph workbook</t>
        </is>
      </c>
    </row>
    <row r="32">
      <c r="A32" s="181" t="inlineStr">
        <is>
          <t>alpha-pinene</t>
        </is>
      </c>
      <c r="B32" s="181" t="inlineStr">
        <is>
          <t>alpha-pinene</t>
        </is>
      </c>
      <c r="C32" s="181" t="str"/>
      <c r="D32" s="181" t="inlineStr">
        <is>
          <t>terpenes</t>
        </is>
      </c>
      <c r="E32" s="181" t="inlineStr">
        <is>
          <t>insufficient evidence</t>
        </is>
      </c>
      <c r="F32" s="181" t="inlineStr">
        <is>
          <t>multi-target signaling modulation</t>
        </is>
      </c>
      <c r="G32" s="181" t="inlineStr">
        <is>
          <t>general or unknown targets</t>
        </is>
      </c>
      <c r="H32" s="181" t="inlineStr">
        <is>
          <t>Absorption and bioavailability vary; some compounds metabolized via cytochrome P450 enzymes.</t>
        </is>
      </c>
      <c r="I32" s="181" t="inlineStr">
        <is>
          <t>low</t>
        </is>
      </c>
      <c r="J32" s="181" t="inlineStr">
        <is>
          <t>no well-documented interactions</t>
        </is>
      </c>
      <c r="K32" s="181" t="str"/>
      <c r="L32" s="181" t="inlineStr">
        <is>
          <t>compound_level</t>
        </is>
      </c>
      <c r="M32" s="181" t="inlineStr">
        <is>
          <t>https://plants.sc.egov.usda.gov/home/search?query=Juniperus%20sibirica | https://pubchem.ncbi.nlm.nih.gov/#query=alpha-pinene</t>
        </is>
      </c>
      <c r="N32" s="181" t="inlineStr">
        <is>
          <t>inferred_plus_trusted_gov</t>
        </is>
      </c>
      <c r="O32" s="181" t="inlineStr">
        <is>
          <t>scientific name; PubChem compound page (NIH); USDA Plants database</t>
        </is>
      </c>
      <c r="P32" s="181" t="str"/>
      <c r="Q32" s="181" t="inlineStr">
        <is>
          <t>juniperus-sibirica</t>
        </is>
      </c>
      <c r="R32" s="181" t="n">
        <v>1</v>
      </c>
      <c r="S32" s="181" t="inlineStr">
        <is>
          <t>Yes</t>
        </is>
      </c>
      <c r="T32" s="181" t="inlineStr">
        <is>
          <t>Integrated from cleaned high-signal dataset</t>
        </is>
      </c>
    </row>
    <row r="33">
      <c r="A33" s="181" t="inlineStr">
        <is>
          <t>alpha-thujone</t>
        </is>
      </c>
      <c r="B33" s="181" t="inlineStr">
        <is>
          <t>alpha-thujone</t>
        </is>
      </c>
      <c r="C33" s="181" t="str"/>
      <c r="D33" s="181" t="inlineStr">
        <is>
          <t>other</t>
        </is>
      </c>
      <c r="E33" s="181" t="inlineStr">
        <is>
          <t>Thujone is associated with GABA_A receptor antagonism; other constituents contribute bitter, digestive, and broader preclinical bioactivities.</t>
        </is>
      </c>
      <c r="F33" s="181" t="inlineStr">
        <is>
          <t>GABAergic modulation</t>
        </is>
      </c>
      <c r="G33" s="181" t="inlineStr">
        <is>
          <t>gabaergic_modulation</t>
        </is>
      </c>
      <c r="H33" s="181" t="inlineStr">
        <is>
          <t>moderate absorption; hepatic metabolism</t>
        </is>
      </c>
      <c r="I33" s="181" t="inlineStr">
        <is>
          <t>low</t>
        </is>
      </c>
      <c r="J33" s="181" t="inlineStr">
        <is>
          <t>no well-documented interactions</t>
        </is>
      </c>
      <c r="K33" s="181" t="str"/>
      <c r="L33" s="181" t="inlineStr">
        <is>
          <t>compound_level</t>
        </is>
      </c>
      <c r="M33" s="181" t="inlineStr">
        <is>
          <t>https://plants.sc.egov.usda.gov/home/search?query=artemisia%20absinthium | https://pubchem.ncbi.nlm.nih.gov/#query=alpha-thujone</t>
        </is>
      </c>
      <c r="N33" s="181" t="inlineStr">
        <is>
          <t>trusted_gov_added</t>
        </is>
      </c>
      <c r="O33" s="181" t="inlineStr">
        <is>
          <t>PubChem compound page (NIH); USDA Plants database</t>
        </is>
      </c>
      <c r="P33" s="181" t="str"/>
      <c r="Q33" s="181" t="inlineStr">
        <is>
          <t>artemisia-absinthium</t>
        </is>
      </c>
      <c r="R33" s="181" t="n">
        <v>1</v>
      </c>
      <c r="S33" s="181" t="inlineStr">
        <is>
          <t>Yes</t>
        </is>
      </c>
      <c r="T33" s="181" t="inlineStr">
        <is>
          <t>Integrated from cleaned high-signal dataset</t>
        </is>
      </c>
    </row>
    <row r="34">
      <c r="A34" s="181" t="inlineStr">
        <is>
          <t>amarogentin</t>
        </is>
      </c>
      <c r="B34" s="181" t="inlineStr">
        <is>
          <t>amarogentin</t>
        </is>
      </c>
      <c r="C34" s="181" t="str"/>
      <c r="D34" s="181" t="inlineStr">
        <is>
          <t>other</t>
        </is>
      </c>
      <c r="E34" s="181" t="inlineStr">
        <is>
          <t>insufficient evidence</t>
        </is>
      </c>
      <c r="F34" s="181" t="inlineStr">
        <is>
          <t>multi-target signaling modulation</t>
        </is>
      </c>
      <c r="G34" s="181" t="inlineStr">
        <is>
          <t>general or unknown targets</t>
        </is>
      </c>
      <c r="H34" s="181" t="inlineStr">
        <is>
          <t>Oral; gastric secretagogue</t>
        </is>
      </c>
      <c r="I34" s="181" t="inlineStr">
        <is>
          <t>low</t>
        </is>
      </c>
      <c r="J34" s="181" t="inlineStr">
        <is>
          <t>no well-documented interactions</t>
        </is>
      </c>
      <c r="K34" s="181" t="str"/>
      <c r="L34" s="181" t="inlineStr">
        <is>
          <t>compound_level</t>
        </is>
      </c>
      <c r="M34" s="181" t="inlineStr">
        <is>
          <t>https://plants.sc.egov.usda.gov/home/search?query=Gentiana%20lutea | https://pubchem.ncbi.nlm.nih.gov/#query=amarogentin</t>
        </is>
      </c>
      <c r="N34" s="181" t="inlineStr">
        <is>
          <t>inferred_plus_trusted_gov</t>
        </is>
      </c>
      <c r="O34" s="181" t="inlineStr">
        <is>
          <t>scientific name; PubChem compound page (NIH); USDA Plants database</t>
        </is>
      </c>
      <c r="P34" s="181" t="str"/>
      <c r="Q34" s="181" t="inlineStr">
        <is>
          <t>gentiana-lutea</t>
        </is>
      </c>
      <c r="R34" s="181" t="n">
        <v>1</v>
      </c>
      <c r="S34" s="181" t="inlineStr">
        <is>
          <t>Yes</t>
        </is>
      </c>
      <c r="T34" s="181" t="inlineStr">
        <is>
          <t>Integrated from cleaned high-signal dataset</t>
        </is>
      </c>
    </row>
    <row r="35">
      <c r="A35" s="181" t="inlineStr">
        <is>
          <t>amentoflavone</t>
        </is>
      </c>
      <c r="B35" s="181" t="inlineStr">
        <is>
          <t>amentoflavone</t>
        </is>
      </c>
      <c r="C35" s="181" t="str"/>
      <c r="D35" s="181" t="inlineStr">
        <is>
          <t>biflavonoids</t>
        </is>
      </c>
      <c r="E35" s="181" t="inlineStr">
        <is>
          <t>insufficient evidence</t>
        </is>
      </c>
      <c r="F35" s="181" t="inlineStr">
        <is>
          <t>multi-target signaling modulation</t>
        </is>
      </c>
      <c r="G35" s="181" t="inlineStr">
        <is>
          <t>general or unknown targets</t>
        </is>
      </c>
      <c r="H35" s="181" t="inlineStr">
        <is>
          <t>Absorption and bioavailability vary; some compounds metabolized via cytochrome P450 enzymes.</t>
        </is>
      </c>
      <c r="I35" s="181" t="inlineStr">
        <is>
          <t>low</t>
        </is>
      </c>
      <c r="J35" s="181" t="inlineStr">
        <is>
          <t>no well-documented interactions</t>
        </is>
      </c>
      <c r="K35" s="181" t="str"/>
      <c r="L35" s="181" t="inlineStr">
        <is>
          <t>compound_level</t>
        </is>
      </c>
      <c r="M35" s="181" t="inlineStr">
        <is>
          <t>https://plants.sc.egov.usda.gov/home/search?query=Selaginella%20tamariscina | https://pubchem.ncbi.nlm.nih.gov/#query=amentoflavone</t>
        </is>
      </c>
      <c r="N35" s="181" t="inlineStr">
        <is>
          <t>inferred_plus_trusted_gov</t>
        </is>
      </c>
      <c r="O35" s="181" t="inlineStr">
        <is>
          <t>scientific name; PubChem compound page (NIH); USDA Plants database</t>
        </is>
      </c>
      <c r="P35" s="181" t="str"/>
      <c r="Q35" s="181" t="inlineStr">
        <is>
          <t>selaginella-tamariscina</t>
        </is>
      </c>
      <c r="R35" s="181" t="n">
        <v>1</v>
      </c>
      <c r="S35" s="181" t="inlineStr">
        <is>
          <t>Yes</t>
        </is>
      </c>
      <c r="T35" s="181" t="inlineStr">
        <is>
          <t>Integrated from cleaned high-signal dataset</t>
        </is>
      </c>
    </row>
    <row r="36">
      <c r="A36" s="181" t="inlineStr">
        <is>
          <t>anabasine</t>
        </is>
      </c>
      <c r="B36" s="181" t="inlineStr">
        <is>
          <t>anabasine</t>
        </is>
      </c>
      <c r="C36" s="181" t="str"/>
      <c r="D36" s="181" t="inlineStr">
        <is>
          <t>other</t>
        </is>
      </c>
      <c r="E36" s="181" t="inlineStr">
        <is>
          <t>Nicotine acts as an agonist at nicotinic acetylcholine receptors, increasing dopamine and norepinephrine release.</t>
        </is>
      </c>
      <c r="F36" s="181" t="inlineStr">
        <is>
          <t>muscarinic receptor interaction</t>
        </is>
      </c>
      <c r="G36" s="181" t="inlineStr">
        <is>
          <t>cholinergic_modulation; dopaminergic_modulation</t>
        </is>
      </c>
      <c r="H36" s="181" t="inlineStr">
        <is>
          <t>rapid systemic absorption; crosses BBB; hepatic metabolism</t>
        </is>
      </c>
      <c r="I36" s="181" t="inlineStr">
        <is>
          <t>low</t>
        </is>
      </c>
      <c r="J36" s="181" t="inlineStr">
        <is>
          <t>no well-documented interactions</t>
        </is>
      </c>
      <c r="K36" s="181" t="str"/>
      <c r="L36" s="181" t="inlineStr">
        <is>
          <t>compound_level</t>
        </is>
      </c>
      <c r="M36" s="181" t="inlineStr">
        <is>
          <t>https://plants.sc.egov.usda.gov/home/search?query=nicotiana%20rustica | https://pubchem.ncbi.nlm.nih.gov/#query=anabasine</t>
        </is>
      </c>
      <c r="N36" s="181" t="inlineStr">
        <is>
          <t>trusted_gov_added</t>
        </is>
      </c>
      <c r="O36" s="181" t="inlineStr">
        <is>
          <t>PubChem compound page (NIH); USDA Plants database</t>
        </is>
      </c>
      <c r="P36" s="181" t="str"/>
      <c r="Q36" s="181" t="inlineStr">
        <is>
          <t>nicotiana-rustica</t>
        </is>
      </c>
      <c r="R36" s="181" t="n">
        <v>1</v>
      </c>
      <c r="S36" s="181" t="inlineStr">
        <is>
          <t>Yes</t>
        </is>
      </c>
      <c r="T36" s="181" t="inlineStr">
        <is>
          <t>Integrated from cleaned high-signal dataset</t>
        </is>
      </c>
    </row>
    <row r="37">
      <c r="A37" s="181" t="inlineStr">
        <is>
          <t>anethole</t>
        </is>
      </c>
      <c r="B37" s="181" t="inlineStr">
        <is>
          <t>anethole</t>
        </is>
      </c>
      <c r="C37" s="181" t="str"/>
      <c r="D37" s="181" t="inlineStr">
        <is>
          <t>other</t>
        </is>
      </c>
      <c r="E37" s="181" t="inlineStr">
        <is>
          <t>insufficient evidence</t>
        </is>
      </c>
      <c r="F37" s="181" t="inlineStr">
        <is>
          <t>multi-target signaling modulation</t>
        </is>
      </c>
      <c r="G37" s="181" t="inlineStr">
        <is>
          <t>general or unknown targets</t>
        </is>
      </c>
      <c r="H37" s="181" t="inlineStr">
        <is>
          <t>Absorption and bioavailability vary; some compounds metabolized via cytochrome P450 enzymes.</t>
        </is>
      </c>
      <c r="I37" s="181" t="inlineStr">
        <is>
          <t>low</t>
        </is>
      </c>
      <c r="J37" s="181" t="inlineStr">
        <is>
          <t>no well-documented interactions</t>
        </is>
      </c>
      <c r="K37" s="181" t="str"/>
      <c r="L37" s="181" t="inlineStr">
        <is>
          <t>compound_level</t>
        </is>
      </c>
      <c r="M37" s="181" t="inlineStr">
        <is>
          <t>https://plants.sc.egov.usda.gov/home/search?query=Agastache%20foeniculum | https://plants.sc.egov.usda.gov/home/search?query=Foeniculum%20vulgare | https://plants.sc.egov.usda.gov/home/search?query=Pimpinella%20anisum | https://pubchem.ncbi.nlm.nih.gov/#query=anethole</t>
        </is>
      </c>
      <c r="N37" s="181" t="inlineStr">
        <is>
          <t>inferred_plus_trusted_gov</t>
        </is>
      </c>
      <c r="O37" s="181" t="inlineStr">
        <is>
          <t>scientific name; PubChem compound page (NIH); USDA Plants database</t>
        </is>
      </c>
      <c r="P37" s="181" t="str"/>
      <c r="Q37" s="181" t="inlineStr">
        <is>
          <t>agastache-foeniculum; foeniculum-vulgare; pimpinella-anisum</t>
        </is>
      </c>
      <c r="R37" s="181" t="n">
        <v>3</v>
      </c>
      <c r="S37" s="181" t="inlineStr">
        <is>
          <t>Yes</t>
        </is>
      </c>
      <c r="T37" s="181" t="inlineStr">
        <is>
          <t>Integrated from cleaned high-signal dataset</t>
        </is>
      </c>
    </row>
    <row r="38">
      <c r="A38" s="181" t="inlineStr">
        <is>
          <t>anisomelic acid</t>
        </is>
      </c>
      <c r="B38" s="181" t="inlineStr">
        <is>
          <t>anisomelic acid</t>
        </is>
      </c>
      <c r="C38" s="181" t="str"/>
      <c r="D38" s="181" t="inlineStr">
        <is>
          <t>diterpenes</t>
        </is>
      </c>
      <c r="E38" s="181" t="inlineStr">
        <is>
          <t>insufficient evidence</t>
        </is>
      </c>
      <c r="F38" s="181" t="inlineStr">
        <is>
          <t>multi-target signaling modulation</t>
        </is>
      </c>
      <c r="G38" s="181" t="inlineStr">
        <is>
          <t>general or unknown targets</t>
        </is>
      </c>
      <c r="H38" s="181" t="inlineStr">
        <is>
          <t>Absorption and bioavailability vary; some compounds metabolized via cytochrome P450 enzymes.</t>
        </is>
      </c>
      <c r="I38" s="181" t="inlineStr">
        <is>
          <t>low</t>
        </is>
      </c>
      <c r="J38" s="181" t="inlineStr">
        <is>
          <t>no well-documented interactions</t>
        </is>
      </c>
      <c r="K38" s="181" t="str"/>
      <c r="L38" s="181" t="inlineStr">
        <is>
          <t>compound_level</t>
        </is>
      </c>
      <c r="M38" s="181" t="inlineStr">
        <is>
          <t>https://plants.sc.egov.usda.gov/home/search?query=Anisomeles%20indica | https://pubchem.ncbi.nlm.nih.gov/#query=anisomelic%20acid</t>
        </is>
      </c>
      <c r="N38" s="181" t="inlineStr">
        <is>
          <t>inferred_plus_trusted_gov</t>
        </is>
      </c>
      <c r="O38" s="181" t="inlineStr">
        <is>
          <t>scientific name; PubChem compound page (NIH); USDA Plants database</t>
        </is>
      </c>
      <c r="P38" s="181" t="str"/>
      <c r="Q38" s="181" t="inlineStr">
        <is>
          <t>anisomeles-indica</t>
        </is>
      </c>
      <c r="R38" s="181" t="n">
        <v>1</v>
      </c>
      <c r="S38" s="181" t="inlineStr">
        <is>
          <t>Yes</t>
        </is>
      </c>
      <c r="T38" s="181" t="inlineStr">
        <is>
          <t>Integrated from cleaned high-signal dataset</t>
        </is>
      </c>
    </row>
    <row r="39">
      <c r="A39" s="181" t="inlineStr">
        <is>
          <t>annonacin</t>
        </is>
      </c>
      <c r="B39" s="181" t="inlineStr">
        <is>
          <t>annonacin</t>
        </is>
      </c>
      <c r="C39" s="181" t="str"/>
      <c r="D39" s="181" t="inlineStr">
        <is>
          <t>other</t>
        </is>
      </c>
      <c r="E39" s="181" t="inlineStr">
        <is>
          <t>insufficient evidence</t>
        </is>
      </c>
      <c r="F39" s="181" t="inlineStr">
        <is>
          <t>multi-target signaling modulation</t>
        </is>
      </c>
      <c r="G39" s="181" t="inlineStr">
        <is>
          <t>general or unknown targets</t>
        </is>
      </c>
      <c r="H39" s="181" t="inlineStr">
        <is>
          <t>Absorption and bioavailability vary; some compounds metabolized via cytochrome P450 enzymes.</t>
        </is>
      </c>
      <c r="I39" s="181" t="inlineStr">
        <is>
          <t>low</t>
        </is>
      </c>
      <c r="J39" s="181" t="inlineStr">
        <is>
          <t>no well-documented interactions</t>
        </is>
      </c>
      <c r="K39" s="181" t="str"/>
      <c r="L39" s="181" t="inlineStr">
        <is>
          <t>compound_level</t>
        </is>
      </c>
      <c r="M39" s="181" t="inlineStr">
        <is>
          <t>https://plants.sc.egov.usda.gov/home/search?query=Annona%20muricata | https://pubchem.ncbi.nlm.nih.gov/#query=annonacin</t>
        </is>
      </c>
      <c r="N39" s="181" t="inlineStr">
        <is>
          <t>inferred_plus_trusted_gov</t>
        </is>
      </c>
      <c r="O39" s="181" t="inlineStr">
        <is>
          <t>scientific name; PubChem compound page (NIH); USDA Plants database</t>
        </is>
      </c>
      <c r="P39" s="181" t="str"/>
      <c r="Q39" s="181" t="inlineStr">
        <is>
          <t>annona-muricata</t>
        </is>
      </c>
      <c r="R39" s="181" t="n">
        <v>1</v>
      </c>
      <c r="S39" s="181" t="inlineStr">
        <is>
          <t>Yes</t>
        </is>
      </c>
      <c r="T39" s="181" t="inlineStr">
        <is>
          <t>Integrated from cleaned high-signal dataset</t>
        </is>
      </c>
    </row>
    <row r="40">
      <c r="A40" s="181" t="inlineStr">
        <is>
          <t>anonaine</t>
        </is>
      </c>
      <c r="B40" s="181" t="inlineStr">
        <is>
          <t>anonaine</t>
        </is>
      </c>
      <c r="C40" s="181" t="str"/>
      <c r="D40" s="181" t="inlineStr">
        <is>
          <t>other</t>
        </is>
      </c>
      <c r="E40" s="181" t="inlineStr">
        <is>
          <t>insufficient evidence</t>
        </is>
      </c>
      <c r="F40" s="181" t="inlineStr">
        <is>
          <t>multi-target signaling modulation</t>
        </is>
      </c>
      <c r="G40" s="181" t="inlineStr">
        <is>
          <t>general or unknown targets</t>
        </is>
      </c>
      <c r="H40" s="181" t="inlineStr">
        <is>
          <t>moderate absorption; hepatic metabolism</t>
        </is>
      </c>
      <c r="I40" s="181" t="inlineStr">
        <is>
          <t>low</t>
        </is>
      </c>
      <c r="J40" s="181" t="inlineStr">
        <is>
          <t>no well-documented interactions</t>
        </is>
      </c>
      <c r="K40" s="181" t="str"/>
      <c r="L40" s="181" t="inlineStr">
        <is>
          <t>compound_level</t>
        </is>
      </c>
      <c r="M40" s="181" t="inlineStr">
        <is>
          <t>https://plants.sc.egov.usda.gov/home/search?query=american%20yellow%20lotus | https://pubchem.ncbi.nlm.nih.gov/#query=anonaine</t>
        </is>
      </c>
      <c r="N40" s="181" t="inlineStr">
        <is>
          <t>trusted_gov_added</t>
        </is>
      </c>
      <c r="O40" s="181" t="inlineStr">
        <is>
          <t>PubChem compound page (NIH); USDA Plants database</t>
        </is>
      </c>
      <c r="P40" s="181" t="str"/>
      <c r="Q40" s="181" t="inlineStr">
        <is>
          <t>nelumbo-lutea</t>
        </is>
      </c>
      <c r="R40" s="181" t="n">
        <v>1</v>
      </c>
      <c r="S40" s="181" t="inlineStr">
        <is>
          <t>Yes</t>
        </is>
      </c>
      <c r="T40" s="181" t="inlineStr">
        <is>
          <t>Integrated from cleaned high-signal dataset</t>
        </is>
      </c>
    </row>
    <row r="41">
      <c r="A41" s="181" t="inlineStr">
        <is>
          <t>anthocyanins delphinidin</t>
        </is>
      </c>
      <c r="B41" s="181" t="inlineStr">
        <is>
          <t>anthocyanins (delphinidin</t>
        </is>
      </c>
      <c r="C41" s="181" t="str"/>
      <c r="D41" s="181" t="inlineStr">
        <is>
          <t>other</t>
        </is>
      </c>
      <c r="E41" s="181" t="inlineStr">
        <is>
          <t>Anthocyanins and organic acids contribute antioxidant and ACE-inhibitory activity.</t>
        </is>
      </c>
      <c r="F41" s="181" t="inlineStr">
        <is>
          <t>multi-target signaling modulation</t>
        </is>
      </c>
      <c r="G41" s="181" t="inlineStr">
        <is>
          <t>general or unknown targets</t>
        </is>
      </c>
      <c r="H41" s="181" t="inlineStr">
        <is>
          <t>moderate absorption; hepatic metabolism</t>
        </is>
      </c>
      <c r="I41" s="181" t="inlineStr">
        <is>
          <t>low</t>
        </is>
      </c>
      <c r="J41" s="181" t="inlineStr">
        <is>
          <t>no well-documented interactions</t>
        </is>
      </c>
      <c r="K41" s="181" t="str"/>
      <c r="L41" s="181" t="inlineStr">
        <is>
          <t>compound_level</t>
        </is>
      </c>
      <c r="M41" s="181" t="inlineStr">
        <is>
          <t>https://plants.sc.egov.usda.gov/home/search?query=hibiscus%20sabdariffa | https://pubchem.ncbi.nlm.nih.gov/#query=anthocyanins%20%28delphinidin</t>
        </is>
      </c>
      <c r="N41" s="181" t="inlineStr">
        <is>
          <t>trusted_gov_added</t>
        </is>
      </c>
      <c r="O41" s="181" t="inlineStr">
        <is>
          <t>PubChem compound page (NIH); USDA Plants database</t>
        </is>
      </c>
      <c r="P41" s="181" t="str"/>
      <c r="Q41" s="181" t="inlineStr">
        <is>
          <t>hibiscus-sabdariffa</t>
        </is>
      </c>
      <c r="R41" s="181" t="n">
        <v>1</v>
      </c>
      <c r="S41" s="181" t="inlineStr">
        <is>
          <t>Yes</t>
        </is>
      </c>
      <c r="T41" s="181" t="inlineStr">
        <is>
          <t>Integrated from cleaned high-signal dataset</t>
        </is>
      </c>
    </row>
    <row r="42">
      <c r="A42" s="181" t="inlineStr">
        <is>
          <t>apigenin</t>
        </is>
      </c>
      <c r="B42" s="181" t="inlineStr">
        <is>
          <t>apigenin</t>
        </is>
      </c>
      <c r="C42" s="181" t="str"/>
      <c r="D42" s="181" t="inlineStr">
        <is>
          <t>other</t>
        </is>
      </c>
      <c r="E42" s="181" t="inlineStr">
        <is>
          <t>Chamomile's CNS effects are partly attributed to apigenin, which binds at the central benzodiazepine site associated with GABA_A receptor signaling; other constituents contribute anti-inflammatory and spasmolytic activity.</t>
        </is>
      </c>
      <c r="F42" s="181" t="inlineStr">
        <is>
          <t>GABAergic modulation; multi-target signaling modulation; muscarinic receptor interaction</t>
        </is>
      </c>
      <c r="G42" s="181" t="inlineStr">
        <is>
          <t>cholinergic_modulation; gabaergic_modulation; general or unknown targets; inflammatory_pathway_modulation</t>
        </is>
      </c>
      <c r="H42" s="181" t="inlineStr">
        <is>
          <t>rapid systemic absorption; crosses BBB; hepatic metabolism</t>
        </is>
      </c>
      <c r="I42" s="181" t="inlineStr">
        <is>
          <t>low</t>
        </is>
      </c>
      <c r="J42" s="181" t="inlineStr">
        <is>
          <t>no well-documented interactions</t>
        </is>
      </c>
      <c r="K42" s="181" t="str"/>
      <c r="L42" s="181" t="inlineStr">
        <is>
          <t>compound_level</t>
        </is>
      </c>
      <c r="M42" s="181" t="inlineStr">
        <is>
          <t>https://plants.sc.egov.usda.gov/home/search?query=Apium%20graveolens | https://plants.sc.egov.usda.gov/home/search?query=Matricaria%20chamomilla | https://plants.sc.egov.usda.gov/home/search?query=amorpha%20fruticosa | https://plants.sc.egov.usda.gov/home/search?query=chamomile | https://plants.sc.egov.usda.gov/home/search?query=turnera%20diffusa | https://pubchem.ncbi.nlm.nih.gov/#query=apigenin</t>
        </is>
      </c>
      <c r="N42" s="181" t="inlineStr">
        <is>
          <t>inferred_plus_trusted_gov; trusted_gov_added</t>
        </is>
      </c>
      <c r="O42" s="181" t="inlineStr">
        <is>
          <t>PubChem compound page (NIH); USDA Plants database; scientific name; PubChem compound page (NIH); USDA Plants database</t>
        </is>
      </c>
      <c r="P42" s="181" t="str"/>
      <c r="Q42" s="181" t="inlineStr">
        <is>
          <t>amorpha-fruticosa; apium-graveolens; matricaria-chamomilla; turnera-diffusa</t>
        </is>
      </c>
      <c r="R42" s="181" t="n">
        <v>4</v>
      </c>
      <c r="S42" s="181" t="inlineStr">
        <is>
          <t>Yes</t>
        </is>
      </c>
      <c r="T42" s="181" t="inlineStr">
        <is>
          <t>Integrated from cleaned high-signal dataset</t>
        </is>
      </c>
    </row>
    <row r="43">
      <c r="A43" s="181" t="inlineStr">
        <is>
          <t>apomorphine</t>
        </is>
      </c>
      <c r="B43" s="181" t="inlineStr">
        <is>
          <t>apomorphine</t>
        </is>
      </c>
      <c r="C43" s="181" t="str"/>
      <c r="D43" s="181" t="inlineStr">
        <is>
          <t>other</t>
        </is>
      </c>
      <c r="E43" s="181" t="inlineStr">
        <is>
          <t>Compounds show dopaminergic receptor interaction and mild sedative effects.</t>
        </is>
      </c>
      <c r="F43" s="181" t="inlineStr">
        <is>
          <t>multi-target signaling modulation</t>
        </is>
      </c>
      <c r="G43" s="181" t="inlineStr">
        <is>
          <t>dopaminergic_modulation</t>
        </is>
      </c>
      <c r="H43" s="181" t="inlineStr">
        <is>
          <t>moderate absorption; hepatic metabolism</t>
        </is>
      </c>
      <c r="I43" s="181" t="inlineStr">
        <is>
          <t>low</t>
        </is>
      </c>
      <c r="J43" s="181" t="inlineStr">
        <is>
          <t>no well-documented interactions</t>
        </is>
      </c>
      <c r="K43" s="181" t="str"/>
      <c r="L43" s="181" t="inlineStr">
        <is>
          <t>compound_level</t>
        </is>
      </c>
      <c r="M43" s="181" t="inlineStr">
        <is>
          <t>https://plants.sc.egov.usda.gov/home/search?query=Blue%20Lotus | https://pubchem.ncbi.nlm.nih.gov/#query=apomorphine</t>
        </is>
      </c>
      <c r="N43" s="181" t="inlineStr">
        <is>
          <t>trusted_gov_added</t>
        </is>
      </c>
      <c r="O43" s="181" t="inlineStr">
        <is>
          <t>PubChem compound page (NIH); USDA Plants database</t>
        </is>
      </c>
      <c r="P43" s="181" t="str"/>
      <c r="Q43" s="181" t="inlineStr">
        <is>
          <t>blue-lotus-nymphaea-caerulea</t>
        </is>
      </c>
      <c r="R43" s="181" t="n">
        <v>1</v>
      </c>
      <c r="S43" s="181" t="inlineStr">
        <is>
          <t>Yes</t>
        </is>
      </c>
      <c r="T43" s="181" t="inlineStr">
        <is>
          <t>Integrated from cleaned high-signal dataset</t>
        </is>
      </c>
    </row>
    <row r="44">
      <c r="A44" s="181" t="inlineStr">
        <is>
          <t>arbutin</t>
        </is>
      </c>
      <c r="B44" s="181" t="inlineStr">
        <is>
          <t>arbutin</t>
        </is>
      </c>
      <c r="C44" s="181" t="str"/>
      <c r="D44" s="181" t="inlineStr">
        <is>
          <t>Arbutin, tannins, methyl salicylate</t>
        </is>
      </c>
      <c r="E44" s="181" t="inlineStr">
        <is>
          <t>insufficient evidence</t>
        </is>
      </c>
      <c r="F44" s="181" t="inlineStr">
        <is>
          <t>GABAergic modulation; multi-target signaling modulation</t>
        </is>
      </c>
      <c r="G44" s="181" t="inlineStr">
        <is>
          <t>gabaergic_modulation; general or unknown targets</t>
        </is>
      </c>
      <c r="H44" s="181" t="inlineStr">
        <is>
          <t>Oral; mild diuretic and anti-inflammatory</t>
        </is>
      </c>
      <c r="I44" s="181" t="inlineStr">
        <is>
          <t>low</t>
        </is>
      </c>
      <c r="J44" s="181" t="inlineStr">
        <is>
          <t>no well-documented interactions</t>
        </is>
      </c>
      <c r="K44" s="181" t="str"/>
      <c r="L44" s="181" t="inlineStr">
        <is>
          <t>compound_level</t>
        </is>
      </c>
      <c r="M44" s="181" t="inlineStr">
        <is>
          <t>https://plants.sc.egov.usda.gov/home/search?query=Chimaphila%20umbellata | https://plants.sc.egov.usda.gov/home/search?query=turnera%20diffusa | https://pubchem.ncbi.nlm.nih.gov/#query=arbutin</t>
        </is>
      </c>
      <c r="N44" s="181" t="inlineStr">
        <is>
          <t>inferred_plus_trusted_gov; trusted_gov_added</t>
        </is>
      </c>
      <c r="O44" s="181" t="inlineStr">
        <is>
          <t>PubChem compound page (NIH); USDA Plants database; scientific name; PubChem compound page (NIH); USDA Plants database</t>
        </is>
      </c>
      <c r="P44" s="181" t="str"/>
      <c r="Q44" s="181" t="inlineStr">
        <is>
          <t>chimaphila-umbellata; turnera-diffusa</t>
        </is>
      </c>
      <c r="R44" s="181" t="n">
        <v>2</v>
      </c>
      <c r="S44" s="181" t="inlineStr">
        <is>
          <t>Yes</t>
        </is>
      </c>
      <c r="T44" s="181" t="inlineStr">
        <is>
          <t>Integrated from cleaned high-signal dataset</t>
        </is>
      </c>
    </row>
    <row r="45">
      <c r="A45" s="181" t="inlineStr">
        <is>
          <t>arctiin</t>
        </is>
      </c>
      <c r="B45" s="181" t="inlineStr">
        <is>
          <t>arctiin</t>
        </is>
      </c>
      <c r="C45" s="181" t="str"/>
      <c r="D45" s="181" t="inlineStr">
        <is>
          <t>other</t>
        </is>
      </c>
      <c r="E45" s="181" t="inlineStr">
        <is>
          <t>insufficient evidence</t>
        </is>
      </c>
      <c r="F45" s="181" t="inlineStr">
        <is>
          <t>multi-target signaling modulation</t>
        </is>
      </c>
      <c r="G45" s="181" t="inlineStr">
        <is>
          <t>general or unknown targets</t>
        </is>
      </c>
      <c r="H45" s="181" t="inlineStr">
        <is>
          <t>Oral; blood purifier and diuretic</t>
        </is>
      </c>
      <c r="I45" s="181" t="inlineStr">
        <is>
          <t>low</t>
        </is>
      </c>
      <c r="J45" s="181" t="inlineStr">
        <is>
          <t>no well-documented interactions</t>
        </is>
      </c>
      <c r="K45" s="181" t="str"/>
      <c r="L45" s="181" t="inlineStr">
        <is>
          <t>compound_level</t>
        </is>
      </c>
      <c r="M45" s="181" t="inlineStr">
        <is>
          <t>https://plants.sc.egov.usda.gov/home/search?query=Arctium%20lappa | https://pubchem.ncbi.nlm.nih.gov/#query=arctiin</t>
        </is>
      </c>
      <c r="N45" s="181" t="inlineStr">
        <is>
          <t>inferred_plus_trusted_gov</t>
        </is>
      </c>
      <c r="O45" s="181" t="inlineStr">
        <is>
          <t>scientific name; PubChem compound page (NIH); USDA Plants database</t>
        </is>
      </c>
      <c r="P45" s="181" t="str"/>
      <c r="Q45" s="181" t="inlineStr">
        <is>
          <t>arctium-lappa</t>
        </is>
      </c>
      <c r="R45" s="181" t="n">
        <v>1</v>
      </c>
      <c r="S45" s="181" t="inlineStr">
        <is>
          <t>Yes</t>
        </is>
      </c>
      <c r="T45" s="181" t="inlineStr">
        <is>
          <t>Integrated from cleaned high-signal dataset</t>
        </is>
      </c>
    </row>
    <row r="46">
      <c r="A46" s="181" t="inlineStr">
        <is>
          <t>arecaidine</t>
        </is>
      </c>
      <c r="B46" s="181" t="inlineStr">
        <is>
          <t>arecaidine</t>
        </is>
      </c>
      <c r="C46" s="181" t="str"/>
      <c r="D46" s="181" t="inlineStr">
        <is>
          <t>other</t>
        </is>
      </c>
      <c r="E46" s="181" t="inlineStr">
        <is>
          <t>insufficient evidence</t>
        </is>
      </c>
      <c r="F46" s="181" t="inlineStr">
        <is>
          <t>multi-target signaling modulation</t>
        </is>
      </c>
      <c r="G46" s="181" t="inlineStr">
        <is>
          <t>general or unknown targets</t>
        </is>
      </c>
      <c r="H46" s="181" t="inlineStr">
        <is>
          <t>Absorption and bioavailability vary; some compounds metabolized via cytochrome P450 enzymes.</t>
        </is>
      </c>
      <c r="I46" s="181" t="inlineStr">
        <is>
          <t>low</t>
        </is>
      </c>
      <c r="J46" s="181" t="inlineStr">
        <is>
          <t>no well-documented interactions</t>
        </is>
      </c>
      <c r="K46" s="181" t="str"/>
      <c r="L46" s="181" t="inlineStr">
        <is>
          <t>compound_level</t>
        </is>
      </c>
      <c r="M46" s="181" t="inlineStr">
        <is>
          <t>https://plants.sc.egov.usda.gov/home/search?query=Areca%20catechu | https://pubchem.ncbi.nlm.nih.gov/#query=arecaidine</t>
        </is>
      </c>
      <c r="N46" s="181" t="inlineStr">
        <is>
          <t>inferred_plus_trusted_gov</t>
        </is>
      </c>
      <c r="O46" s="181" t="inlineStr">
        <is>
          <t>scientific name; PubChem compound page (NIH); USDA Plants database</t>
        </is>
      </c>
      <c r="P46" s="181" t="str"/>
      <c r="Q46" s="181" t="inlineStr">
        <is>
          <t>areca-catechu</t>
        </is>
      </c>
      <c r="R46" s="181" t="n">
        <v>1</v>
      </c>
      <c r="S46" s="181" t="inlineStr">
        <is>
          <t>Yes</t>
        </is>
      </c>
      <c r="T46" s="181" t="inlineStr">
        <is>
          <t>Integrated from cleaned high-signal dataset</t>
        </is>
      </c>
    </row>
    <row r="47">
      <c r="A47" s="181" t="inlineStr">
        <is>
          <t>arecoline</t>
        </is>
      </c>
      <c r="B47" s="181" t="inlineStr">
        <is>
          <t>arecoline</t>
        </is>
      </c>
      <c r="C47" s="181" t="str"/>
      <c r="D47" s="181" t="inlineStr">
        <is>
          <t>other</t>
        </is>
      </c>
      <c r="E47" s="181" t="inlineStr">
        <is>
          <t>insufficient evidence</t>
        </is>
      </c>
      <c r="F47" s="181" t="inlineStr">
        <is>
          <t>multi-target signaling modulation</t>
        </is>
      </c>
      <c r="G47" s="181" t="inlineStr">
        <is>
          <t>general or unknown targets</t>
        </is>
      </c>
      <c r="H47" s="181" t="inlineStr">
        <is>
          <t>Absorption and bioavailability vary; some compounds metabolized via cytochrome P450 enzymes.</t>
        </is>
      </c>
      <c r="I47" s="181" t="inlineStr">
        <is>
          <t>low</t>
        </is>
      </c>
      <c r="J47" s="181" t="inlineStr">
        <is>
          <t>no well-documented interactions</t>
        </is>
      </c>
      <c r="K47" s="181" t="str"/>
      <c r="L47" s="181" t="inlineStr">
        <is>
          <t>compound_level</t>
        </is>
      </c>
      <c r="M47" s="181" t="inlineStr">
        <is>
          <t>https://plants.sc.egov.usda.gov/home/search?query=Areca%20catechu | https://pubchem.ncbi.nlm.nih.gov/#query=arecoline</t>
        </is>
      </c>
      <c r="N47" s="181" t="inlineStr">
        <is>
          <t>inferred_plus_trusted_gov</t>
        </is>
      </c>
      <c r="O47" s="181" t="inlineStr">
        <is>
          <t>scientific name; PubChem compound page (NIH); USDA Plants database</t>
        </is>
      </c>
      <c r="P47" s="181" t="str"/>
      <c r="Q47" s="181" t="inlineStr">
        <is>
          <t>areca-catechu</t>
        </is>
      </c>
      <c r="R47" s="181" t="n">
        <v>1</v>
      </c>
      <c r="S47" s="181" t="inlineStr">
        <is>
          <t>Yes</t>
        </is>
      </c>
      <c r="T47" s="181" t="inlineStr">
        <is>
          <t>Integrated from cleaned high-signal dataset</t>
        </is>
      </c>
    </row>
    <row r="48">
      <c r="A48" s="181" t="inlineStr">
        <is>
          <t>armepavine</t>
        </is>
      </c>
      <c r="B48" s="181" t="inlineStr">
        <is>
          <t>armepavine</t>
        </is>
      </c>
      <c r="C48" s="181" t="str"/>
      <c r="D48" s="181" t="inlineStr">
        <is>
          <t>other</t>
        </is>
      </c>
      <c r="E48" s="181" t="inlineStr">
        <is>
          <t>insufficient evidence</t>
        </is>
      </c>
      <c r="F48" s="181" t="inlineStr">
        <is>
          <t>multi-target signaling modulation</t>
        </is>
      </c>
      <c r="G48" s="181" t="inlineStr">
        <is>
          <t>general or unknown targets</t>
        </is>
      </c>
      <c r="H48" s="181" t="inlineStr">
        <is>
          <t>moderate absorption; hepatic metabolism</t>
        </is>
      </c>
      <c r="I48" s="181" t="inlineStr">
        <is>
          <t>low</t>
        </is>
      </c>
      <c r="J48" s="181" t="inlineStr">
        <is>
          <t>no well-documented interactions</t>
        </is>
      </c>
      <c r="K48" s="181" t="str"/>
      <c r="L48" s="181" t="inlineStr">
        <is>
          <t>compound_level</t>
        </is>
      </c>
      <c r="M48" s="181" t="inlineStr">
        <is>
          <t>https://plants.sc.egov.usda.gov/home/search?query=american%20yellow%20lotus | https://pubchem.ncbi.nlm.nih.gov/#query=armepavine</t>
        </is>
      </c>
      <c r="N48" s="181" t="inlineStr">
        <is>
          <t>trusted_gov_added</t>
        </is>
      </c>
      <c r="O48" s="181" t="inlineStr">
        <is>
          <t>PubChem compound page (NIH); USDA Plants database</t>
        </is>
      </c>
      <c r="P48" s="181" t="str"/>
      <c r="Q48" s="181" t="inlineStr">
        <is>
          <t>nelumbo-lutea</t>
        </is>
      </c>
      <c r="R48" s="181" t="n">
        <v>1</v>
      </c>
      <c r="S48" s="181" t="inlineStr">
        <is>
          <t>Yes</t>
        </is>
      </c>
      <c r="T48" s="181" t="inlineStr">
        <is>
          <t>Integrated from cleaned high-signal dataset</t>
        </is>
      </c>
    </row>
    <row r="49">
      <c r="A49" s="181" t="inlineStr">
        <is>
          <t>artemisinin</t>
        </is>
      </c>
      <c r="B49" s="181" t="inlineStr">
        <is>
          <t>artemisinin</t>
        </is>
      </c>
      <c r="C49" s="181" t="str"/>
      <c r="D49" s="181" t="inlineStr">
        <is>
          <t>Artemisinin, flavonoids, coumarins</t>
        </is>
      </c>
      <c r="E49" s="181" t="inlineStr">
        <is>
          <t>insufficient evidence</t>
        </is>
      </c>
      <c r="F49" s="181" t="inlineStr">
        <is>
          <t>multi-target signaling modulation</t>
        </is>
      </c>
      <c r="G49" s="181" t="inlineStr">
        <is>
          <t>general or unknown targets</t>
        </is>
      </c>
      <c r="H49" s="181" t="inlineStr">
        <is>
          <t>Oral; reactive oxygen generation in parasites</t>
        </is>
      </c>
      <c r="I49" s="181" t="inlineStr">
        <is>
          <t>low</t>
        </is>
      </c>
      <c r="J49" s="181" t="inlineStr">
        <is>
          <t>no well-documented interactions</t>
        </is>
      </c>
      <c r="K49" s="181" t="str"/>
      <c r="L49" s="181" t="inlineStr">
        <is>
          <t>compound_level</t>
        </is>
      </c>
      <c r="M49" s="181" t="inlineStr">
        <is>
          <t>https://plants.sc.egov.usda.gov/home/search?query=Artemisia%20annua | https://pubchem.ncbi.nlm.nih.gov/#query=artemisinin</t>
        </is>
      </c>
      <c r="N49" s="181" t="inlineStr">
        <is>
          <t>inferred_plus_trusted_gov</t>
        </is>
      </c>
      <c r="O49" s="181" t="inlineStr">
        <is>
          <t>scientific name; PubChem compound page (NIH); USDA Plants database</t>
        </is>
      </c>
      <c r="P49" s="181" t="str"/>
      <c r="Q49" s="181" t="inlineStr">
        <is>
          <t>artemisia-annua</t>
        </is>
      </c>
      <c r="R49" s="181" t="n">
        <v>1</v>
      </c>
      <c r="S49" s="181" t="inlineStr">
        <is>
          <t>Yes</t>
        </is>
      </c>
      <c r="T49" s="181" t="inlineStr">
        <is>
          <t>Integrated from cleaned high-signal dataset</t>
        </is>
      </c>
    </row>
    <row r="50">
      <c r="A50" s="181" t="inlineStr">
        <is>
          <t>asclepiadin</t>
        </is>
      </c>
      <c r="B50" s="181" t="inlineStr">
        <is>
          <t>asclepiadin</t>
        </is>
      </c>
      <c r="C50" s="181" t="str"/>
      <c r="D50" s="181" t="inlineStr">
        <is>
          <t>Asclepiadin, cardiac glycosides, resins</t>
        </is>
      </c>
      <c r="E50" s="181" t="inlineStr">
        <is>
          <t>insufficient evidence</t>
        </is>
      </c>
      <c r="F50" s="181" t="inlineStr">
        <is>
          <t>multi-target signaling modulation</t>
        </is>
      </c>
      <c r="G50" s="181" t="inlineStr">
        <is>
          <t>general or unknown targets</t>
        </is>
      </c>
      <c r="H50" s="181" t="inlineStr">
        <is>
          <t>Oral; expectorant and bronchial tonic</t>
        </is>
      </c>
      <c r="I50" s="181" t="inlineStr">
        <is>
          <t>low</t>
        </is>
      </c>
      <c r="J50" s="181" t="inlineStr">
        <is>
          <t>no well-documented interactions</t>
        </is>
      </c>
      <c r="K50" s="181" t="str"/>
      <c r="L50" s="181" t="inlineStr">
        <is>
          <t>compound_level</t>
        </is>
      </c>
      <c r="M50" s="181" t="inlineStr">
        <is>
          <t>https://plants.sc.egov.usda.gov/home/search?query=Asclepias%20tuberosa | https://pubchem.ncbi.nlm.nih.gov/#query=asclepiadin</t>
        </is>
      </c>
      <c r="N50" s="181" t="inlineStr">
        <is>
          <t>inferred_plus_trusted_gov</t>
        </is>
      </c>
      <c r="O50" s="181" t="inlineStr">
        <is>
          <t>scientific name; PubChem compound page (NIH); USDA Plants database</t>
        </is>
      </c>
      <c r="P50" s="181" t="str"/>
      <c r="Q50" s="181" t="inlineStr">
        <is>
          <t>asclepias-tuberosa</t>
        </is>
      </c>
      <c r="R50" s="181" t="n">
        <v>1</v>
      </c>
      <c r="S50" s="181" t="inlineStr">
        <is>
          <t>Yes</t>
        </is>
      </c>
      <c r="T50" s="181" t="inlineStr">
        <is>
          <t>Integrated from cleaned high-signal dataset</t>
        </is>
      </c>
    </row>
    <row r="51">
      <c r="A51" s="181" t="inlineStr">
        <is>
          <t>ashwagandha withanolides</t>
        </is>
      </c>
      <c r="B51" s="181" t="inlineStr">
        <is>
          <t>ashwagandha (withanolides)</t>
        </is>
      </c>
      <c r="C51" s="181" t="str"/>
      <c r="D51" s="181" t="inlineStr">
        <is>
          <t>steroidal lactone</t>
        </is>
      </c>
      <c r="E51" s="181" t="inlineStr">
        <is>
          <t>Modulates GABAergic and HPA-axis signaling (stress response)</t>
        </is>
      </c>
      <c r="F51" s="181" t="str"/>
      <c r="G51" s="181" t="inlineStr">
        <is>
          <t>GABA-A modulation; cortisol regulation</t>
        </is>
      </c>
      <c r="H51" s="181" t="str"/>
      <c r="I51" s="181" t="str"/>
      <c r="J51" s="181" t="inlineStr">
        <is>
          <t>Sedatives (additive CNS depression)</t>
        </is>
      </c>
      <c r="K51" s="181" t="str"/>
      <c r="L51" s="181" t="inlineStr">
        <is>
          <t>Sprint6</t>
        </is>
      </c>
      <c r="M51" s="181" t="str"/>
      <c r="N51" s="181" t="str"/>
      <c r="O51" s="181" t="str"/>
      <c r="P51" s="181" t="inlineStr">
        <is>
          <t>precision_monographs_sprint6.xlsx</t>
        </is>
      </c>
      <c r="Q51" s="181" t="str"/>
      <c r="R51" s="181" t="n">
        <v>0</v>
      </c>
      <c r="S51" s="181" t="inlineStr">
        <is>
          <t>No</t>
        </is>
      </c>
      <c r="T51" s="181" t="inlineStr">
        <is>
          <t>Integrated from compound monograph workbook</t>
        </is>
      </c>
    </row>
    <row r="52">
      <c r="A52" s="181" t="inlineStr">
        <is>
          <t>asiatic acid</t>
        </is>
      </c>
      <c r="B52" s="181" t="inlineStr">
        <is>
          <t>asiatic acid</t>
        </is>
      </c>
      <c r="C52" s="181" t="str"/>
      <c r="D52" s="181" t="inlineStr">
        <is>
          <t>organic acid</t>
        </is>
      </c>
      <c r="E52" s="181" t="inlineStr">
        <is>
          <t>insufficient evidence</t>
        </is>
      </c>
      <c r="F52" s="181" t="inlineStr">
        <is>
          <t>COX/NF-kB inhibition; multi-target signaling modulation</t>
        </is>
      </c>
      <c r="G52" s="181" t="inlineStr">
        <is>
          <t>general or unknown targets; inflammatory_pathway_modulation</t>
        </is>
      </c>
      <c r="H52" s="181" t="inlineStr">
        <is>
          <t>moderate absorption; hepatic metabolism</t>
        </is>
      </c>
      <c r="I52" s="181" t="inlineStr">
        <is>
          <t>low</t>
        </is>
      </c>
      <c r="J52" s="181" t="inlineStr">
        <is>
          <t>no well-documented interactions</t>
        </is>
      </c>
      <c r="K52" s="181" t="str"/>
      <c r="L52" s="181" t="inlineStr">
        <is>
          <t>compound_level</t>
        </is>
      </c>
      <c r="M52" s="181" t="inlineStr">
        <is>
          <t>https://plants.sc.egov.usda.gov/home/search?query=Centella%20asiatica | https://plants.sc.egov.usda.gov/home/search?query=centella%20asiatica | https://pubchem.ncbi.nlm.nih.gov/#query=asiatic%20acid</t>
        </is>
      </c>
      <c r="N52" s="181" t="inlineStr">
        <is>
          <t>inferred_plus_trusted_gov; trusted_gov_added</t>
        </is>
      </c>
      <c r="O52" s="181" t="inlineStr">
        <is>
          <t>PubChem compound page (NIH); USDA Plants database; scientific name; PubChem compound page (NIH); USDA Plants database</t>
        </is>
      </c>
      <c r="P52" s="181" t="str"/>
      <c r="Q52" s="181" t="inlineStr">
        <is>
          <t>centella-asiatica; gotu-kola</t>
        </is>
      </c>
      <c r="R52" s="181" t="n">
        <v>2</v>
      </c>
      <c r="S52" s="181" t="inlineStr">
        <is>
          <t>Yes</t>
        </is>
      </c>
      <c r="T52" s="181" t="inlineStr">
        <is>
          <t>Integrated from cleaned high-signal dataset</t>
        </is>
      </c>
    </row>
    <row r="53">
      <c r="A53" s="181" t="inlineStr">
        <is>
          <t>asiaticoside</t>
        </is>
      </c>
      <c r="B53" s="181" t="inlineStr">
        <is>
          <t>asiaticoside</t>
        </is>
      </c>
      <c r="C53" s="181" t="str"/>
      <c r="D53" s="181" t="inlineStr">
        <is>
          <t>other</t>
        </is>
      </c>
      <c r="E53" s="181" t="inlineStr">
        <is>
          <t>insufficient evidence</t>
        </is>
      </c>
      <c r="F53" s="181" t="inlineStr">
        <is>
          <t>COX/NF-kB inhibition; multi-target signaling modulation</t>
        </is>
      </c>
      <c r="G53" s="181" t="inlineStr">
        <is>
          <t>general or unknown targets; inflammatory_pathway_modulation</t>
        </is>
      </c>
      <c r="H53" s="181" t="inlineStr">
        <is>
          <t>moderate absorption; hepatic metabolism</t>
        </is>
      </c>
      <c r="I53" s="181" t="inlineStr">
        <is>
          <t>low</t>
        </is>
      </c>
      <c r="J53" s="181" t="inlineStr">
        <is>
          <t>no well-documented interactions</t>
        </is>
      </c>
      <c r="K53" s="181" t="str"/>
      <c r="L53" s="181" t="inlineStr">
        <is>
          <t>compound_level</t>
        </is>
      </c>
      <c r="M53" s="181" t="inlineStr">
        <is>
          <t>https://plants.sc.egov.usda.gov/home/search?query=Centella%20asiatica | https://plants.sc.egov.usda.gov/home/search?query=centella%20asiatica | https://pubchem.ncbi.nlm.nih.gov/#query=asiaticoside</t>
        </is>
      </c>
      <c r="N53" s="181" t="inlineStr">
        <is>
          <t>inferred_plus_trusted_gov; trusted_gov_added</t>
        </is>
      </c>
      <c r="O53" s="181" t="inlineStr">
        <is>
          <t>PubChem compound page (NIH); USDA Plants database; scientific name; PubChem compound page (NIH); USDA Plants database</t>
        </is>
      </c>
      <c r="P53" s="181" t="str"/>
      <c r="Q53" s="181" t="inlineStr">
        <is>
          <t>centella-asiatica; gotu-kola</t>
        </is>
      </c>
      <c r="R53" s="181" t="n">
        <v>2</v>
      </c>
      <c r="S53" s="181" t="inlineStr">
        <is>
          <t>Yes</t>
        </is>
      </c>
      <c r="T53" s="181" t="inlineStr">
        <is>
          <t>Integrated from cleaned high-signal dataset</t>
        </is>
      </c>
    </row>
    <row r="54">
      <c r="A54" s="181" t="inlineStr">
        <is>
          <t>asperuloside</t>
        </is>
      </c>
      <c r="B54" s="181" t="inlineStr">
        <is>
          <t>asperuloside</t>
        </is>
      </c>
      <c r="C54" s="181" t="str"/>
      <c r="D54" s="181" t="inlineStr">
        <is>
          <t>Iridoids, tannins, asperuloside</t>
        </is>
      </c>
      <c r="E54" s="181" t="inlineStr">
        <is>
          <t>insufficient evidence</t>
        </is>
      </c>
      <c r="F54" s="181" t="inlineStr">
        <is>
          <t>multi-target signaling modulation</t>
        </is>
      </c>
      <c r="G54" s="181" t="inlineStr">
        <is>
          <t>general or unknown targets</t>
        </is>
      </c>
      <c r="H54" s="181" t="inlineStr">
        <is>
          <t>Oral; lymphatic and urinary tonic</t>
        </is>
      </c>
      <c r="I54" s="181" t="inlineStr">
        <is>
          <t>low</t>
        </is>
      </c>
      <c r="J54" s="181" t="inlineStr">
        <is>
          <t>no well-documented interactions</t>
        </is>
      </c>
      <c r="K54" s="181" t="str"/>
      <c r="L54" s="181" t="inlineStr">
        <is>
          <t>compound_level</t>
        </is>
      </c>
      <c r="M54" s="181" t="inlineStr">
        <is>
          <t>https://plants.sc.egov.usda.gov/home/search?query=Galium%20aparine | https://pubchem.ncbi.nlm.nih.gov/#query=asperuloside</t>
        </is>
      </c>
      <c r="N54" s="181" t="inlineStr">
        <is>
          <t>inferred_plus_trusted_gov</t>
        </is>
      </c>
      <c r="O54" s="181" t="inlineStr">
        <is>
          <t>scientific name; PubChem compound page (NIH); USDA Plants database</t>
        </is>
      </c>
      <c r="P54" s="181" t="str"/>
      <c r="Q54" s="181" t="inlineStr">
        <is>
          <t>galium-aparine</t>
        </is>
      </c>
      <c r="R54" s="181" t="n">
        <v>1</v>
      </c>
      <c r="S54" s="181" t="inlineStr">
        <is>
          <t>Yes</t>
        </is>
      </c>
      <c r="T54" s="181" t="inlineStr">
        <is>
          <t>Integrated from cleaned high-signal dataset</t>
        </is>
      </c>
    </row>
    <row r="55">
      <c r="A55" s="181" t="inlineStr">
        <is>
          <t>aspidospermine</t>
        </is>
      </c>
      <c r="B55" s="181" t="inlineStr">
        <is>
          <t>aspidospermine</t>
        </is>
      </c>
      <c r="C55" s="181" t="str"/>
      <c r="D55" s="181" t="inlineStr">
        <is>
          <t>yohimbine-type alkaloids</t>
        </is>
      </c>
      <c r="E55" s="181" t="inlineStr">
        <is>
          <t>insufficient evidence</t>
        </is>
      </c>
      <c r="F55" s="181" t="inlineStr">
        <is>
          <t>multi-target signaling modulation</t>
        </is>
      </c>
      <c r="G55" s="181" t="inlineStr">
        <is>
          <t>general or unknown targets</t>
        </is>
      </c>
      <c r="H55" s="181" t="inlineStr">
        <is>
          <t>Absorption and bioavailability vary; some compounds metabolized via cytochrome P450 enzymes.</t>
        </is>
      </c>
      <c r="I55" s="181" t="inlineStr">
        <is>
          <t>low</t>
        </is>
      </c>
      <c r="J55" s="181" t="inlineStr">
        <is>
          <t>no well-documented interactions</t>
        </is>
      </c>
      <c r="K55" s="181" t="str"/>
      <c r="L55" s="181" t="inlineStr">
        <is>
          <t>compound_level</t>
        </is>
      </c>
      <c r="M55" s="181" t="inlineStr">
        <is>
          <t>https://plants.sc.egov.usda.gov/home/search?query=Aspidosperma%20quebracho-blanco | https://pubchem.ncbi.nlm.nih.gov/#query=aspidospermine</t>
        </is>
      </c>
      <c r="N55" s="181" t="inlineStr">
        <is>
          <t>inferred_plus_trusted_gov</t>
        </is>
      </c>
      <c r="O55" s="181" t="inlineStr">
        <is>
          <t>scientific name; PubChem compound page (NIH); USDA Plants database</t>
        </is>
      </c>
      <c r="P55" s="181" t="str"/>
      <c r="Q55" s="181" t="inlineStr">
        <is>
          <t>aspidosperma-quebracho-blanco</t>
        </is>
      </c>
      <c r="R55" s="181" t="n">
        <v>1</v>
      </c>
      <c r="S55" s="181" t="inlineStr">
        <is>
          <t>Yes</t>
        </is>
      </c>
      <c r="T55" s="181" t="inlineStr">
        <is>
          <t>Integrated from cleaned high-signal dataset</t>
        </is>
      </c>
    </row>
    <row r="56">
      <c r="A56" s="181" t="inlineStr">
        <is>
          <t>astragaloside iv</t>
        </is>
      </c>
      <c r="B56" s="181" t="inlineStr">
        <is>
          <t>astragaloside iv</t>
        </is>
      </c>
      <c r="C56" s="181" t="str"/>
      <c r="D56" s="181" t="inlineStr">
        <is>
          <t>Astragaloside IV, polysaccharides, flavonoids</t>
        </is>
      </c>
      <c r="E56" s="181" t="inlineStr">
        <is>
          <t>insufficient evidence</t>
        </is>
      </c>
      <c r="F56" s="181" t="inlineStr">
        <is>
          <t>multi-target signaling modulation</t>
        </is>
      </c>
      <c r="G56" s="181" t="inlineStr">
        <is>
          <t>general or unknown targets</t>
        </is>
      </c>
      <c r="H56" s="181" t="inlineStr">
        <is>
          <t>Oral; macrophage and telomerase activation</t>
        </is>
      </c>
      <c r="I56" s="181" t="inlineStr">
        <is>
          <t>low</t>
        </is>
      </c>
      <c r="J56" s="181" t="inlineStr">
        <is>
          <t>no well-documented interactions</t>
        </is>
      </c>
      <c r="K56" s="181" t="str"/>
      <c r="L56" s="181" t="inlineStr">
        <is>
          <t>compound_level</t>
        </is>
      </c>
      <c r="M56" s="181" t="inlineStr">
        <is>
          <t>https://plants.sc.egov.usda.gov/home/search?query=Astragalus%20membranaceus | https://pubchem.ncbi.nlm.nih.gov/#query=astragaloside%20iv</t>
        </is>
      </c>
      <c r="N56" s="181" t="inlineStr">
        <is>
          <t>inferred_plus_trusted_gov</t>
        </is>
      </c>
      <c r="O56" s="181" t="inlineStr">
        <is>
          <t>scientific name; PubChem compound page (NIH); USDA Plants database</t>
        </is>
      </c>
      <c r="P56" s="181" t="str"/>
      <c r="Q56" s="181" t="inlineStr">
        <is>
          <t>astragalus-membranaceus</t>
        </is>
      </c>
      <c r="R56" s="181" t="n">
        <v>1</v>
      </c>
      <c r="S56" s="181" t="inlineStr">
        <is>
          <t>Yes</t>
        </is>
      </c>
      <c r="T56" s="181" t="inlineStr">
        <is>
          <t>Integrated from cleaned high-signal dataset</t>
        </is>
      </c>
    </row>
    <row r="57">
      <c r="A57" s="181" t="inlineStr">
        <is>
          <t>atractylenolide i</t>
        </is>
      </c>
      <c r="B57" s="181" t="inlineStr">
        <is>
          <t>atractylenolide i</t>
        </is>
      </c>
      <c r="C57" s="181" t="str"/>
      <c r="D57" s="181" t="inlineStr">
        <is>
          <t>other</t>
        </is>
      </c>
      <c r="E57" s="181" t="inlineStr">
        <is>
          <t>insufficient evidence</t>
        </is>
      </c>
      <c r="F57" s="181" t="inlineStr">
        <is>
          <t>multi-target signaling modulation</t>
        </is>
      </c>
      <c r="G57" s="181" t="inlineStr">
        <is>
          <t>general or unknown targets</t>
        </is>
      </c>
      <c r="H57" s="181" t="inlineStr">
        <is>
          <t>Absorption and bioavailability vary; some compounds metabolized via cytochrome P450 enzymes.</t>
        </is>
      </c>
      <c r="I57" s="181" t="inlineStr">
        <is>
          <t>low</t>
        </is>
      </c>
      <c r="J57" s="181" t="inlineStr">
        <is>
          <t>no well-documented interactions</t>
        </is>
      </c>
      <c r="K57" s="181" t="str"/>
      <c r="L57" s="181" t="inlineStr">
        <is>
          <t>compound_level</t>
        </is>
      </c>
      <c r="M57" s="181" t="inlineStr">
        <is>
          <t>https://plants.sc.egov.usda.gov/home/search?query=Atractylodes%20macrocephala | https://pubchem.ncbi.nlm.nih.gov/#query=atractylenolide%20i</t>
        </is>
      </c>
      <c r="N57" s="181" t="inlineStr">
        <is>
          <t>inferred_plus_trusted_gov</t>
        </is>
      </c>
      <c r="O57" s="181" t="inlineStr">
        <is>
          <t>scientific name; PubChem compound page (NIH); USDA Plants database</t>
        </is>
      </c>
      <c r="P57" s="181" t="str"/>
      <c r="Q57" s="181" t="inlineStr">
        <is>
          <t>atractylodes-macrocephala</t>
        </is>
      </c>
      <c r="R57" s="181" t="n">
        <v>1</v>
      </c>
      <c r="S57" s="181" t="inlineStr">
        <is>
          <t>Yes</t>
        </is>
      </c>
      <c r="T57" s="181" t="inlineStr">
        <is>
          <t>Integrated from cleaned high-signal dataset</t>
        </is>
      </c>
    </row>
    <row r="58">
      <c r="A58" s="181" t="inlineStr">
        <is>
          <t>atractylenolide ii</t>
        </is>
      </c>
      <c r="B58" s="181" t="inlineStr">
        <is>
          <t>atractylenolide ii</t>
        </is>
      </c>
      <c r="C58" s="181" t="str"/>
      <c r="D58" s="181" t="inlineStr">
        <is>
          <t>other</t>
        </is>
      </c>
      <c r="E58" s="181" t="inlineStr">
        <is>
          <t>insufficient evidence</t>
        </is>
      </c>
      <c r="F58" s="181" t="inlineStr">
        <is>
          <t>multi-target signaling modulation</t>
        </is>
      </c>
      <c r="G58" s="181" t="inlineStr">
        <is>
          <t>general or unknown targets</t>
        </is>
      </c>
      <c r="H58" s="181" t="inlineStr">
        <is>
          <t>Absorption and bioavailability vary; some compounds metabolized via cytochrome P450 enzymes.</t>
        </is>
      </c>
      <c r="I58" s="181" t="inlineStr">
        <is>
          <t>low</t>
        </is>
      </c>
      <c r="J58" s="181" t="inlineStr">
        <is>
          <t>no well-documented interactions</t>
        </is>
      </c>
      <c r="K58" s="181" t="str"/>
      <c r="L58" s="181" t="inlineStr">
        <is>
          <t>compound_level</t>
        </is>
      </c>
      <c r="M58" s="181" t="inlineStr">
        <is>
          <t>https://plants.sc.egov.usda.gov/home/search?query=Atractylodes%20macrocephala | https://pubchem.ncbi.nlm.nih.gov/#query=atractylenolide%20ii</t>
        </is>
      </c>
      <c r="N58" s="181" t="inlineStr">
        <is>
          <t>inferred_plus_trusted_gov</t>
        </is>
      </c>
      <c r="O58" s="181" t="inlineStr">
        <is>
          <t>scientific name; PubChem compound page (NIH); USDA Plants database</t>
        </is>
      </c>
      <c r="P58" s="181" t="str"/>
      <c r="Q58" s="181" t="inlineStr">
        <is>
          <t>atractylodes-macrocephala</t>
        </is>
      </c>
      <c r="R58" s="181" t="n">
        <v>1</v>
      </c>
      <c r="S58" s="181" t="inlineStr">
        <is>
          <t>Yes</t>
        </is>
      </c>
      <c r="T58" s="181" t="inlineStr">
        <is>
          <t>Integrated from cleaned high-signal dataset</t>
        </is>
      </c>
    </row>
    <row r="59">
      <c r="A59" s="181" t="inlineStr">
        <is>
          <t>atractylenolide iii</t>
        </is>
      </c>
      <c r="B59" s="181" t="inlineStr">
        <is>
          <t>atractylenolide iii</t>
        </is>
      </c>
      <c r="C59" s="181" t="str"/>
      <c r="D59" s="181" t="inlineStr">
        <is>
          <t>other</t>
        </is>
      </c>
      <c r="E59" s="181" t="inlineStr">
        <is>
          <t>insufficient evidence</t>
        </is>
      </c>
      <c r="F59" s="181" t="inlineStr">
        <is>
          <t>multi-target signaling modulation</t>
        </is>
      </c>
      <c r="G59" s="181" t="inlineStr">
        <is>
          <t>general or unknown targets</t>
        </is>
      </c>
      <c r="H59" s="181" t="inlineStr">
        <is>
          <t>Absorption and bioavailability vary; some compounds metabolized via cytochrome P450 enzymes.</t>
        </is>
      </c>
      <c r="I59" s="181" t="inlineStr">
        <is>
          <t>low</t>
        </is>
      </c>
      <c r="J59" s="181" t="inlineStr">
        <is>
          <t>no well-documented interactions</t>
        </is>
      </c>
      <c r="K59" s="181" t="str"/>
      <c r="L59" s="181" t="inlineStr">
        <is>
          <t>compound_level</t>
        </is>
      </c>
      <c r="M59" s="181" t="inlineStr">
        <is>
          <t>https://plants.sc.egov.usda.gov/home/search?query=Atractylodes%20macrocephala | https://pubchem.ncbi.nlm.nih.gov/#query=atractylenolide%20iii</t>
        </is>
      </c>
      <c r="N59" s="181" t="inlineStr">
        <is>
          <t>inferred_plus_trusted_gov</t>
        </is>
      </c>
      <c r="O59" s="181" t="inlineStr">
        <is>
          <t>scientific name; PubChem compound page (NIH); USDA Plants database</t>
        </is>
      </c>
      <c r="P59" s="181" t="str"/>
      <c r="Q59" s="181" t="inlineStr">
        <is>
          <t>atractylodes-macrocephala</t>
        </is>
      </c>
      <c r="R59" s="181" t="n">
        <v>1</v>
      </c>
      <c r="S59" s="181" t="inlineStr">
        <is>
          <t>Yes</t>
        </is>
      </c>
      <c r="T59" s="181" t="inlineStr">
        <is>
          <t>Integrated from cleaned high-signal dataset</t>
        </is>
      </c>
    </row>
    <row r="60">
      <c r="A60" s="181" t="inlineStr">
        <is>
          <t>atractylon</t>
        </is>
      </c>
      <c r="B60" s="181" t="inlineStr">
        <is>
          <t>atractylon</t>
        </is>
      </c>
      <c r="C60" s="181" t="str"/>
      <c r="D60" s="181" t="inlineStr">
        <is>
          <t>other</t>
        </is>
      </c>
      <c r="E60" s="181" t="inlineStr">
        <is>
          <t>insufficient evidence</t>
        </is>
      </c>
      <c r="F60" s="181" t="inlineStr">
        <is>
          <t>multi-target signaling modulation</t>
        </is>
      </c>
      <c r="G60" s="181" t="inlineStr">
        <is>
          <t>general or unknown targets</t>
        </is>
      </c>
      <c r="H60" s="181" t="inlineStr">
        <is>
          <t>Absorption and bioavailability vary; some compounds metabolized via cytochrome P450 enzymes.</t>
        </is>
      </c>
      <c r="I60" s="181" t="inlineStr">
        <is>
          <t>low</t>
        </is>
      </c>
      <c r="J60" s="181" t="inlineStr">
        <is>
          <t>no well-documented interactions</t>
        </is>
      </c>
      <c r="K60" s="181" t="str"/>
      <c r="L60" s="181" t="inlineStr">
        <is>
          <t>compound_level</t>
        </is>
      </c>
      <c r="M60" s="181" t="inlineStr">
        <is>
          <t>https://plants.sc.egov.usda.gov/home/search?query=Atractylodes%20macrocephala | https://pubchem.ncbi.nlm.nih.gov/#query=atractylon</t>
        </is>
      </c>
      <c r="N60" s="181" t="inlineStr">
        <is>
          <t>inferred_plus_trusted_gov</t>
        </is>
      </c>
      <c r="O60" s="181" t="inlineStr">
        <is>
          <t>scientific name; PubChem compound page (NIH); USDA Plants database</t>
        </is>
      </c>
      <c r="P60" s="181" t="str"/>
      <c r="Q60" s="181" t="inlineStr">
        <is>
          <t>atractylodes-macrocephala</t>
        </is>
      </c>
      <c r="R60" s="181" t="n">
        <v>1</v>
      </c>
      <c r="S60" s="181" t="inlineStr">
        <is>
          <t>Yes</t>
        </is>
      </c>
      <c r="T60" s="181" t="inlineStr">
        <is>
          <t>Integrated from cleaned high-signal dataset</t>
        </is>
      </c>
    </row>
    <row r="61">
      <c r="A61" s="181" t="inlineStr">
        <is>
          <t>atropine</t>
        </is>
      </c>
      <c r="B61" s="181" t="inlineStr">
        <is>
          <t>atropine</t>
        </is>
      </c>
      <c r="C61" s="181" t="str"/>
      <c r="D61" s="181" t="inlineStr">
        <is>
          <t>alkaloid</t>
        </is>
      </c>
      <c r="E61" s="181" t="inlineStr">
        <is>
          <t>Tropane alkaloids block muscarinic acetylcholine receptors causing central and peripheral anticholinergic effects.</t>
        </is>
      </c>
      <c r="F61" s="181" t="inlineStr">
        <is>
          <t>muscarinic receptor interaction</t>
        </is>
      </c>
      <c r="G61" s="181" t="inlineStr">
        <is>
          <t>CHRM1, CHRM2 (muscarinic receptors); cholinergic_modulation</t>
        </is>
      </c>
      <c r="H61" s="181" t="inlineStr">
        <is>
          <t>Absorption and bioavailability vary; some compounds metabolized via cytochrome P450 enzymes.</t>
        </is>
      </c>
      <c r="I61" s="181" t="inlineStr">
        <is>
          <t>high</t>
        </is>
      </c>
      <c r="J61" s="181" t="inlineStr">
        <is>
          <t>avoid with other anticholinergics; additive toxicity</t>
        </is>
      </c>
      <c r="K61" s="181" t="str"/>
      <c r="L61" s="181" t="inlineStr">
        <is>
          <t>compound_level</t>
        </is>
      </c>
      <c r="M61" s="181" t="inlineStr">
        <is>
          <t>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https://plants.sc.egov.usda.gov/home/search?query=Mandragora%20officinarum | https://plants.sc.egov.usda.gov/home/search?query=Solandra%20maxima | https://plants.sc.egov.usda.gov/home/search?query=brugmansia | https://plants.sc.egov.usda.gov/home/search?query=brugmansia%20suaveolens | https://plants.sc.egov.usda.gov/home/search?query=mandrake | https://pubchem.ncbi.nlm.nih.gov/#query=atropine</t>
        </is>
      </c>
      <c r="N61" s="181" t="inlineStr">
        <is>
          <t>inferred_plus_trusted_gov; trusted_gov_added</t>
        </is>
      </c>
      <c r="O61" s="181" t="inlineStr">
        <is>
          <t>PubChem compound page (NIH); USDA Plants database; scientific name; PubChem compound page (NIH); USDA Plants database</t>
        </is>
      </c>
      <c r="P61" s="181" t="str"/>
      <c r="Q61" s="181" t="inlineStr">
        <is>
          <t>atropa-belladonna; brugmansia; brugmansia-sanguinea; brugmansia-suaveolens; datura-ferox; datura-stramonium; datura-wrightii; mandragora-officinarum; solandra-maxima</t>
        </is>
      </c>
      <c r="R61" s="181" t="n">
        <v>9</v>
      </c>
      <c r="S61" s="181" t="inlineStr">
        <is>
          <t>Yes</t>
        </is>
      </c>
      <c r="T61" s="181" t="inlineStr">
        <is>
          <t>Integrated from cleaned high-signal dataset</t>
        </is>
      </c>
    </row>
    <row r="62">
      <c r="A62" s="181" t="inlineStr">
        <is>
          <t>aucubin</t>
        </is>
      </c>
      <c r="B62" s="181" t="inlineStr">
        <is>
          <t>aucubin</t>
        </is>
      </c>
      <c r="C62" s="181" t="str"/>
      <c r="D62" s="181" t="inlineStr">
        <is>
          <t>other</t>
        </is>
      </c>
      <c r="E62" s="181" t="inlineStr">
        <is>
          <t>insufficient evidence</t>
        </is>
      </c>
      <c r="F62" s="181" t="inlineStr">
        <is>
          <t>multi-target signaling modulation</t>
        </is>
      </c>
      <c r="G62" s="181" t="inlineStr">
        <is>
          <t>general or unknown targets</t>
        </is>
      </c>
      <c r="H62" s="181" t="inlineStr">
        <is>
          <t>Oral/topical; mucosal and epithelial support</t>
        </is>
      </c>
      <c r="I62" s="181" t="inlineStr">
        <is>
          <t>low</t>
        </is>
      </c>
      <c r="J62" s="181" t="inlineStr">
        <is>
          <t>no well-documented interactions</t>
        </is>
      </c>
      <c r="K62" s="181" t="str"/>
      <c r="L62" s="181" t="inlineStr">
        <is>
          <t>compound_level</t>
        </is>
      </c>
      <c r="M62" s="181" t="inlineStr">
        <is>
          <t>https://plants.sc.egov.usda.gov/home/search?query=Plantago%20major | https://pubchem.ncbi.nlm.nih.gov/#query=aucubin</t>
        </is>
      </c>
      <c r="N62" s="181" t="inlineStr">
        <is>
          <t>inferred_plus_trusted_gov</t>
        </is>
      </c>
      <c r="O62" s="181" t="inlineStr">
        <is>
          <t>scientific name; PubChem compound page (NIH); USDA Plants database</t>
        </is>
      </c>
      <c r="P62" s="181" t="str"/>
      <c r="Q62" s="181" t="inlineStr">
        <is>
          <t>plantago-major</t>
        </is>
      </c>
      <c r="R62" s="181" t="n">
        <v>1</v>
      </c>
      <c r="S62" s="181" t="inlineStr">
        <is>
          <t>Yes</t>
        </is>
      </c>
      <c r="T62" s="181" t="inlineStr">
        <is>
          <t>Integrated from cleaned high-signal dataset</t>
        </is>
      </c>
    </row>
    <row r="63">
      <c r="A63" s="181" t="inlineStr">
        <is>
          <t>azadirachtin</t>
        </is>
      </c>
      <c r="B63" s="181" t="inlineStr">
        <is>
          <t>azadirachtin</t>
        </is>
      </c>
      <c r="C63" s="181" t="str"/>
      <c r="D63" s="181" t="inlineStr">
        <is>
          <t>other</t>
        </is>
      </c>
      <c r="E63" s="181" t="inlineStr">
        <is>
          <t>insufficient evidence</t>
        </is>
      </c>
      <c r="F63" s="181" t="inlineStr">
        <is>
          <t>multi-target signaling modulation</t>
        </is>
      </c>
      <c r="G63" s="181" t="inlineStr">
        <is>
          <t>general or unknown targets</t>
        </is>
      </c>
      <c r="H63" s="181" t="inlineStr">
        <is>
          <t>Oral/topical; antimicrobial and immune tonic</t>
        </is>
      </c>
      <c r="I63" s="181" t="inlineStr">
        <is>
          <t>low</t>
        </is>
      </c>
      <c r="J63" s="181" t="inlineStr">
        <is>
          <t>no well-documented interactions</t>
        </is>
      </c>
      <c r="K63" s="181" t="str"/>
      <c r="L63" s="181" t="inlineStr">
        <is>
          <t>compound_level</t>
        </is>
      </c>
      <c r="M63" s="181" t="inlineStr">
        <is>
          <t>https://plants.sc.egov.usda.gov/home/search?query=Azadirachta%20indica | https://pubchem.ncbi.nlm.nih.gov/#query=azadirachtin</t>
        </is>
      </c>
      <c r="N63" s="181" t="inlineStr">
        <is>
          <t>inferred_plus_trusted_gov</t>
        </is>
      </c>
      <c r="O63" s="181" t="inlineStr">
        <is>
          <t>scientific name; PubChem compound page (NIH); USDA Plants database</t>
        </is>
      </c>
      <c r="P63" s="181" t="str"/>
      <c r="Q63" s="181" t="inlineStr">
        <is>
          <t>azadirachta-indica</t>
        </is>
      </c>
      <c r="R63" s="181" t="n">
        <v>1</v>
      </c>
      <c r="S63" s="181" t="inlineStr">
        <is>
          <t>Yes</t>
        </is>
      </c>
      <c r="T63" s="181" t="inlineStr">
        <is>
          <t>Integrated from cleaned high-signal dataset</t>
        </is>
      </c>
    </row>
    <row r="64">
      <c r="A64" s="181" t="inlineStr">
        <is>
          <t>baicalein</t>
        </is>
      </c>
      <c r="B64" s="181" t="inlineStr">
        <is>
          <t>baicalein</t>
        </is>
      </c>
      <c r="C64" s="181" t="str"/>
      <c r="D64" s="181" t="inlineStr">
        <is>
          <t>flavonoid</t>
        </is>
      </c>
      <c r="E64" s="181" t="inlineStr">
        <is>
          <t>American skullcap flavonoids are associated with anticonvulsant and anxiolytic activity; GABAergic signaling and broader neuroinhibitory effects have been proposed in preclinical work.</t>
        </is>
      </c>
      <c r="F64" s="181" t="inlineStr">
        <is>
          <t>GABAergic modulation; multi-target signaling modulation</t>
        </is>
      </c>
      <c r="G64" s="181" t="inlineStr">
        <is>
          <t>LOX inhibition; NF-kB inhibition; gabaergic_modulation; general or unknown targets</t>
        </is>
      </c>
      <c r="H64" s="181" t="inlineStr">
        <is>
          <t>Oral; liver and immune support</t>
        </is>
      </c>
      <c r="I64" s="181" t="inlineStr">
        <is>
          <t>low</t>
        </is>
      </c>
      <c r="J64" s="181" t="inlineStr">
        <is>
          <t>Anticoagulants (↑ bleeding risk)</t>
        </is>
      </c>
      <c r="K64" s="181" t="str"/>
      <c r="L64" s="181" t="inlineStr">
        <is>
          <t>Batch8</t>
        </is>
      </c>
      <c r="M64" s="181" t="inlineStr">
        <is>
          <t>https://plants.sc.egov.usda.gov/home/search?query=Scutellaria%20baicalensis | https://plants.sc.egov.usda.gov/home/search?query=scutellaria%20lateriflora | https://pubchem.ncbi.nlm.nih.gov/#query=baicalein</t>
        </is>
      </c>
      <c r="N64" s="181" t="inlineStr">
        <is>
          <t>inferred_plus_trusted_gov; trusted_gov_added</t>
        </is>
      </c>
      <c r="O64" s="181" t="inlineStr">
        <is>
          <t>PubChem compound page (NIH); USDA Plants database; scientific name; PubChem compound page (NIH); USDA Plants database</t>
        </is>
      </c>
      <c r="P64" s="181" t="inlineStr">
        <is>
          <t>precision_monographs_batch8.xlsx</t>
        </is>
      </c>
      <c r="Q64" s="181" t="inlineStr">
        <is>
          <t>scutellaria-baicalensis; scutellaria-lateriflora</t>
        </is>
      </c>
      <c r="R64" s="181" t="n">
        <v>2</v>
      </c>
      <c r="S64" s="181" t="inlineStr">
        <is>
          <t>Yes</t>
        </is>
      </c>
      <c r="T64" s="181" t="inlineStr">
        <is>
          <t>Integrated from cleaned high-signal dataset; Integrated from compound monograph workbook</t>
        </is>
      </c>
    </row>
    <row r="65">
      <c r="A65" s="181" t="inlineStr">
        <is>
          <t>baicalin</t>
        </is>
      </c>
      <c r="B65" s="181" t="inlineStr">
        <is>
          <t>baicalin</t>
        </is>
      </c>
      <c r="C65" s="181" t="str"/>
      <c r="D65" s="181" t="inlineStr">
        <is>
          <t>other</t>
        </is>
      </c>
      <c r="E65" s="181" t="inlineStr">
        <is>
          <t>American skullcap flavonoids are associated with anticonvulsant and anxiolytic activity; GABAergic signaling and broader neuroinhibitory effects have been proposed in preclinical work.</t>
        </is>
      </c>
      <c r="F65" s="181" t="inlineStr">
        <is>
          <t>GABAergic modulation; multi-target signaling modulation</t>
        </is>
      </c>
      <c r="G65" s="181" t="inlineStr">
        <is>
          <t>gabaergic_modulation; general or unknown targets</t>
        </is>
      </c>
      <c r="H65" s="181" t="inlineStr">
        <is>
          <t>Oral; liver and immune support</t>
        </is>
      </c>
      <c r="I65" s="181" t="inlineStr">
        <is>
          <t>low</t>
        </is>
      </c>
      <c r="J65" s="181" t="inlineStr">
        <is>
          <t>no well-documented interactions</t>
        </is>
      </c>
      <c r="K65" s="181" t="str"/>
      <c r="L65" s="181" t="inlineStr">
        <is>
          <t>compound_level</t>
        </is>
      </c>
      <c r="M65" s="181" t="inlineStr">
        <is>
          <t>https://plants.sc.egov.usda.gov/home/search?query=Scutellaria%20baicalensis | https://plants.sc.egov.usda.gov/home/search?query=scutellaria%20lateriflora | https://pubchem.ncbi.nlm.nih.gov/#query=baicalin</t>
        </is>
      </c>
      <c r="N65" s="181" t="inlineStr">
        <is>
          <t>inferred_plus_trusted_gov; trusted_gov_added</t>
        </is>
      </c>
      <c r="O65" s="181" t="inlineStr">
        <is>
          <t>PubChem compound page (NIH); USDA Plants database; scientific name; PubChem compound page (NIH); USDA Plants database</t>
        </is>
      </c>
      <c r="P65" s="181" t="str"/>
      <c r="Q65" s="181" t="inlineStr">
        <is>
          <t>scutellaria-baicalensis; scutellaria-lateriflora</t>
        </is>
      </c>
      <c r="R65" s="181" t="n">
        <v>2</v>
      </c>
      <c r="S65" s="181" t="inlineStr">
        <is>
          <t>Yes</t>
        </is>
      </c>
      <c r="T65" s="181" t="inlineStr">
        <is>
          <t>Integrated from cleaned high-signal dataset</t>
        </is>
      </c>
    </row>
    <row r="66">
      <c r="A66" s="181" t="inlineStr">
        <is>
          <t>benzyl benzoate</t>
        </is>
      </c>
      <c r="B66" s="181" t="inlineStr">
        <is>
          <t>benzyl benzoate</t>
        </is>
      </c>
      <c r="C66" s="181" t="str"/>
      <c r="D66" s="181" t="inlineStr">
        <is>
          <t>other</t>
        </is>
      </c>
      <c r="E66" s="181" t="inlineStr">
        <is>
          <t>insufficient evidence</t>
        </is>
      </c>
      <c r="F66" s="181" t="inlineStr">
        <is>
          <t>multi-target signaling modulation</t>
        </is>
      </c>
      <c r="G66" s="181" t="inlineStr">
        <is>
          <t>general or unknown targets</t>
        </is>
      </c>
      <c r="H66" s="181" t="inlineStr">
        <is>
          <t>Absorption and bioavailability vary; some compounds metabolized via cytochrome P450 enzymes.</t>
        </is>
      </c>
      <c r="I66" s="181" t="inlineStr">
        <is>
          <t>low</t>
        </is>
      </c>
      <c r="J66" s="181" t="inlineStr">
        <is>
          <t>no well-documented interactions</t>
        </is>
      </c>
      <c r="K66" s="181" t="str"/>
      <c r="L66" s="181" t="inlineStr">
        <is>
          <t>compound_level</t>
        </is>
      </c>
      <c r="M66" s="181" t="inlineStr">
        <is>
          <t>https://plants.sc.egov.usda.gov/home/search?query=Myroxylon%20balsamum | https://pubchem.ncbi.nlm.nih.gov/#query=benzyl%20benzoate</t>
        </is>
      </c>
      <c r="N66" s="181" t="inlineStr">
        <is>
          <t>inferred_plus_trusted_gov</t>
        </is>
      </c>
      <c r="O66" s="181" t="inlineStr">
        <is>
          <t>scientific name; PubChem compound page (NIH); USDA Plants database</t>
        </is>
      </c>
      <c r="P66" s="181" t="str"/>
      <c r="Q66" s="181" t="inlineStr">
        <is>
          <t>myroxylon-balsamum</t>
        </is>
      </c>
      <c r="R66" s="181" t="n">
        <v>1</v>
      </c>
      <c r="S66" s="181" t="inlineStr">
        <is>
          <t>Yes</t>
        </is>
      </c>
      <c r="T66" s="181" t="inlineStr">
        <is>
          <t>Integrated from cleaned high-signal dataset</t>
        </is>
      </c>
    </row>
    <row r="67">
      <c r="A67" s="181" t="inlineStr">
        <is>
          <t>benzyl isothiocyanate</t>
        </is>
      </c>
      <c r="B67" s="181" t="inlineStr">
        <is>
          <t>benzyl isothiocyanate</t>
        </is>
      </c>
      <c r="C67" s="181" t="str"/>
      <c r="D67" s="181" t="inlineStr">
        <is>
          <t>other</t>
        </is>
      </c>
      <c r="E67" s="181" t="inlineStr">
        <is>
          <t>insufficient evidence</t>
        </is>
      </c>
      <c r="F67" s="181" t="inlineStr">
        <is>
          <t>multi-target signaling modulation</t>
        </is>
      </c>
      <c r="G67" s="181" t="inlineStr">
        <is>
          <t>general or unknown targets</t>
        </is>
      </c>
      <c r="H67" s="181" t="inlineStr">
        <is>
          <t>moderate absorption; hepatic metabolism</t>
        </is>
      </c>
      <c r="I67" s="181" t="inlineStr">
        <is>
          <t>low</t>
        </is>
      </c>
      <c r="J67" s="181" t="inlineStr">
        <is>
          <t>no well-documented interactions</t>
        </is>
      </c>
      <c r="K67" s="181" t="str"/>
      <c r="L67" s="181" t="inlineStr">
        <is>
          <t>compound_level</t>
        </is>
      </c>
      <c r="M67" s="181" t="inlineStr">
        <is>
          <t>https://plants.sc.egov.usda.gov/home/search?query=carica%20papaya | https://plants.sc.egov.usda.gov/home/search?query=tropaeolum%20majus | https://pubchem.ncbi.nlm.nih.gov/#query=benzyl%20isothiocyanate</t>
        </is>
      </c>
      <c r="N67" s="181" t="inlineStr">
        <is>
          <t>trusted_gov_added</t>
        </is>
      </c>
      <c r="O67" s="181" t="inlineStr">
        <is>
          <t>PubChem compound page (NIH); USDA Plants database</t>
        </is>
      </c>
      <c r="P67" s="181" t="str"/>
      <c r="Q67" s="181" t="inlineStr">
        <is>
          <t>carica-papaya; tropaeolum-majus</t>
        </is>
      </c>
      <c r="R67" s="181" t="n">
        <v>2</v>
      </c>
      <c r="S67" s="181" t="inlineStr">
        <is>
          <t>Yes</t>
        </is>
      </c>
      <c r="T67" s="181" t="inlineStr">
        <is>
          <t>Integrated from cleaned high-signal dataset</t>
        </is>
      </c>
    </row>
    <row r="68">
      <c r="A68" s="181" t="inlineStr">
        <is>
          <t>berbamine</t>
        </is>
      </c>
      <c r="B68" s="181" t="inlineStr">
        <is>
          <t>berbamine</t>
        </is>
      </c>
      <c r="C68" s="181" t="str"/>
      <c r="D68" s="181" t="inlineStr">
        <is>
          <t>other</t>
        </is>
      </c>
      <c r="E68" s="181" t="inlineStr">
        <is>
          <t>insufficient evidence</t>
        </is>
      </c>
      <c r="F68" s="181" t="inlineStr">
        <is>
          <t>multi-target signaling modulation</t>
        </is>
      </c>
      <c r="G68" s="181" t="inlineStr">
        <is>
          <t>general or unknown targets</t>
        </is>
      </c>
      <c r="H68" s="181" t="inlineStr">
        <is>
          <t>Oral; AMPK activation and microbial inhibition</t>
        </is>
      </c>
      <c r="I68" s="181" t="inlineStr">
        <is>
          <t>low</t>
        </is>
      </c>
      <c r="J68" s="181" t="inlineStr">
        <is>
          <t>no well-documented interactions</t>
        </is>
      </c>
      <c r="K68" s="181" t="str"/>
      <c r="L68" s="181" t="inlineStr">
        <is>
          <t>compound_level</t>
        </is>
      </c>
      <c r="M68" s="181" t="inlineStr">
        <is>
          <t>https://plants.sc.egov.usda.gov/home/search?query=Berberis%20vulgaris | https://pubchem.ncbi.nlm.nih.gov/#query=berbamine</t>
        </is>
      </c>
      <c r="N68" s="181" t="inlineStr">
        <is>
          <t>inferred_plus_trusted_gov</t>
        </is>
      </c>
      <c r="O68" s="181" t="inlineStr">
        <is>
          <t>scientific name; PubChem compound page (NIH); USDA Plants database</t>
        </is>
      </c>
      <c r="P68" s="181" t="str"/>
      <c r="Q68" s="181" t="inlineStr">
        <is>
          <t>berberis-vulgaris</t>
        </is>
      </c>
      <c r="R68" s="181" t="n">
        <v>1</v>
      </c>
      <c r="S68" s="181" t="inlineStr">
        <is>
          <t>Yes</t>
        </is>
      </c>
      <c r="T68" s="181" t="inlineStr">
        <is>
          <t>Integrated from cleaned high-signal dataset</t>
        </is>
      </c>
    </row>
    <row r="69">
      <c r="A69" s="181" t="inlineStr">
        <is>
          <t>berberine</t>
        </is>
      </c>
      <c r="B69" s="181" t="inlineStr">
        <is>
          <t>berberine</t>
        </is>
      </c>
      <c r="C69" s="181" t="str"/>
      <c r="D69" s="181" t="inlineStr">
        <is>
          <t>alkaloid</t>
        </is>
      </c>
      <c r="E69" s="181" t="inlineStr">
        <is>
          <t>Activates AMPK and is reported to inhibit mitochondrial respiratory complex I; downstream effects include modulation of metabolic and inflammatory signaling.</t>
        </is>
      </c>
      <c r="F69" s="181" t="inlineStr">
        <is>
          <t>multi-target signaling modulation</t>
        </is>
      </c>
      <c r="G69" s="181" t="inlineStr">
        <is>
          <t>AMPK activation; NF-kB pathway inhibition; general or unknown targets; mitochondrial complex I inhibition</t>
        </is>
      </c>
      <c r="H69" s="181" t="inlineStr">
        <is>
          <t>Poor oral bioavailability; extensive first-pass/post-oral metabolism; transporter-related disposition including P-glycoprotein involvement.</t>
        </is>
      </c>
      <c r="I69" s="181" t="inlineStr">
        <is>
          <t>Common adverse effects are gastrointestinal. Avoid in pregnancy, breastfeeding, and infants because of bilirubin/jaundice risk.</t>
        </is>
      </c>
      <c r="J69" s="181" t="inlineStr">
        <is>
          <t>Cyclosporine (documented ↑ blood concentration); P-glycoprotein substrates (possible ↑ exposure); CYP2D6/CYP2C9/CYP3A4 substrates (possible altered exposure); antidiabetic drugs (additive glucose-lowering).</t>
        </is>
      </c>
      <c r="K69" s="181" t="inlineStr">
        <is>
          <t>High</t>
        </is>
      </c>
      <c r="L69" s="181" t="inlineStr">
        <is>
          <t>compound_level</t>
        </is>
      </c>
      <c r="M69" s="181" t="inlineStr">
        <is>
          <t>https://plants.sc.egov.usda.gov/home/search?query=Berberis%20vulgaris | https://plants.sc.egov.usda.gov/home/search?query=Chelidonium%20majus | https://plants.sc.egov.usda.gov/home/search?query=Coptis%20chinensis | https://plants.sc.egov.usda.gov/home/search?query=Hydrastis%20canadensis | https://plants.sc.egov.usda.gov/home/search?query=Phellodendron%20amurense | https://plants.sc.egov.usda.gov/home/search?query=argemone%20mexicana | https://pmc.ncbi.nlm.nih.gov/articles/PMC4898966/ | https://pubchem.ncbi.nlm.nih.gov/#query=berberine | https://pubchem.ncbi.nlm.nih.gov/compound/Berberine | https://pubmed.ncbi.nlm.nih.gov/16133554/ | https://pubmed.ncbi.nlm.nih.gov/16873688/ | https://www.nccih.nih.gov/health/in-the-news-berberine</t>
        </is>
      </c>
      <c r="N69" s="181" t="inlineStr">
        <is>
          <t>inferred_plus_trusted_gov; trusted_gov_added</t>
        </is>
      </c>
      <c r="O69" s="181" t="inlineStr">
        <is>
          <t>PubChem compound page (NIH); USDA Plants database; scientific name; PubChem compound page (NIH); USDA Plants database</t>
        </is>
      </c>
      <c r="P69" s="181" t="inlineStr">
        <is>
          <t>precision_monographs_berberine_eugenol.xlsx</t>
        </is>
      </c>
      <c r="Q69" s="181" t="inlineStr">
        <is>
          <t>argemone-mexicana; berberis-vulgaris; chelidonium-majus; coptis-chinensis; hydrastis-canadensis; phellodendron-amurense</t>
        </is>
      </c>
      <c r="R69" s="181" t="n">
        <v>6</v>
      </c>
      <c r="S69" s="181" t="inlineStr">
        <is>
          <t>Yes</t>
        </is>
      </c>
      <c r="T69" s="181" t="inlineStr">
        <is>
          <t>Integrated from cleaned high-signal dataset; Integrated from compound monograph workbook</t>
        </is>
      </c>
    </row>
    <row r="70">
      <c r="A70" s="181" t="inlineStr">
        <is>
          <t>beta-amyrin</t>
        </is>
      </c>
      <c r="B70" s="181" t="inlineStr">
        <is>
          <t>beta-amyrin</t>
        </is>
      </c>
      <c r="C70" s="181" t="str"/>
      <c r="D70" s="181" t="inlineStr">
        <is>
          <t>other</t>
        </is>
      </c>
      <c r="E70" s="181" t="inlineStr">
        <is>
          <t>insufficient evidence</t>
        </is>
      </c>
      <c r="F70" s="181" t="inlineStr">
        <is>
          <t>multi-target signaling modulation</t>
        </is>
      </c>
      <c r="G70" s="181" t="inlineStr">
        <is>
          <t>general or unknown targets</t>
        </is>
      </c>
      <c r="H70" s="181" t="inlineStr">
        <is>
          <t>moderate absorption; hepatic metabolism</t>
        </is>
      </c>
      <c r="I70" s="181" t="inlineStr">
        <is>
          <t>low</t>
        </is>
      </c>
      <c r="J70" s="181" t="inlineStr">
        <is>
          <t>no well-documented interactions</t>
        </is>
      </c>
      <c r="K70" s="181" t="str"/>
      <c r="L70" s="181" t="inlineStr">
        <is>
          <t>compound_level</t>
        </is>
      </c>
      <c r="M70" s="181" t="inlineStr">
        <is>
          <t>https://plants.sc.egov.usda.gov/home/search?query=Celastrus%20Paniculatus | https://plants.sc.egov.usda.gov/home/search?query=celastrus%20paniculatus | https://pubchem.ncbi.nlm.nih.gov/#query=beta-amyrin</t>
        </is>
      </c>
      <c r="N70" s="181" t="inlineStr">
        <is>
          <t>trusted_gov_added</t>
        </is>
      </c>
      <c r="O70" s="181" t="inlineStr">
        <is>
          <t>PubChem compound page (NIH); USDA Plants database</t>
        </is>
      </c>
      <c r="P70" s="181" t="str"/>
      <c r="Q70" s="181" t="inlineStr">
        <is>
          <t>celastrus-paniculatus; celastrus-paniculatus-intellect-tree</t>
        </is>
      </c>
      <c r="R70" s="181" t="n">
        <v>2</v>
      </c>
      <c r="S70" s="181" t="inlineStr">
        <is>
          <t>Yes</t>
        </is>
      </c>
      <c r="T70" s="181" t="inlineStr">
        <is>
          <t>Integrated from cleaned high-signal dataset</t>
        </is>
      </c>
    </row>
    <row r="71">
      <c r="A71" s="181" t="inlineStr">
        <is>
          <t>beta-asarone</t>
        </is>
      </c>
      <c r="B71" s="181" t="inlineStr">
        <is>
          <t>beta-asarone</t>
        </is>
      </c>
      <c r="C71" s="181" t="str"/>
      <c r="D71" s="181" t="inlineStr">
        <is>
          <t>other</t>
        </is>
      </c>
      <c r="E71" s="181" t="inlineStr">
        <is>
          <t>insufficient evidence</t>
        </is>
      </c>
      <c r="F71" s="181" t="inlineStr">
        <is>
          <t>GABAergic modulation; multi-target signaling modulation</t>
        </is>
      </c>
      <c r="G71" s="181" t="inlineStr">
        <is>
          <t>gabaergic_modulation; general or unknown targets</t>
        </is>
      </c>
      <c r="H71" s="181" t="inlineStr">
        <is>
          <t>moderate absorption; hepatic metabolism</t>
        </is>
      </c>
      <c r="I71" s="181" t="inlineStr">
        <is>
          <t>low</t>
        </is>
      </c>
      <c r="J71" s="181" t="inlineStr">
        <is>
          <t>no well-documented interactions</t>
        </is>
      </c>
      <c r="K71" s="181" t="str"/>
      <c r="L71" s="181" t="inlineStr">
        <is>
          <t>compound_level</t>
        </is>
      </c>
      <c r="M71" s="181" t="inlineStr">
        <is>
          <t>https://plants.sc.egov.usda.gov/home/search?query=Acorus%20tatarinowii | https://plants.sc.egov.usda.gov/home/search?query=acorus%20calamus | https://plants.sc.egov.usda.gov/home/search?query=acorus%20calamus%20var.%20angustatus | https://pubchem.ncbi.nlm.nih.gov/#query=beta-asarone</t>
        </is>
      </c>
      <c r="N71" s="181" t="inlineStr">
        <is>
          <t>inferred_plus_trusted_gov; trusted_gov_added</t>
        </is>
      </c>
      <c r="O71" s="181" t="inlineStr">
        <is>
          <t>PubChem compound page (NIH); USDA Plants database; scientific name; PubChem compound page (NIH); USDA Plants database</t>
        </is>
      </c>
      <c r="P71" s="181" t="str"/>
      <c r="Q71" s="181" t="inlineStr">
        <is>
          <t>acorus-calamus; acorus-calamus-angustatus; acorus-tatarinowii</t>
        </is>
      </c>
      <c r="R71" s="181" t="n">
        <v>3</v>
      </c>
      <c r="S71" s="181" t="inlineStr">
        <is>
          <t>Yes</t>
        </is>
      </c>
      <c r="T71" s="181" t="inlineStr">
        <is>
          <t>Integrated from cleaned high-signal dataset</t>
        </is>
      </c>
    </row>
    <row r="72">
      <c r="A72" s="181" t="inlineStr">
        <is>
          <t>beta-asarone low levels</t>
        </is>
      </c>
      <c r="B72" s="181" t="inlineStr">
        <is>
          <t>beta-asarone (low levels)</t>
        </is>
      </c>
      <c r="C72" s="181" t="str"/>
      <c r="D72" s="181" t="inlineStr">
        <is>
          <t>other</t>
        </is>
      </c>
      <c r="E72" s="181" t="inlineStr">
        <is>
          <t>insufficient evidence</t>
        </is>
      </c>
      <c r="F72" s="181" t="inlineStr">
        <is>
          <t>multi-target signaling modulation</t>
        </is>
      </c>
      <c r="G72" s="181" t="inlineStr">
        <is>
          <t>general or unknown targets</t>
        </is>
      </c>
      <c r="H72" s="181" t="inlineStr">
        <is>
          <t>moderate absorption; hepatic metabolism</t>
        </is>
      </c>
      <c r="I72" s="181" t="inlineStr">
        <is>
          <t>low</t>
        </is>
      </c>
      <c r="J72" s="181" t="inlineStr">
        <is>
          <t>no well-documented interactions</t>
        </is>
      </c>
      <c r="K72" s="181" t="str"/>
      <c r="L72" s="181" t="inlineStr">
        <is>
          <t>compound_level</t>
        </is>
      </c>
      <c r="M72" s="181" t="inlineStr">
        <is>
          <t>https://plants.sc.egov.usda.gov/home/search?query=acorus%20americanus | https://pubchem.ncbi.nlm.nih.gov/#query=beta-asarone%20%28low%20levels%29</t>
        </is>
      </c>
      <c r="N72" s="181" t="inlineStr">
        <is>
          <t>trusted_gov_added</t>
        </is>
      </c>
      <c r="O72" s="181" t="inlineStr">
        <is>
          <t>PubChem compound page (NIH); USDA Plants database</t>
        </is>
      </c>
      <c r="P72" s="181" t="str"/>
      <c r="Q72" s="181" t="inlineStr">
        <is>
          <t>acorus-americanus</t>
        </is>
      </c>
      <c r="R72" s="181" t="n">
        <v>1</v>
      </c>
      <c r="S72" s="181" t="inlineStr">
        <is>
          <t>Yes</t>
        </is>
      </c>
      <c r="T72" s="181" t="inlineStr">
        <is>
          <t>Integrated from cleaned high-signal dataset</t>
        </is>
      </c>
    </row>
    <row r="73">
      <c r="A73" s="181" t="inlineStr">
        <is>
          <t>beta-boswellic acid</t>
        </is>
      </c>
      <c r="B73" s="181" t="inlineStr">
        <is>
          <t>beta-boswellic acid</t>
        </is>
      </c>
      <c r="C73" s="181" t="str"/>
      <c r="D73" s="181" t="inlineStr">
        <is>
          <t>organic acid</t>
        </is>
      </c>
      <c r="E73" s="181" t="inlineStr">
        <is>
          <t>Boswellic acids, especially AKBA, act as relatively selective 5-lipoxygenase inhibitors and reduce leukotriene synthesis in inflammatory pathways.</t>
        </is>
      </c>
      <c r="F73" s="181" t="inlineStr">
        <is>
          <t>multi-target signaling modulation</t>
        </is>
      </c>
      <c r="G73" s="181" t="inlineStr">
        <is>
          <t>general or unknown targets</t>
        </is>
      </c>
      <c r="H73" s="181" t="inlineStr">
        <is>
          <t>Absorption and bioavailability vary; some compounds metabolized via cytochrome P450 enzymes.</t>
        </is>
      </c>
      <c r="I73" s="181" t="inlineStr">
        <is>
          <t>low</t>
        </is>
      </c>
      <c r="J73" s="181" t="inlineStr">
        <is>
          <t>no well-documented interactions</t>
        </is>
      </c>
      <c r="K73" s="181" t="str"/>
      <c r="L73" s="181" t="inlineStr">
        <is>
          <t>compound_level</t>
        </is>
      </c>
      <c r="M73" s="181" t="inlineStr">
        <is>
          <t>https://plants.sc.egov.usda.gov/home/search?query=Boswellia%20sacra | https://plants.sc.egov.usda.gov/home/search?query=frankincense%20%28boswellia%29 | https://pubchem.ncbi.nlm.nih.gov/#query=beta-boswellic%20acid</t>
        </is>
      </c>
      <c r="N73" s="181" t="inlineStr">
        <is>
          <t>inferred_plus_trusted_gov; trusted_gov_added</t>
        </is>
      </c>
      <c r="O73" s="181" t="inlineStr">
        <is>
          <t>PubChem compound page (NIH); USDA Plants database; scientific name; PubChem compound page (NIH); USDA Plants database</t>
        </is>
      </c>
      <c r="P73" s="181" t="str"/>
      <c r="Q73" s="181" t="inlineStr">
        <is>
          <t>boswellia-sacra; frankincense-boswellia</t>
        </is>
      </c>
      <c r="R73" s="181" t="n">
        <v>2</v>
      </c>
      <c r="S73" s="181" t="inlineStr">
        <is>
          <t>Yes</t>
        </is>
      </c>
      <c r="T73" s="181" t="inlineStr">
        <is>
          <t>Integrated from cleaned high-signal dataset</t>
        </is>
      </c>
    </row>
    <row r="74">
      <c r="A74" s="181" t="inlineStr">
        <is>
          <t>beta-caryophyllene</t>
        </is>
      </c>
      <c r="B74" s="181" t="inlineStr">
        <is>
          <t>beta-caryophyllene</t>
        </is>
      </c>
      <c r="C74" s="181" t="str"/>
      <c r="D74" s="181" t="inlineStr">
        <is>
          <t>other</t>
        </is>
      </c>
      <c r="E74" s="181" t="inlineStr">
        <is>
          <t>insufficient evidence</t>
        </is>
      </c>
      <c r="F74" s="181" t="inlineStr">
        <is>
          <t>multi-target signaling modulation</t>
        </is>
      </c>
      <c r="G74" s="181" t="inlineStr">
        <is>
          <t>general or unknown targets</t>
        </is>
      </c>
      <c r="H74" s="181" t="inlineStr">
        <is>
          <t>moderate absorption; hepatic metabolism</t>
        </is>
      </c>
      <c r="I74" s="181" t="inlineStr">
        <is>
          <t>low</t>
        </is>
      </c>
      <c r="J74" s="181" t="inlineStr">
        <is>
          <t>no well-documented interactions</t>
        </is>
      </c>
      <c r="K74" s="181" t="str"/>
      <c r="L74" s="181" t="inlineStr">
        <is>
          <t>compound_level</t>
        </is>
      </c>
      <c r="M74" s="181" t="inlineStr">
        <is>
          <t>https://plants.sc.egov.usda.gov/home/search?query=Copaifera%20officinalis | https://plants.sc.egov.usda.gov/home/search?query=Syzygium%20aromaticum | https://plants.sc.egov.usda.gov/home/search?query=catnip | https://pubchem.ncbi.nlm.nih.gov/#query=beta-caryophyllene</t>
        </is>
      </c>
      <c r="N74" s="181" t="inlineStr">
        <is>
          <t>inferred_plus_trusted_gov; trusted_gov_added</t>
        </is>
      </c>
      <c r="O74" s="181" t="inlineStr">
        <is>
          <t>PubChem compound page (NIH); USDA Plants database; scientific name; PubChem compound page (NIH); USDA Plants database</t>
        </is>
      </c>
      <c r="P74" s="181" t="str"/>
      <c r="Q74" s="181" t="inlineStr">
        <is>
          <t>copaifera-officinalis; nepeta-cataria; syzygium-aromaticum</t>
        </is>
      </c>
      <c r="R74" s="181" t="n">
        <v>3</v>
      </c>
      <c r="S74" s="181" t="inlineStr">
        <is>
          <t>Yes</t>
        </is>
      </c>
      <c r="T74" s="181" t="inlineStr">
        <is>
          <t>Integrated from cleaned high-signal dataset</t>
        </is>
      </c>
    </row>
    <row r="75">
      <c r="A75" s="181" t="inlineStr">
        <is>
          <t>beta-lapachone</t>
        </is>
      </c>
      <c r="B75" s="181" t="inlineStr">
        <is>
          <t>beta-lapachone</t>
        </is>
      </c>
      <c r="C75" s="181" t="str"/>
      <c r="D75" s="181" t="inlineStr">
        <is>
          <t>other</t>
        </is>
      </c>
      <c r="E75" s="181" t="inlineStr">
        <is>
          <t>insufficient evidence</t>
        </is>
      </c>
      <c r="F75" s="181" t="inlineStr">
        <is>
          <t>multi-target signaling modulation</t>
        </is>
      </c>
      <c r="G75" s="181" t="inlineStr">
        <is>
          <t>general or unknown targets</t>
        </is>
      </c>
      <c r="H75" s="181" t="inlineStr">
        <is>
          <t>Absorption and bioavailability vary; some compounds metabolized via cytochrome P450 enzymes.</t>
        </is>
      </c>
      <c r="I75" s="181" t="inlineStr">
        <is>
          <t>low</t>
        </is>
      </c>
      <c r="J75" s="181" t="inlineStr">
        <is>
          <t>no well-documented interactions</t>
        </is>
      </c>
      <c r="K75" s="181" t="str"/>
      <c r="L75" s="181" t="inlineStr">
        <is>
          <t>compound_level</t>
        </is>
      </c>
      <c r="M75" s="181" t="inlineStr">
        <is>
          <t>https://plants.sc.egov.usda.gov/home/search?query=Tabebuia%20impetiginosa | https://pubchem.ncbi.nlm.nih.gov/#query=beta-lapachone</t>
        </is>
      </c>
      <c r="N75" s="181" t="inlineStr">
        <is>
          <t>inferred_plus_trusted_gov</t>
        </is>
      </c>
      <c r="O75" s="181" t="inlineStr">
        <is>
          <t>scientific name; PubChem compound page (NIH); USDA Plants database</t>
        </is>
      </c>
      <c r="P75" s="181" t="str"/>
      <c r="Q75" s="181" t="inlineStr">
        <is>
          <t>tabebuia-impetiginosa</t>
        </is>
      </c>
      <c r="R75" s="181" t="n">
        <v>1</v>
      </c>
      <c r="S75" s="181" t="inlineStr">
        <is>
          <t>Yes</t>
        </is>
      </c>
      <c r="T75" s="181" t="inlineStr">
        <is>
          <t>Integrated from cleaned high-signal dataset</t>
        </is>
      </c>
    </row>
    <row r="76">
      <c r="A76" s="181" t="inlineStr">
        <is>
          <t>beta-thujone</t>
        </is>
      </c>
      <c r="B76" s="181" t="inlineStr">
        <is>
          <t>beta-thujone</t>
        </is>
      </c>
      <c r="C76" s="181" t="str"/>
      <c r="D76" s="181" t="inlineStr">
        <is>
          <t>other</t>
        </is>
      </c>
      <c r="E76" s="181" t="inlineStr">
        <is>
          <t>Thujone is associated with GABA_A receptor antagonism; other constituents contribute bitter, digestive, and broader preclinical bioactivities.</t>
        </is>
      </c>
      <c r="F76" s="181" t="inlineStr">
        <is>
          <t>GABAergic modulation</t>
        </is>
      </c>
      <c r="G76" s="181" t="inlineStr">
        <is>
          <t>gabaergic_modulation</t>
        </is>
      </c>
      <c r="H76" s="181" t="inlineStr">
        <is>
          <t>moderate absorption; hepatic metabolism</t>
        </is>
      </c>
      <c r="I76" s="181" t="inlineStr">
        <is>
          <t>low</t>
        </is>
      </c>
      <c r="J76" s="181" t="inlineStr">
        <is>
          <t>no well-documented interactions</t>
        </is>
      </c>
      <c r="K76" s="181" t="str"/>
      <c r="L76" s="181" t="inlineStr">
        <is>
          <t>compound_level</t>
        </is>
      </c>
      <c r="M76" s="181" t="inlineStr">
        <is>
          <t>https://plants.sc.egov.usda.gov/home/search?query=artemisia%20absinthium | https://pubchem.ncbi.nlm.nih.gov/#query=beta-thujone</t>
        </is>
      </c>
      <c r="N76" s="181" t="inlineStr">
        <is>
          <t>trusted_gov_added</t>
        </is>
      </c>
      <c r="O76" s="181" t="inlineStr">
        <is>
          <t>PubChem compound page (NIH); USDA Plants database</t>
        </is>
      </c>
      <c r="P76" s="181" t="str"/>
      <c r="Q76" s="181" t="inlineStr">
        <is>
          <t>artemisia-absinthium</t>
        </is>
      </c>
      <c r="R76" s="181" t="n">
        <v>1</v>
      </c>
      <c r="S76" s="181" t="inlineStr">
        <is>
          <t>Yes</t>
        </is>
      </c>
      <c r="T76" s="181" t="inlineStr">
        <is>
          <t>Integrated from cleaned high-signal dataset</t>
        </is>
      </c>
    </row>
    <row r="77">
      <c r="A77" s="181" t="inlineStr">
        <is>
          <t>betulinic acid</t>
        </is>
      </c>
      <c r="B77" s="181" t="inlineStr">
        <is>
          <t>betulinic acid</t>
        </is>
      </c>
      <c r="C77" s="181" t="str"/>
      <c r="D77" s="181" t="inlineStr">
        <is>
          <t>polysaccharides</t>
        </is>
      </c>
      <c r="E77" s="181" t="inlineStr">
        <is>
          <t>insufficient evidence</t>
        </is>
      </c>
      <c r="F77" s="181" t="inlineStr">
        <is>
          <t>multi-target signaling modulation</t>
        </is>
      </c>
      <c r="G77" s="181" t="inlineStr">
        <is>
          <t>general or unknown targets</t>
        </is>
      </c>
      <c r="H77" s="181" t="inlineStr">
        <is>
          <t>Absorption and bioavailability vary; some compounds metabolized via cytochrome P450 enzymes.</t>
        </is>
      </c>
      <c r="I77" s="181" t="inlineStr">
        <is>
          <t>low</t>
        </is>
      </c>
      <c r="J77" s="181" t="inlineStr">
        <is>
          <t>no well-documented interactions</t>
        </is>
      </c>
      <c r="K77" s="181" t="str"/>
      <c r="L77" s="181" t="inlineStr">
        <is>
          <t>compound_level</t>
        </is>
      </c>
      <c r="M77" s="181" t="inlineStr">
        <is>
          <t>https://plants.sc.egov.usda.gov/home/search?query=Inonotus%20obliquus | https://pubchem.ncbi.nlm.nih.gov/#query=betulinic%20acid</t>
        </is>
      </c>
      <c r="N77" s="181" t="inlineStr">
        <is>
          <t>inferred_plus_trusted_gov</t>
        </is>
      </c>
      <c r="O77" s="181" t="inlineStr">
        <is>
          <t>scientific name; PubChem compound page (NIH); USDA Plants database</t>
        </is>
      </c>
      <c r="P77" s="181" t="str"/>
      <c r="Q77" s="181" t="inlineStr">
        <is>
          <t>inonotus-obliquus</t>
        </is>
      </c>
      <c r="R77" s="181" t="n">
        <v>1</v>
      </c>
      <c r="S77" s="181" t="inlineStr">
        <is>
          <t>Yes</t>
        </is>
      </c>
      <c r="T77" s="181" t="inlineStr">
        <is>
          <t>Integrated from cleaned high-signal dataset</t>
        </is>
      </c>
    </row>
    <row r="78">
      <c r="A78" s="181" t="inlineStr">
        <is>
          <t>bilobalide</t>
        </is>
      </c>
      <c r="B78" s="181" t="inlineStr">
        <is>
          <t>bilobalide</t>
        </is>
      </c>
      <c r="C78" s="181" t="str"/>
      <c r="D78" s="181" t="inlineStr">
        <is>
          <t>flavonol glycosides</t>
        </is>
      </c>
      <c r="E78" s="181" t="inlineStr">
        <is>
          <t>Ginkgolides antagonize platelet-activating factor (PAF) receptors; bilobalide modulates GABAergic and glutamatergic transmission.</t>
        </is>
      </c>
      <c r="F78" s="181" t="inlineStr">
        <is>
          <t>GABAergic modulation</t>
        </is>
      </c>
      <c r="G78" s="181" t="inlineStr">
        <is>
          <t>gabaergic_modulation</t>
        </is>
      </c>
      <c r="H78" s="181" t="inlineStr">
        <is>
          <t>moderate absorption; hepatic metabolism</t>
        </is>
      </c>
      <c r="I78" s="181" t="inlineStr">
        <is>
          <t>low</t>
        </is>
      </c>
      <c r="J78" s="181" t="inlineStr">
        <is>
          <t>no well-documented interactions</t>
        </is>
      </c>
      <c r="K78" s="181" t="str"/>
      <c r="L78" s="181" t="inlineStr">
        <is>
          <t>compound_level</t>
        </is>
      </c>
      <c r="M78" s="181" t="inlineStr">
        <is>
          <t>https://plants.sc.egov.usda.gov/home/search?query=ginkgo%20biloba | https://pubchem.ncbi.nlm.nih.gov/#query=bilobalide</t>
        </is>
      </c>
      <c r="N78" s="181" t="inlineStr">
        <is>
          <t>trusted_gov_added</t>
        </is>
      </c>
      <c r="O78" s="181" t="inlineStr">
        <is>
          <t>PubChem compound page (NIH); USDA Plants database</t>
        </is>
      </c>
      <c r="P78" s="181" t="str"/>
      <c r="Q78" s="181" t="inlineStr">
        <is>
          <t>ginkgo-biloba</t>
        </is>
      </c>
      <c r="R78" s="181" t="n">
        <v>1</v>
      </c>
      <c r="S78" s="181" t="inlineStr">
        <is>
          <t>Yes</t>
        </is>
      </c>
      <c r="T78" s="181" t="inlineStr">
        <is>
          <t>Integrated from cleaned high-signal dataset</t>
        </is>
      </c>
    </row>
    <row r="79">
      <c r="A79" s="181" t="inlineStr">
        <is>
          <t>bisabolol</t>
        </is>
      </c>
      <c r="B79" s="181" t="inlineStr">
        <is>
          <t>bisabolol</t>
        </is>
      </c>
      <c r="C79" s="181" t="str"/>
      <c r="D79" s="181" t="inlineStr">
        <is>
          <t>other</t>
        </is>
      </c>
      <c r="E79" s="181" t="inlineStr">
        <is>
          <t>insufficient evidence</t>
        </is>
      </c>
      <c r="F79" s="181" t="inlineStr">
        <is>
          <t>multi-target signaling modulation</t>
        </is>
      </c>
      <c r="G79" s="181" t="inlineStr">
        <is>
          <t>general or unknown targets</t>
        </is>
      </c>
      <c r="H79" s="181" t="inlineStr">
        <is>
          <t>Oral/topical; antispasmodic and sedative</t>
        </is>
      </c>
      <c r="I79" s="181" t="inlineStr">
        <is>
          <t>low</t>
        </is>
      </c>
      <c r="J79" s="181" t="inlineStr">
        <is>
          <t>no well-documented interactions</t>
        </is>
      </c>
      <c r="K79" s="181" t="str"/>
      <c r="L79" s="181" t="inlineStr">
        <is>
          <t>compound_level</t>
        </is>
      </c>
      <c r="M79" s="181" t="inlineStr">
        <is>
          <t>https://plants.sc.egov.usda.gov/home/search?query=Matricaria%20chamomilla | https://pubchem.ncbi.nlm.nih.gov/#query=bisabolol</t>
        </is>
      </c>
      <c r="N79" s="181" t="inlineStr">
        <is>
          <t>inferred_plus_trusted_gov</t>
        </is>
      </c>
      <c r="O79" s="181" t="inlineStr">
        <is>
          <t>scientific name; PubChem compound page (NIH); USDA Plants database</t>
        </is>
      </c>
      <c r="P79" s="181" t="str"/>
      <c r="Q79" s="181" t="inlineStr">
        <is>
          <t>matricaria-chamomilla</t>
        </is>
      </c>
      <c r="R79" s="181" t="n">
        <v>1</v>
      </c>
      <c r="S79" s="181" t="inlineStr">
        <is>
          <t>Yes</t>
        </is>
      </c>
      <c r="T79" s="181" t="inlineStr">
        <is>
          <t>Integrated from cleaned high-signal dataset</t>
        </is>
      </c>
    </row>
    <row r="80">
      <c r="A80" s="181" t="inlineStr">
        <is>
          <t>bonducin</t>
        </is>
      </c>
      <c r="B80" s="181" t="inlineStr">
        <is>
          <t>bonducin</t>
        </is>
      </c>
      <c r="C80" s="181" t="str"/>
      <c r="D80" s="181" t="inlineStr">
        <is>
          <t>Bonducin, saponins, diterpenes</t>
        </is>
      </c>
      <c r="E80" s="181" t="inlineStr">
        <is>
          <t>insufficient evidence</t>
        </is>
      </c>
      <c r="F80" s="181" t="inlineStr">
        <is>
          <t>multi-target signaling modulation</t>
        </is>
      </c>
      <c r="G80" s="181" t="inlineStr">
        <is>
          <t>general or unknown targets</t>
        </is>
      </c>
      <c r="H80" s="181" t="inlineStr">
        <is>
          <t>Oral; febrifuge and hepatoprotective</t>
        </is>
      </c>
      <c r="I80" s="181" t="inlineStr">
        <is>
          <t>low</t>
        </is>
      </c>
      <c r="J80" s="181" t="inlineStr">
        <is>
          <t>no well-documented interactions</t>
        </is>
      </c>
      <c r="K80" s="181" t="str"/>
      <c r="L80" s="181" t="inlineStr">
        <is>
          <t>compound_level</t>
        </is>
      </c>
      <c r="M80" s="181" t="inlineStr">
        <is>
          <t>https://plants.sc.egov.usda.gov/home/search?query=Caesalpinia%20bonduc | https://pubchem.ncbi.nlm.nih.gov/#query=bonducin</t>
        </is>
      </c>
      <c r="N80" s="181" t="inlineStr">
        <is>
          <t>inferred_plus_trusted_gov</t>
        </is>
      </c>
      <c r="O80" s="181" t="inlineStr">
        <is>
          <t>scientific name; PubChem compound page (NIH); USDA Plants database</t>
        </is>
      </c>
      <c r="P80" s="181" t="str"/>
      <c r="Q80" s="181" t="inlineStr">
        <is>
          <t>caesalpinia-bonduc</t>
        </is>
      </c>
      <c r="R80" s="181" t="n">
        <v>1</v>
      </c>
      <c r="S80" s="181" t="inlineStr">
        <is>
          <t>Yes</t>
        </is>
      </c>
      <c r="T80" s="181" t="inlineStr">
        <is>
          <t>Integrated from cleaned high-signal dataset</t>
        </is>
      </c>
    </row>
    <row r="81">
      <c r="A81" s="181" t="inlineStr">
        <is>
          <t>brunfelsamidine</t>
        </is>
      </c>
      <c r="B81" s="181" t="inlineStr">
        <is>
          <t>brunfelsamidine</t>
        </is>
      </c>
      <c r="C81" s="181" t="str"/>
      <c r="D81" s="181" t="inlineStr">
        <is>
          <t>alkaloids</t>
        </is>
      </c>
      <c r="E81" s="181" t="inlineStr">
        <is>
          <t>insufficient evidence</t>
        </is>
      </c>
      <c r="F81" s="181" t="inlineStr">
        <is>
          <t>multi-target signaling modulation</t>
        </is>
      </c>
      <c r="G81" s="181" t="inlineStr">
        <is>
          <t>general or unknown targets</t>
        </is>
      </c>
      <c r="H81" s="181" t="inlineStr">
        <is>
          <t>Absorption and bioavailability vary; some compounds metabolized via cytochrome P450 enzymes.</t>
        </is>
      </c>
      <c r="I81" s="181" t="inlineStr">
        <is>
          <t>low</t>
        </is>
      </c>
      <c r="J81" s="181" t="inlineStr">
        <is>
          <t>no well-documented interactions</t>
        </is>
      </c>
      <c r="K81" s="181" t="str"/>
      <c r="L81" s="181" t="inlineStr">
        <is>
          <t>compound_level</t>
        </is>
      </c>
      <c r="M81" s="181" t="inlineStr">
        <is>
          <t>https://plants.sc.egov.usda.gov/home/search?query=Brunfelsia%20americana | https://pubchem.ncbi.nlm.nih.gov/#query=brunfelsamidine</t>
        </is>
      </c>
      <c r="N81" s="181" t="inlineStr">
        <is>
          <t>inferred_plus_trusted_gov</t>
        </is>
      </c>
      <c r="O81" s="181" t="inlineStr">
        <is>
          <t>scientific name; PubChem compound page (NIH); USDA Plants database</t>
        </is>
      </c>
      <c r="P81" s="181" t="str"/>
      <c r="Q81" s="181" t="inlineStr">
        <is>
          <t>brunfelsia-americana</t>
        </is>
      </c>
      <c r="R81" s="181" t="n">
        <v>1</v>
      </c>
      <c r="S81" s="181" t="inlineStr">
        <is>
          <t>Yes</t>
        </is>
      </c>
      <c r="T81" s="181" t="inlineStr">
        <is>
          <t>Integrated from cleaned high-signal dataset</t>
        </is>
      </c>
    </row>
    <row r="82">
      <c r="A82" s="181" t="inlineStr">
        <is>
          <t>bryonin</t>
        </is>
      </c>
      <c r="B82" s="181" t="inlineStr">
        <is>
          <t>bryonin</t>
        </is>
      </c>
      <c r="C82" s="181" t="str"/>
      <c r="D82" s="181" t="inlineStr">
        <is>
          <t>other</t>
        </is>
      </c>
      <c r="E82" s="181" t="inlineStr">
        <is>
          <t>insufficient evidence</t>
        </is>
      </c>
      <c r="F82" s="181" t="inlineStr">
        <is>
          <t>multi-target signaling modulation</t>
        </is>
      </c>
      <c r="G82" s="181" t="inlineStr">
        <is>
          <t>general or unknown targets</t>
        </is>
      </c>
      <c r="H82" s="181" t="inlineStr">
        <is>
          <t>Topical/homeopathic; anti-inflammatory (low dose)</t>
        </is>
      </c>
      <c r="I82" s="181" t="inlineStr">
        <is>
          <t>low</t>
        </is>
      </c>
      <c r="J82" s="181" t="inlineStr">
        <is>
          <t>no well-documented interactions</t>
        </is>
      </c>
      <c r="K82" s="181" t="str"/>
      <c r="L82" s="181" t="inlineStr">
        <is>
          <t>compound_level</t>
        </is>
      </c>
      <c r="M82" s="181" t="inlineStr">
        <is>
          <t>https://plants.sc.egov.usda.gov/home/search?query=Bryonia%20alba | https://pubchem.ncbi.nlm.nih.gov/#query=bryonin</t>
        </is>
      </c>
      <c r="N82" s="181" t="inlineStr">
        <is>
          <t>inferred_plus_trusted_gov</t>
        </is>
      </c>
      <c r="O82" s="181" t="inlineStr">
        <is>
          <t>scientific name; PubChem compound page (NIH); USDA Plants database</t>
        </is>
      </c>
      <c r="P82" s="181" t="str"/>
      <c r="Q82" s="181" t="inlineStr">
        <is>
          <t>bryonia-alba</t>
        </is>
      </c>
      <c r="R82" s="181" t="n">
        <v>1</v>
      </c>
      <c r="S82" s="181" t="inlineStr">
        <is>
          <t>Yes</t>
        </is>
      </c>
      <c r="T82" s="181" t="inlineStr">
        <is>
          <t>Integrated from cleaned high-signal dataset</t>
        </is>
      </c>
    </row>
    <row r="83">
      <c r="A83" s="181" t="inlineStr">
        <is>
          <t>bufotenin</t>
        </is>
      </c>
      <c r="B83" s="181" t="inlineStr">
        <is>
          <t>bufotenin</t>
        </is>
      </c>
      <c r="C83" s="181" t="str"/>
      <c r="D83" s="181" t="inlineStr">
        <is>
          <t>other</t>
        </is>
      </c>
      <c r="E83" s="181" t="inlineStr">
        <is>
          <t>Tryptamines act on serotonergic receptors, especially 5-HT2A, producing psychedelic effects.</t>
        </is>
      </c>
      <c r="F83" s="181" t="inlineStr">
        <is>
          <t>serotonin receptor interaction</t>
        </is>
      </c>
      <c r="G83" s="181" t="inlineStr">
        <is>
          <t>serotonergic_5HT2A_agonism</t>
        </is>
      </c>
      <c r="H83" s="181" t="inlineStr">
        <is>
          <t>rapid absorption; CNS penetration; hepatic metabolism</t>
        </is>
      </c>
      <c r="I83" s="181" t="inlineStr">
        <is>
          <t>low</t>
        </is>
      </c>
      <c r="J83" s="181" t="inlineStr">
        <is>
          <t>no well-documented interactions</t>
        </is>
      </c>
      <c r="K83" s="181" t="str"/>
      <c r="L83" s="181" t="inlineStr">
        <is>
          <t>compound_level</t>
        </is>
      </c>
      <c r="M83" s="181" t="inlineStr">
        <is>
          <t>https://plants.sc.egov.usda.gov/home/search?query=Anadenanthera%20Colubrina | https://plants.sc.egov.usda.gov/home/search?query=Piptadenia%20peregrina | https://plants.sc.egov.usda.gov/home/search?query=anadenanthera%20colubrina | https://plants.sc.egov.usda.gov/home/search?query=anadenanthera%20peregrina | https://pubchem.ncbi.nlm.nih.gov/#query=bufotenin</t>
        </is>
      </c>
      <c r="N83" s="181" t="inlineStr">
        <is>
          <t>inferred_plus_trusted_gov; trusted_gov_added</t>
        </is>
      </c>
      <c r="O83" s="181" t="inlineStr">
        <is>
          <t>PubChem compound page (NIH); USDA Plants database; scientific name; PubChem compound page (NIH); USDA Plants database</t>
        </is>
      </c>
      <c r="P83" s="181" t="str"/>
      <c r="Q83" s="181" t="inlineStr">
        <is>
          <t>anadenanthera-colubrina; anadenanthera-colubrina-ceb-l; anadenanthera-peregrina; piptadenia-peregrina</t>
        </is>
      </c>
      <c r="R83" s="181" t="n">
        <v>4</v>
      </c>
      <c r="S83" s="181" t="inlineStr">
        <is>
          <t>Yes</t>
        </is>
      </c>
      <c r="T83" s="181" t="inlineStr">
        <is>
          <t>Integrated from cleaned high-signal dataset</t>
        </is>
      </c>
    </row>
    <row r="84">
      <c r="A84" s="181" t="inlineStr">
        <is>
          <t>bulbocapnine</t>
        </is>
      </c>
      <c r="B84" s="181" t="inlineStr">
        <is>
          <t>bulbocapnine</t>
        </is>
      </c>
      <c r="C84" s="181" t="str"/>
      <c r="D84" s="181" t="inlineStr">
        <is>
          <t>other</t>
        </is>
      </c>
      <c r="E84" s="181" t="inlineStr">
        <is>
          <t>insufficient evidence</t>
        </is>
      </c>
      <c r="F84" s="181" t="inlineStr">
        <is>
          <t>multi-target signaling modulation</t>
        </is>
      </c>
      <c r="G84" s="181" t="inlineStr">
        <is>
          <t>general or unknown targets</t>
        </is>
      </c>
      <c r="H84" s="181" t="inlineStr">
        <is>
          <t>Absorption and bioavailability vary; some compounds metabolized via cytochrome P450 enzymes.</t>
        </is>
      </c>
      <c r="I84" s="181" t="inlineStr">
        <is>
          <t>low</t>
        </is>
      </c>
      <c r="J84" s="181" t="inlineStr">
        <is>
          <t>no well-documented interactions</t>
        </is>
      </c>
      <c r="K84" s="181" t="str"/>
      <c r="L84" s="181" t="inlineStr">
        <is>
          <t>compound_level</t>
        </is>
      </c>
      <c r="M84" s="181" t="inlineStr">
        <is>
          <t>https://plants.sc.egov.usda.gov/home/search?query=Corydalis%20cava | https://pubchem.ncbi.nlm.nih.gov/#query=bulbocapnine</t>
        </is>
      </c>
      <c r="N84" s="181" t="inlineStr">
        <is>
          <t>inferred_plus_trusted_gov</t>
        </is>
      </c>
      <c r="O84" s="181" t="inlineStr">
        <is>
          <t>scientific name; PubChem compound page (NIH); USDA Plants database</t>
        </is>
      </c>
      <c r="P84" s="181" t="str"/>
      <c r="Q84" s="181" t="inlineStr">
        <is>
          <t>corydalis-cava</t>
        </is>
      </c>
      <c r="R84" s="181" t="n">
        <v>1</v>
      </c>
      <c r="S84" s="181" t="inlineStr">
        <is>
          <t>Yes</t>
        </is>
      </c>
      <c r="T84" s="181" t="inlineStr">
        <is>
          <t>Integrated from cleaned high-signal dataset</t>
        </is>
      </c>
    </row>
    <row r="85">
      <c r="A85" s="181" t="inlineStr">
        <is>
          <t>buphanidrine</t>
        </is>
      </c>
      <c r="B85" s="181" t="inlineStr">
        <is>
          <t>buphanidrine</t>
        </is>
      </c>
      <c r="C85" s="181" t="str"/>
      <c r="D85" s="181" t="inlineStr">
        <is>
          <t>alkaloids</t>
        </is>
      </c>
      <c r="E85" s="181" t="inlineStr">
        <is>
          <t>insufficient evidence</t>
        </is>
      </c>
      <c r="F85" s="181" t="inlineStr">
        <is>
          <t>multi-target signaling modulation</t>
        </is>
      </c>
      <c r="G85" s="181" t="inlineStr">
        <is>
          <t>general or unknown targets</t>
        </is>
      </c>
      <c r="H85" s="181" t="inlineStr">
        <is>
          <t>Absorption and bioavailability vary; some compounds metabolized via cytochrome P450 enzymes.</t>
        </is>
      </c>
      <c r="I85" s="181" t="inlineStr">
        <is>
          <t>low</t>
        </is>
      </c>
      <c r="J85" s="181" t="inlineStr">
        <is>
          <t>no well-documented interactions</t>
        </is>
      </c>
      <c r="K85" s="181" t="str"/>
      <c r="L85" s="181" t="inlineStr">
        <is>
          <t>compound_level</t>
        </is>
      </c>
      <c r="M85" s="181" t="inlineStr">
        <is>
          <t>https://plants.sc.egov.usda.gov/home/search?query=Boophone%20disticha | https://pubchem.ncbi.nlm.nih.gov/#query=buphanidrine</t>
        </is>
      </c>
      <c r="N85" s="181" t="inlineStr">
        <is>
          <t>inferred_plus_trusted_gov</t>
        </is>
      </c>
      <c r="O85" s="181" t="inlineStr">
        <is>
          <t>scientific name; PubChem compound page (NIH); USDA Plants database</t>
        </is>
      </c>
      <c r="P85" s="181" t="str"/>
      <c r="Q85" s="181" t="inlineStr">
        <is>
          <t>boophone-disticha</t>
        </is>
      </c>
      <c r="R85" s="181" t="n">
        <v>1</v>
      </c>
      <c r="S85" s="181" t="inlineStr">
        <is>
          <t>Yes</t>
        </is>
      </c>
      <c r="T85" s="181" t="inlineStr">
        <is>
          <t>Integrated from cleaned high-signal dataset</t>
        </is>
      </c>
    </row>
    <row r="86">
      <c r="A86" s="181" t="inlineStr">
        <is>
          <t>cafestol</t>
        </is>
      </c>
      <c r="B86" s="181" t="inlineStr">
        <is>
          <t>cafestol</t>
        </is>
      </c>
      <c r="C86" s="181" t="str"/>
      <c r="D86" s="181" t="inlineStr">
        <is>
          <t>other</t>
        </is>
      </c>
      <c r="E86" s="181" t="inlineStr">
        <is>
          <t>Coffee's stimulant effects are driven primarily by caffeine, which acts as a nonselective adenosine receptor antagonist; chlorogenic acids and diterpenes contribute additional antioxidant and metabolic effects.</t>
        </is>
      </c>
      <c r="F86" s="181" t="inlineStr">
        <is>
          <t>adenosine receptor antagonism</t>
        </is>
      </c>
      <c r="G86" s="181" t="inlineStr">
        <is>
          <t>adenosine_antagonism</t>
        </is>
      </c>
      <c r="H86" s="181" t="inlineStr">
        <is>
          <t>moderate absorption; hepatic metabolism</t>
        </is>
      </c>
      <c r="I86" s="181" t="inlineStr">
        <is>
          <t>low</t>
        </is>
      </c>
      <c r="J86" s="181" t="inlineStr">
        <is>
          <t>no well-documented interactions</t>
        </is>
      </c>
      <c r="K86" s="181" t="str"/>
      <c r="L86" s="181" t="inlineStr">
        <is>
          <t>compound_level</t>
        </is>
      </c>
      <c r="M86" s="181" t="inlineStr">
        <is>
          <t>https://plants.sc.egov.usda.gov/home/search?query=coffee | https://pubchem.ncbi.nlm.nih.gov/#query=cafestol</t>
        </is>
      </c>
      <c r="N86" s="181" t="inlineStr">
        <is>
          <t>trusted_gov_added</t>
        </is>
      </c>
      <c r="O86" s="181" t="inlineStr">
        <is>
          <t>PubChem compound page (NIH); USDA Plants database</t>
        </is>
      </c>
      <c r="P86" s="181" t="str"/>
      <c r="Q86" s="181" t="inlineStr">
        <is>
          <t>coffee</t>
        </is>
      </c>
      <c r="R86" s="181" t="n">
        <v>1</v>
      </c>
      <c r="S86" s="181" t="inlineStr">
        <is>
          <t>Yes</t>
        </is>
      </c>
      <c r="T86" s="181" t="inlineStr">
        <is>
          <t>Integrated from cleaned high-signal dataset</t>
        </is>
      </c>
    </row>
    <row r="87">
      <c r="A87" s="181" t="inlineStr">
        <is>
          <t>caffeine</t>
        </is>
      </c>
      <c r="B87" s="181" t="inlineStr">
        <is>
          <t>caffeine</t>
        </is>
      </c>
      <c r="C87" s="181" t="str"/>
      <c r="D87" s="181" t="inlineStr">
        <is>
          <t>xanthine alkaloid</t>
        </is>
      </c>
      <c r="E87" s="181" t="inlineStr">
        <is>
          <t>Coffee's stimulant effects are driven primarily by caffeine, which acts as a nonselective adenosine receptor antagonist; chlorogenic acids and diterpenes contribute additional antioxidant and metabolic effects.</t>
        </is>
      </c>
      <c r="F87" s="181" t="inlineStr">
        <is>
          <t>adenosine receptor antagonism</t>
        </is>
      </c>
      <c r="G87" s="181" t="inlineStr">
        <is>
          <t>ADORA1, ADORA2A (adenosine receptors); adenosine_antagonism; dopaminergic_modulation</t>
        </is>
      </c>
      <c r="H87" s="181" t="inlineStr">
        <is>
          <t>well absorbed orally; hepatic metabolism (CYP1A2); renal excretion</t>
        </is>
      </c>
      <c r="I87" s="181" t="inlineStr">
        <is>
          <t>moderate</t>
        </is>
      </c>
      <c r="J87" s="181" t="inlineStr">
        <is>
          <t>may interact with stimulants; caution with cardiovascular conditions</t>
        </is>
      </c>
      <c r="K87" s="181" t="str"/>
      <c r="L87" s="181" t="inlineStr">
        <is>
          <t>compound_level</t>
        </is>
      </c>
      <c r="M87" s="181" t="inlineStr">
        <is>
          <t>https://plants.sc.egov.usda.gov/home/search?query=Coffea%20arabica | https://plants.sc.egov.usda.gov/home/search?query=Ilex%20guayusa | https://plants.sc.egov.usda.gov/home/search?query=Ilex%20paraguariensis | https://plants.sc.egov.usda.gov/home/search?query=Paullinia%20cupana | https://plants.sc.egov.usda.gov/home/search?query=Paullinia%20pinnata | https://plants.sc.egov.usda.gov/home/search?query=Theobroma%20bicolor | https://plants.sc.egov.usda.gov/home/search?query=Theobroma%20cacao | https://plants.sc.egov.usda.gov/home/search?query=camellia%20sinensis | https://plants.sc.egov.usda.gov/home/search?query=coffee | https://plants.sc.egov.usda.gov/home/search?query=guarana | https://plants.sc.egov.usda.gov/home/search?query=yerba%20mate | https://pubchem.ncbi.nlm.nih.gov/#query=caffeine</t>
        </is>
      </c>
      <c r="N87" s="181" t="inlineStr">
        <is>
          <t>inferred_plus_trusted_gov; trusted_gov_added</t>
        </is>
      </c>
      <c r="O87" s="181" t="inlineStr">
        <is>
          <t>PubChem compound page (NIH); USDA Plants database; scientific name; PubChem compound page (NIH); USDA Plants database</t>
        </is>
      </c>
      <c r="P87" s="181" t="str"/>
      <c r="Q87" s="181" t="inlineStr">
        <is>
          <t>camellia-sinensis; coffea-arabica; coffee; guarana; ilex-guayusa; ilex-paraguariensis; paullinia-cupana; paullinia-pinnata; theobroma-bicolor; theobroma-cacao</t>
        </is>
      </c>
      <c r="R87" s="181" t="n">
        <v>10</v>
      </c>
      <c r="S87" s="181" t="inlineStr">
        <is>
          <t>Yes</t>
        </is>
      </c>
      <c r="T87" s="181" t="inlineStr">
        <is>
          <t>Integrated from cleaned high-signal dataset</t>
        </is>
      </c>
    </row>
    <row r="88">
      <c r="A88" s="181" t="inlineStr">
        <is>
          <t>calotropin</t>
        </is>
      </c>
      <c r="B88" s="181" t="inlineStr">
        <is>
          <t>calotropin</t>
        </is>
      </c>
      <c r="C88" s="181" t="str"/>
      <c r="D88" s="181" t="inlineStr">
        <is>
          <t>cardiac glycosides</t>
        </is>
      </c>
      <c r="E88" s="181" t="inlineStr">
        <is>
          <t>insufficient evidence</t>
        </is>
      </c>
      <c r="F88" s="181" t="inlineStr">
        <is>
          <t>multi-target signaling modulation</t>
        </is>
      </c>
      <c r="G88" s="181" t="inlineStr">
        <is>
          <t>general or unknown targets</t>
        </is>
      </c>
      <c r="H88" s="181" t="inlineStr">
        <is>
          <t>Absorption and bioavailability vary; some compounds metabolized via cytochrome P450 enzymes.</t>
        </is>
      </c>
      <c r="I88" s="181" t="inlineStr">
        <is>
          <t>low</t>
        </is>
      </c>
      <c r="J88" s="181" t="inlineStr">
        <is>
          <t>no well-documented interactions</t>
        </is>
      </c>
      <c r="K88" s="181" t="str"/>
      <c r="L88" s="181" t="inlineStr">
        <is>
          <t>compound_level</t>
        </is>
      </c>
      <c r="M88" s="181" t="inlineStr">
        <is>
          <t>https://plants.sc.egov.usda.gov/home/search?query=Calotropis%20procera | https://pubchem.ncbi.nlm.nih.gov/#query=calotropin</t>
        </is>
      </c>
      <c r="N88" s="181" t="inlineStr">
        <is>
          <t>inferred_plus_trusted_gov</t>
        </is>
      </c>
      <c r="O88" s="181" t="inlineStr">
        <is>
          <t>scientific name; PubChem compound page (NIH); USDA Plants database</t>
        </is>
      </c>
      <c r="P88" s="181" t="str"/>
      <c r="Q88" s="181" t="inlineStr">
        <is>
          <t>calotropis-procera</t>
        </is>
      </c>
      <c r="R88" s="181" t="n">
        <v>1</v>
      </c>
      <c r="S88" s="181" t="inlineStr">
        <is>
          <t>Yes</t>
        </is>
      </c>
      <c r="T88" s="181" t="inlineStr">
        <is>
          <t>Integrated from cleaned high-signal dataset</t>
        </is>
      </c>
    </row>
    <row r="89">
      <c r="A89" s="181" t="inlineStr">
        <is>
          <t>camphor</t>
        </is>
      </c>
      <c r="B89" s="181" t="inlineStr">
        <is>
          <t>camphor</t>
        </is>
      </c>
      <c r="C89" s="181" t="str"/>
      <c r="D89" s="181" t="inlineStr">
        <is>
          <t>other</t>
        </is>
      </c>
      <c r="E89" s="181" t="inlineStr">
        <is>
          <t>insufficient evidence</t>
        </is>
      </c>
      <c r="F89" s="181" t="inlineStr">
        <is>
          <t>multi-target signaling modulation</t>
        </is>
      </c>
      <c r="G89" s="181" t="inlineStr">
        <is>
          <t>general or unknown targets</t>
        </is>
      </c>
      <c r="H89" s="181" t="inlineStr">
        <is>
          <t>Absorption and bioavailability vary; some compounds metabolized via cytochrome P450 enzymes.</t>
        </is>
      </c>
      <c r="I89" s="181" t="inlineStr">
        <is>
          <t>low</t>
        </is>
      </c>
      <c r="J89" s="181" t="inlineStr">
        <is>
          <t>no well-documented interactions</t>
        </is>
      </c>
      <c r="K89" s="181" t="str"/>
      <c r="L89" s="181" t="inlineStr">
        <is>
          <t>compound_level</t>
        </is>
      </c>
      <c r="M89" s="181" t="inlineStr">
        <is>
          <t>https://plants.sc.egov.usda.gov/home/search?query=Artemisia%20herba-alba | https://plants.sc.egov.usda.gov/home/search?query=Artemisia%20judaica | https://plants.sc.egov.usda.gov/home/search?query=Artemisia%20vulgaris | https://pubchem.ncbi.nlm.nih.gov/#query=camphor</t>
        </is>
      </c>
      <c r="N89" s="181" t="inlineStr">
        <is>
          <t>inferred_plus_trusted_gov</t>
        </is>
      </c>
      <c r="O89" s="181" t="inlineStr">
        <is>
          <t>scientific name; PubChem compound page (NIH); USDA Plants database</t>
        </is>
      </c>
      <c r="P89" s="181" t="str"/>
      <c r="Q89" s="181" t="inlineStr">
        <is>
          <t>artemisia-herba-alba; artemisia-judaica; artemisia-vulgaris</t>
        </is>
      </c>
      <c r="R89" s="181" t="n">
        <v>3</v>
      </c>
      <c r="S89" s="181" t="inlineStr">
        <is>
          <t>Yes</t>
        </is>
      </c>
      <c r="T89" s="181" t="inlineStr">
        <is>
          <t>Integrated from cleaned high-signal dataset</t>
        </is>
      </c>
    </row>
    <row r="90">
      <c r="A90" s="181" t="inlineStr">
        <is>
          <t>cannabidiol</t>
        </is>
      </c>
      <c r="B90" s="181" t="inlineStr">
        <is>
          <t>cannabidiol</t>
        </is>
      </c>
      <c r="C90" s="181" t="str"/>
      <c r="D90" s="181" t="inlineStr">
        <is>
          <t>other</t>
        </is>
      </c>
      <c r="E90" s="181" t="inlineStr">
        <is>
          <t>insufficient evidence</t>
        </is>
      </c>
      <c r="F90" s="181" t="inlineStr">
        <is>
          <t>multi-target signaling modulation</t>
        </is>
      </c>
      <c r="G90" s="181" t="inlineStr">
        <is>
          <t>endocannabinoid_modulation</t>
        </is>
      </c>
      <c r="H90" s="181" t="inlineStr">
        <is>
          <t>moderate absorption; hepatic metabolism</t>
        </is>
      </c>
      <c r="I90" s="181" t="inlineStr">
        <is>
          <t>low</t>
        </is>
      </c>
      <c r="J90" s="181" t="inlineStr">
        <is>
          <t>no well-documented interactions</t>
        </is>
      </c>
      <c r="K90" s="181" t="str"/>
      <c r="L90" s="181" t="inlineStr">
        <is>
          <t>compound_level</t>
        </is>
      </c>
      <c r="M90" s="181" t="inlineStr">
        <is>
          <t>https://plants.sc.egov.usda.gov/home/search?query=cbd | https://pubchem.ncbi.nlm.nih.gov/#query=cannabidiol</t>
        </is>
      </c>
      <c r="N90" s="181" t="inlineStr">
        <is>
          <t>trusted_gov_added</t>
        </is>
      </c>
      <c r="O90" s="181" t="inlineStr">
        <is>
          <t>PubChem compound page (NIH); USDA Plants database</t>
        </is>
      </c>
      <c r="P90" s="181" t="str"/>
      <c r="Q90" s="181" t="inlineStr">
        <is>
          <t>cbd</t>
        </is>
      </c>
      <c r="R90" s="181" t="n">
        <v>1</v>
      </c>
      <c r="S90" s="181" t="inlineStr">
        <is>
          <t>Yes</t>
        </is>
      </c>
      <c r="T90" s="181" t="inlineStr">
        <is>
          <t>Integrated from cleaned high-signal dataset</t>
        </is>
      </c>
    </row>
    <row r="91">
      <c r="A91" s="181" t="inlineStr">
        <is>
          <t>capsaicin</t>
        </is>
      </c>
      <c r="B91" s="181" t="inlineStr">
        <is>
          <t>capsaicin</t>
        </is>
      </c>
      <c r="C91" s="181" t="str"/>
      <c r="D91" s="181" t="inlineStr">
        <is>
          <t>capsaicinoid</t>
        </is>
      </c>
      <c r="E91" s="181" t="inlineStr">
        <is>
          <t>Capsaicinoids, especially capsaicin, act primarily as TRPV1 agonists; downstream effects include sensory neuron activation followed by desensitization and antinociceptive effects.</t>
        </is>
      </c>
      <c r="F91" s="181" t="inlineStr">
        <is>
          <t>multi-target signaling modulation</t>
        </is>
      </c>
      <c r="G91" s="181" t="inlineStr">
        <is>
          <t>TRPV1 activation; general or unknown targets</t>
        </is>
      </c>
      <c r="H91" s="181" t="inlineStr">
        <is>
          <t>moderate absorption; hepatic metabolism</t>
        </is>
      </c>
      <c r="I91" s="181" t="inlineStr">
        <is>
          <t>low</t>
        </is>
      </c>
      <c r="J91" s="181" t="inlineStr">
        <is>
          <t>Other TRPV1 agents (additive effects)</t>
        </is>
      </c>
      <c r="K91" s="181" t="str"/>
      <c r="L91" s="181" t="inlineStr">
        <is>
          <t>Batch8</t>
        </is>
      </c>
      <c r="M91" s="181" t="inlineStr">
        <is>
          <t>https://plants.sc.egov.usda.gov/home/search?query=capsicum%20annuum | https://pubchem.ncbi.nlm.nih.gov/#query=capsaicin</t>
        </is>
      </c>
      <c r="N91" s="181" t="inlineStr">
        <is>
          <t>trusted_gov_added</t>
        </is>
      </c>
      <c r="O91" s="181" t="inlineStr">
        <is>
          <t>PubChem compound page (NIH); USDA Plants database</t>
        </is>
      </c>
      <c r="P91" s="181" t="inlineStr">
        <is>
          <t>precision_monographs_batch8.xlsx</t>
        </is>
      </c>
      <c r="Q91" s="181" t="inlineStr">
        <is>
          <t>capsicum-annuum</t>
        </is>
      </c>
      <c r="R91" s="181" t="n">
        <v>1</v>
      </c>
      <c r="S91" s="181" t="inlineStr">
        <is>
          <t>Yes</t>
        </is>
      </c>
      <c r="T91" s="181" t="inlineStr">
        <is>
          <t>Integrated from cleaned high-signal dataset; Integrated from compound monograph workbook</t>
        </is>
      </c>
    </row>
    <row r="92">
      <c r="A92" s="181" t="inlineStr">
        <is>
          <t>capsanthin</t>
        </is>
      </c>
      <c r="B92" s="181" t="inlineStr">
        <is>
          <t>capsanthin</t>
        </is>
      </c>
      <c r="C92" s="181" t="str"/>
      <c r="D92" s="181" t="inlineStr">
        <is>
          <t>other</t>
        </is>
      </c>
      <c r="E92" s="181" t="inlineStr">
        <is>
          <t>Capsaicinoids, especially capsaicin, act primarily as TRPV1 agonists; downstream effects include sensory neuron activation followed by desensitization and antinociceptive effects.</t>
        </is>
      </c>
      <c r="F92" s="181" t="inlineStr">
        <is>
          <t>multi-target signaling modulation</t>
        </is>
      </c>
      <c r="G92" s="181" t="inlineStr">
        <is>
          <t>general or unknown targets</t>
        </is>
      </c>
      <c r="H92" s="181" t="inlineStr">
        <is>
          <t>moderate absorption; hepatic metabolism</t>
        </is>
      </c>
      <c r="I92" s="181" t="inlineStr">
        <is>
          <t>low</t>
        </is>
      </c>
      <c r="J92" s="181" t="inlineStr">
        <is>
          <t>no well-documented interactions</t>
        </is>
      </c>
      <c r="K92" s="181" t="str"/>
      <c r="L92" s="181" t="inlineStr">
        <is>
          <t>compound_level</t>
        </is>
      </c>
      <c r="M92" s="181" t="inlineStr">
        <is>
          <t>https://plants.sc.egov.usda.gov/home/search?query=capsicum%20annuum | https://pubchem.ncbi.nlm.nih.gov/#query=capsanthin</t>
        </is>
      </c>
      <c r="N92" s="181" t="inlineStr">
        <is>
          <t>trusted_gov_added</t>
        </is>
      </c>
      <c r="O92" s="181" t="inlineStr">
        <is>
          <t>PubChem compound page (NIH); USDA Plants database</t>
        </is>
      </c>
      <c r="P92" s="181" t="str"/>
      <c r="Q92" s="181" t="inlineStr">
        <is>
          <t>capsicum-annuum</t>
        </is>
      </c>
      <c r="R92" s="181" t="n">
        <v>1</v>
      </c>
      <c r="S92" s="181" t="inlineStr">
        <is>
          <t>Yes</t>
        </is>
      </c>
      <c r="T92" s="181" t="inlineStr">
        <is>
          <t>Integrated from cleaned high-signal dataset</t>
        </is>
      </c>
    </row>
    <row r="93">
      <c r="A93" s="181" t="inlineStr">
        <is>
          <t>capsorubin</t>
        </is>
      </c>
      <c r="B93" s="181" t="inlineStr">
        <is>
          <t>capsorubin</t>
        </is>
      </c>
      <c r="C93" s="181" t="str"/>
      <c r="D93" s="181" t="inlineStr">
        <is>
          <t>other</t>
        </is>
      </c>
      <c r="E93" s="181" t="inlineStr">
        <is>
          <t>Capsaicinoids, especially capsaicin, act primarily as TRPV1 agonists; downstream effects include sensory neuron activation followed by desensitization and antinociceptive effects.</t>
        </is>
      </c>
      <c r="F93" s="181" t="inlineStr">
        <is>
          <t>multi-target signaling modulation</t>
        </is>
      </c>
      <c r="G93" s="181" t="inlineStr">
        <is>
          <t>general or unknown targets</t>
        </is>
      </c>
      <c r="H93" s="181" t="inlineStr">
        <is>
          <t>moderate absorption; hepatic metabolism</t>
        </is>
      </c>
      <c r="I93" s="181" t="inlineStr">
        <is>
          <t>low</t>
        </is>
      </c>
      <c r="J93" s="181" t="inlineStr">
        <is>
          <t>no well-documented interactions</t>
        </is>
      </c>
      <c r="K93" s="181" t="str"/>
      <c r="L93" s="181" t="inlineStr">
        <is>
          <t>compound_level</t>
        </is>
      </c>
      <c r="M93" s="181" t="inlineStr">
        <is>
          <t>https://plants.sc.egov.usda.gov/home/search?query=capsicum%20annuum | https://pubchem.ncbi.nlm.nih.gov/#query=capsorubin</t>
        </is>
      </c>
      <c r="N93" s="181" t="inlineStr">
        <is>
          <t>trusted_gov_added</t>
        </is>
      </c>
      <c r="O93" s="181" t="inlineStr">
        <is>
          <t>PubChem compound page (NIH); USDA Plants database</t>
        </is>
      </c>
      <c r="P93" s="181" t="str"/>
      <c r="Q93" s="181" t="inlineStr">
        <is>
          <t>capsicum-annuum</t>
        </is>
      </c>
      <c r="R93" s="181" t="n">
        <v>1</v>
      </c>
      <c r="S93" s="181" t="inlineStr">
        <is>
          <t>Yes</t>
        </is>
      </c>
      <c r="T93" s="181" t="inlineStr">
        <is>
          <t>Integrated from cleaned high-signal dataset</t>
        </is>
      </c>
    </row>
    <row r="94">
      <c r="A94" s="181" t="inlineStr">
        <is>
          <t>cardanol</t>
        </is>
      </c>
      <c r="B94" s="181" t="inlineStr">
        <is>
          <t>cardanol</t>
        </is>
      </c>
      <c r="C94" s="181" t="str"/>
      <c r="D94" s="181" t="inlineStr">
        <is>
          <t>other</t>
        </is>
      </c>
      <c r="E94" s="181" t="inlineStr">
        <is>
          <t>insufficient evidence</t>
        </is>
      </c>
      <c r="F94" s="181" t="inlineStr">
        <is>
          <t>multi-target signaling modulation</t>
        </is>
      </c>
      <c r="G94" s="181" t="inlineStr">
        <is>
          <t>general or unknown targets</t>
        </is>
      </c>
      <c r="H94" s="181" t="inlineStr">
        <is>
          <t>Absorption and bioavailability vary; some compounds metabolized via cytochrome P450 enzymes.</t>
        </is>
      </c>
      <c r="I94" s="181" t="inlineStr">
        <is>
          <t>low</t>
        </is>
      </c>
      <c r="J94" s="181" t="inlineStr">
        <is>
          <t>no well-documented interactions</t>
        </is>
      </c>
      <c r="K94" s="181" t="str"/>
      <c r="L94" s="181" t="inlineStr">
        <is>
          <t>compound_level</t>
        </is>
      </c>
      <c r="M94" s="181" t="inlineStr">
        <is>
          <t>https://plants.sc.egov.usda.gov/home/search?query=Anacardium%20occidentale | https://pubchem.ncbi.nlm.nih.gov/#query=cardanol</t>
        </is>
      </c>
      <c r="N94" s="181" t="inlineStr">
        <is>
          <t>inferred_plus_trusted_gov</t>
        </is>
      </c>
      <c r="O94" s="181" t="inlineStr">
        <is>
          <t>scientific name; PubChem compound page (NIH); USDA Plants database</t>
        </is>
      </c>
      <c r="P94" s="181" t="str"/>
      <c r="Q94" s="181" t="inlineStr">
        <is>
          <t>anacardium-occidentale</t>
        </is>
      </c>
      <c r="R94" s="181" t="n">
        <v>1</v>
      </c>
      <c r="S94" s="181" t="inlineStr">
        <is>
          <t>Yes</t>
        </is>
      </c>
      <c r="T94" s="181" t="inlineStr">
        <is>
          <t>Integrated from cleaned high-signal dataset</t>
        </is>
      </c>
    </row>
    <row r="95">
      <c r="A95" s="181" t="inlineStr">
        <is>
          <t>cardol</t>
        </is>
      </c>
      <c r="B95" s="181" t="inlineStr">
        <is>
          <t>cardol</t>
        </is>
      </c>
      <c r="C95" s="181" t="str"/>
      <c r="D95" s="181" t="inlineStr">
        <is>
          <t>other</t>
        </is>
      </c>
      <c r="E95" s="181" t="inlineStr">
        <is>
          <t>insufficient evidence</t>
        </is>
      </c>
      <c r="F95" s="181" t="inlineStr">
        <is>
          <t>multi-target signaling modulation</t>
        </is>
      </c>
      <c r="G95" s="181" t="inlineStr">
        <is>
          <t>general or unknown targets</t>
        </is>
      </c>
      <c r="H95" s="181" t="inlineStr">
        <is>
          <t>Absorption and bioavailability vary; some compounds metabolized via cytochrome P450 enzymes.</t>
        </is>
      </c>
      <c r="I95" s="181" t="inlineStr">
        <is>
          <t>low</t>
        </is>
      </c>
      <c r="J95" s="181" t="inlineStr">
        <is>
          <t>no well-documented interactions</t>
        </is>
      </c>
      <c r="K95" s="181" t="str"/>
      <c r="L95" s="181" t="inlineStr">
        <is>
          <t>compound_level</t>
        </is>
      </c>
      <c r="M95" s="181" t="inlineStr">
        <is>
          <t>https://plants.sc.egov.usda.gov/home/search?query=Anacardium%20occidentale | https://pubchem.ncbi.nlm.nih.gov/#query=cardol</t>
        </is>
      </c>
      <c r="N95" s="181" t="inlineStr">
        <is>
          <t>inferred_plus_trusted_gov</t>
        </is>
      </c>
      <c r="O95" s="181" t="inlineStr">
        <is>
          <t>scientific name; PubChem compound page (NIH); USDA Plants database</t>
        </is>
      </c>
      <c r="P95" s="181" t="str"/>
      <c r="Q95" s="181" t="inlineStr">
        <is>
          <t>anacardium-occidentale</t>
        </is>
      </c>
      <c r="R95" s="181" t="n">
        <v>1</v>
      </c>
      <c r="S95" s="181" t="inlineStr">
        <is>
          <t>Yes</t>
        </is>
      </c>
      <c r="T95" s="181" t="inlineStr">
        <is>
          <t>Integrated from cleaned high-signal dataset</t>
        </is>
      </c>
    </row>
    <row r="96">
      <c r="A96" s="181" t="inlineStr">
        <is>
          <t>carnosic acid</t>
        </is>
      </c>
      <c r="B96" s="181" t="inlineStr">
        <is>
          <t>carnosic acid</t>
        </is>
      </c>
      <c r="C96" s="181" t="str"/>
      <c r="D96" s="181" t="inlineStr">
        <is>
          <t>organic acid</t>
        </is>
      </c>
      <c r="E96" s="181" t="inlineStr">
        <is>
          <t>insufficient evidence</t>
        </is>
      </c>
      <c r="F96" s="181" t="inlineStr">
        <is>
          <t>multi-target signaling modulation</t>
        </is>
      </c>
      <c r="G96" s="181" t="inlineStr">
        <is>
          <t>general or unknown targets</t>
        </is>
      </c>
      <c r="H96" s="181" t="inlineStr">
        <is>
          <t>Oral; antioxidant and cholagogue</t>
        </is>
      </c>
      <c r="I96" s="181" t="inlineStr">
        <is>
          <t>low</t>
        </is>
      </c>
      <c r="J96" s="181" t="inlineStr">
        <is>
          <t>no well-documented interactions</t>
        </is>
      </c>
      <c r="K96" s="181" t="str"/>
      <c r="L96" s="181" t="inlineStr">
        <is>
          <t>compound_level</t>
        </is>
      </c>
      <c r="M96" s="181" t="inlineStr">
        <is>
          <t>https://plants.sc.egov.usda.gov/home/search?query=Rosmarinus%20officinalis | https://pubchem.ncbi.nlm.nih.gov/#query=carnosic%20acid</t>
        </is>
      </c>
      <c r="N96" s="181" t="inlineStr">
        <is>
          <t>inferred_plus_trusted_gov</t>
        </is>
      </c>
      <c r="O96" s="181" t="inlineStr">
        <is>
          <t>scientific name; PubChem compound page (NIH); USDA Plants database</t>
        </is>
      </c>
      <c r="P96" s="181" t="str"/>
      <c r="Q96" s="181" t="inlineStr">
        <is>
          <t>rosmarinus-officinalis</t>
        </is>
      </c>
      <c r="R96" s="181" t="n">
        <v>1</v>
      </c>
      <c r="S96" s="181" t="inlineStr">
        <is>
          <t>Yes</t>
        </is>
      </c>
      <c r="T96" s="181" t="inlineStr">
        <is>
          <t>Integrated from cleaned high-signal dataset</t>
        </is>
      </c>
    </row>
    <row r="97">
      <c r="A97" s="181" t="inlineStr">
        <is>
          <t>carpaine</t>
        </is>
      </c>
      <c r="B97" s="181" t="inlineStr">
        <is>
          <t>carpaine</t>
        </is>
      </c>
      <c r="C97" s="181" t="str"/>
      <c r="D97" s="181" t="inlineStr">
        <is>
          <t>other</t>
        </is>
      </c>
      <c r="E97" s="181" t="inlineStr">
        <is>
          <t>insufficient evidence</t>
        </is>
      </c>
      <c r="F97" s="181" t="inlineStr">
        <is>
          <t>multi-target signaling modulation</t>
        </is>
      </c>
      <c r="G97" s="181" t="inlineStr">
        <is>
          <t>general or unknown targets</t>
        </is>
      </c>
      <c r="H97" s="181" t="inlineStr">
        <is>
          <t>moderate absorption; hepatic metabolism</t>
        </is>
      </c>
      <c r="I97" s="181" t="inlineStr">
        <is>
          <t>low</t>
        </is>
      </c>
      <c r="J97" s="181" t="inlineStr">
        <is>
          <t>no well-documented interactions</t>
        </is>
      </c>
      <c r="K97" s="181" t="str"/>
      <c r="L97" s="181" t="inlineStr">
        <is>
          <t>compound_level</t>
        </is>
      </c>
      <c r="M97" s="181" t="inlineStr">
        <is>
          <t>https://plants.sc.egov.usda.gov/home/search?query=carica%20papaya | https://pubchem.ncbi.nlm.nih.gov/#query=carpaine</t>
        </is>
      </c>
      <c r="N97" s="181" t="inlineStr">
        <is>
          <t>trusted_gov_added</t>
        </is>
      </c>
      <c r="O97" s="181" t="inlineStr">
        <is>
          <t>PubChem compound page (NIH); USDA Plants database</t>
        </is>
      </c>
      <c r="P97" s="181" t="str"/>
      <c r="Q97" s="181" t="inlineStr">
        <is>
          <t>carica-papaya</t>
        </is>
      </c>
      <c r="R97" s="181" t="n">
        <v>1</v>
      </c>
      <c r="S97" s="181" t="inlineStr">
        <is>
          <t>Yes</t>
        </is>
      </c>
      <c r="T97" s="181" t="inlineStr">
        <is>
          <t>Integrated from cleaned high-signal dataset</t>
        </is>
      </c>
    </row>
    <row r="98">
      <c r="A98" s="181" t="inlineStr">
        <is>
          <t>carvacrol</t>
        </is>
      </c>
      <c r="B98" s="181" t="inlineStr">
        <is>
          <t>carvacrol</t>
        </is>
      </c>
      <c r="C98" s="181" t="str"/>
      <c r="D98" s="181" t="inlineStr">
        <is>
          <t>phenolic monoterpenoid</t>
        </is>
      </c>
      <c r="E98" s="181" t="inlineStr">
        <is>
          <t>Activates TRPV3 and TRPA1; broader anti-inflammatory signaling is supported in preclinical/review literature.</t>
        </is>
      </c>
      <c r="F98" s="181" t="inlineStr">
        <is>
          <t>multi-target signaling modulation</t>
        </is>
      </c>
      <c r="G98" s="181" t="inlineStr">
        <is>
          <t>NF-kB pathway modulation; TRPA1 activation; TRPV3 activation; general or unknown targets</t>
        </is>
      </c>
      <c r="H98" s="181" t="inlineStr">
        <is>
          <t>Limited human PK/interactions data for this pass; keep systemic disposition claims conservative.</t>
        </is>
      </c>
      <c r="I98" s="181" t="inlineStr">
        <is>
          <t>Irritation and sensitization potential at higher exposure; topical and mucosal tolerability matter.</t>
        </is>
      </c>
      <c r="J98" s="181" t="inlineStr">
        <is>
          <t>Other topical irritants/counterirritants (possible additive sensory irritation); CYP-mediated interactions remain plausible but not well established clinically.</t>
        </is>
      </c>
      <c r="K98" s="181" t="inlineStr">
        <is>
          <t>moderate</t>
        </is>
      </c>
      <c r="L98" s="181" t="inlineStr">
        <is>
          <t>Sprint3</t>
        </is>
      </c>
      <c r="M98" s="181" t="inlineStr">
        <is>
          <t>https://plants.sc.egov.usda.gov/home/search?query=Monarda%20fistulosa | https://plants.sc.egov.usda.gov/home/search?query=Origanum%20vulgare | https://plants.sc.egov.usda.gov/home/search?query=thymus%20vulgaris | https://pmc.ncbi.nlm.nih.gov/articles/PMC8920929/ | https://pmc.ncbi.nlm.nih.gov/articles/PMC9632228/ | https://pubchem.ncbi.nlm.nih.gov/#query=carvacrol</t>
        </is>
      </c>
      <c r="N98" s="181" t="inlineStr">
        <is>
          <t>inferred_plus_trusted_gov; trusted_gov_added</t>
        </is>
      </c>
      <c r="O98" s="181" t="inlineStr">
        <is>
          <t>PubChem compound page (NIH); USDA Plants database; scientific name; PubChem compound page (NIH); USDA Plants database</t>
        </is>
      </c>
      <c r="P98" s="181" t="inlineStr">
        <is>
          <t>precision_monographs_sprint3.xlsx</t>
        </is>
      </c>
      <c r="Q98" s="181" t="inlineStr">
        <is>
          <t>monarda-fistulosa; origanum-vulgare; thymus-vulgaris</t>
        </is>
      </c>
      <c r="R98" s="181" t="n">
        <v>3</v>
      </c>
      <c r="S98" s="181" t="inlineStr">
        <is>
          <t>Yes</t>
        </is>
      </c>
      <c r="T98" s="181" t="inlineStr">
        <is>
          <t>Integrated from cleaned high-signal dataset; Integrated from compound monograph workbook</t>
        </is>
      </c>
    </row>
    <row r="99">
      <c r="A99" s="181" t="inlineStr">
        <is>
          <t>carvone</t>
        </is>
      </c>
      <c r="B99" s="181" t="inlineStr">
        <is>
          <t>carvone</t>
        </is>
      </c>
      <c r="C99" s="181" t="str"/>
      <c r="D99" s="181" t="inlineStr">
        <is>
          <t>other</t>
        </is>
      </c>
      <c r="E99" s="181" t="inlineStr">
        <is>
          <t>insufficient evidence</t>
        </is>
      </c>
      <c r="F99" s="181" t="inlineStr">
        <is>
          <t>multi-target signaling modulation</t>
        </is>
      </c>
      <c r="G99" s="181" t="inlineStr">
        <is>
          <t>general or unknown targets</t>
        </is>
      </c>
      <c r="H99" s="181" t="inlineStr">
        <is>
          <t>Inhalation/topical; calming and antiseptic</t>
        </is>
      </c>
      <c r="I99" s="181" t="inlineStr">
        <is>
          <t>low</t>
        </is>
      </c>
      <c r="J99" s="181" t="inlineStr">
        <is>
          <t>no well-documented interactions</t>
        </is>
      </c>
      <c r="K99" s="181" t="str"/>
      <c r="L99" s="181" t="inlineStr">
        <is>
          <t>compound_level</t>
        </is>
      </c>
      <c r="M99" s="181" t="inlineStr">
        <is>
          <t>https://plants.sc.egov.usda.gov/home/search?query=Bursera%20graveolens | https://plants.sc.egov.usda.gov/home/search?query=Lippia%20alba | https://pubchem.ncbi.nlm.nih.gov/#query=carvone</t>
        </is>
      </c>
      <c r="N99" s="181" t="inlineStr">
        <is>
          <t>inferred_plus_trusted_gov</t>
        </is>
      </c>
      <c r="O99" s="181" t="inlineStr">
        <is>
          <t>scientific name; PubChem compound page (NIH); USDA Plants database</t>
        </is>
      </c>
      <c r="P99" s="181" t="str"/>
      <c r="Q99" s="181" t="inlineStr">
        <is>
          <t>bursera-graveolens; lippia-alba</t>
        </is>
      </c>
      <c r="R99" s="181" t="n">
        <v>2</v>
      </c>
      <c r="S99" s="181" t="inlineStr">
        <is>
          <t>Yes</t>
        </is>
      </c>
      <c r="T99" s="181" t="inlineStr">
        <is>
          <t>Integrated from cleaned high-signal dataset</t>
        </is>
      </c>
    </row>
    <row r="100">
      <c r="A100" s="181" t="inlineStr">
        <is>
          <t>casimiroedine</t>
        </is>
      </c>
      <c r="B100" s="181" t="inlineStr">
        <is>
          <t>casimiroedine</t>
        </is>
      </c>
      <c r="C100" s="181" t="str"/>
      <c r="D100" s="181" t="inlineStr">
        <is>
          <t>other</t>
        </is>
      </c>
      <c r="E100" s="181" t="inlineStr">
        <is>
          <t>insufficient evidence</t>
        </is>
      </c>
      <c r="F100" s="181" t="inlineStr">
        <is>
          <t>multi-target signaling modulation</t>
        </is>
      </c>
      <c r="G100" s="181" t="inlineStr">
        <is>
          <t>general or unknown targets</t>
        </is>
      </c>
      <c r="H100" s="181" t="inlineStr">
        <is>
          <t>moderate absorption; hepatic metabolism</t>
        </is>
      </c>
      <c r="I100" s="181" t="inlineStr">
        <is>
          <t>low</t>
        </is>
      </c>
      <c r="J100" s="181" t="inlineStr">
        <is>
          <t>no well-documented interactions</t>
        </is>
      </c>
      <c r="K100" s="181" t="str"/>
      <c r="L100" s="181" t="inlineStr">
        <is>
          <t>compound_level</t>
        </is>
      </c>
      <c r="M100" s="181" t="inlineStr">
        <is>
          <t>https://plants.sc.egov.usda.gov/home/search?query=casimiroa%20edulis | https://pubchem.ncbi.nlm.nih.gov/#query=casimiroedine</t>
        </is>
      </c>
      <c r="N100" s="181" t="inlineStr">
        <is>
          <t>trusted_gov_added</t>
        </is>
      </c>
      <c r="O100" s="181" t="inlineStr">
        <is>
          <t>PubChem compound page (NIH); USDA Plants database</t>
        </is>
      </c>
      <c r="P100" s="181" t="str"/>
      <c r="Q100" s="181" t="inlineStr">
        <is>
          <t>casimiroa-edulis</t>
        </is>
      </c>
      <c r="R100" s="181" t="n">
        <v>1</v>
      </c>
      <c r="S100" s="181" t="inlineStr">
        <is>
          <t>Yes</t>
        </is>
      </c>
      <c r="T100" s="181" t="inlineStr">
        <is>
          <t>Integrated from cleaned high-signal dataset</t>
        </is>
      </c>
    </row>
    <row r="101">
      <c r="A101" s="181" t="inlineStr">
        <is>
          <t>casticin</t>
        </is>
      </c>
      <c r="B101" s="181" t="inlineStr">
        <is>
          <t>casticin</t>
        </is>
      </c>
      <c r="C101" s="181" t="str"/>
      <c r="D101" s="181" t="inlineStr">
        <is>
          <t>Casticin, flavonoids, iridoids</t>
        </is>
      </c>
      <c r="E101" s="181" t="inlineStr">
        <is>
          <t>insufficient evidence</t>
        </is>
      </c>
      <c r="F101" s="181" t="inlineStr">
        <is>
          <t>multi-target signaling modulation</t>
        </is>
      </c>
      <c r="G101" s="181" t="inlineStr">
        <is>
          <t>general or unknown targets</t>
        </is>
      </c>
      <c r="H101" s="181" t="inlineStr">
        <is>
          <t>Oral; modulates estrogenic pathways</t>
        </is>
      </c>
      <c r="I101" s="181" t="inlineStr">
        <is>
          <t>low</t>
        </is>
      </c>
      <c r="J101" s="181" t="inlineStr">
        <is>
          <t>no well-documented interactions</t>
        </is>
      </c>
      <c r="K101" s="181" t="str"/>
      <c r="L101" s="181" t="inlineStr">
        <is>
          <t>compound_level</t>
        </is>
      </c>
      <c r="M101" s="181" t="inlineStr">
        <is>
          <t>https://plants.sc.egov.usda.gov/home/search?query=Vitex%20trifolia | https://pubchem.ncbi.nlm.nih.gov/#query=casticin</t>
        </is>
      </c>
      <c r="N101" s="181" t="inlineStr">
        <is>
          <t>inferred_plus_trusted_gov</t>
        </is>
      </c>
      <c r="O101" s="181" t="inlineStr">
        <is>
          <t>scientific name; PubChem compound page (NIH); USDA Plants database</t>
        </is>
      </c>
      <c r="P101" s="181" t="str"/>
      <c r="Q101" s="181" t="inlineStr">
        <is>
          <t>vitex-trifolia</t>
        </is>
      </c>
      <c r="R101" s="181" t="n">
        <v>1</v>
      </c>
      <c r="S101" s="181" t="inlineStr">
        <is>
          <t>Yes</t>
        </is>
      </c>
      <c r="T101" s="181" t="inlineStr">
        <is>
          <t>Integrated from cleaned high-signal dataset</t>
        </is>
      </c>
    </row>
    <row r="102">
      <c r="A102" s="181" t="inlineStr">
        <is>
          <t>catechins</t>
        </is>
      </c>
      <c r="B102" s="181" t="inlineStr">
        <is>
          <t>catechins (egcg)</t>
        </is>
      </c>
      <c r="C102" s="181" t="str"/>
      <c r="D102" s="181" t="inlineStr">
        <is>
          <t>flavonoid</t>
        </is>
      </c>
      <c r="E102" s="181" t="inlineStr">
        <is>
          <t>EGCG inhibits catechol-O-methyltransferase (COMT) and activates AMPK; caffeine antagonizes adenosine A1 and A2A receptors.</t>
        </is>
      </c>
      <c r="F102" s="181" t="inlineStr">
        <is>
          <t>adenosine receptor antagonism</t>
        </is>
      </c>
      <c r="G102" s="181" t="inlineStr">
        <is>
          <t>adenosine_antagonism</t>
        </is>
      </c>
      <c r="H102" s="181" t="inlineStr">
        <is>
          <t>moderate absorption; extensive metabolism</t>
        </is>
      </c>
      <c r="I102" s="181" t="inlineStr">
        <is>
          <t>low</t>
        </is>
      </c>
      <c r="J102" s="181" t="inlineStr">
        <is>
          <t>no well-documented interactions</t>
        </is>
      </c>
      <c r="K102" s="181" t="str"/>
      <c r="L102" s="181" t="inlineStr">
        <is>
          <t>compound_level</t>
        </is>
      </c>
      <c r="M102" s="181" t="inlineStr">
        <is>
          <t>https://plants.sc.egov.usda.gov/home/search?query=camellia%20sinensis | https://pubchem.ncbi.nlm.nih.gov/#query=catechins%20%28egcg%29</t>
        </is>
      </c>
      <c r="N102" s="181" t="inlineStr">
        <is>
          <t>trusted_gov_added</t>
        </is>
      </c>
      <c r="O102" s="181" t="inlineStr">
        <is>
          <t>PubChem compound page (NIH); USDA Plants database</t>
        </is>
      </c>
      <c r="P102" s="181" t="str"/>
      <c r="Q102" s="181" t="inlineStr">
        <is>
          <t>camellia-sinensis</t>
        </is>
      </c>
      <c r="R102" s="181" t="n">
        <v>1</v>
      </c>
      <c r="S102" s="181" t="inlineStr">
        <is>
          <t>Yes</t>
        </is>
      </c>
      <c r="T102" s="181" t="inlineStr">
        <is>
          <t>Integrated from cleaned high-signal dataset</t>
        </is>
      </c>
    </row>
    <row r="103">
      <c r="A103" s="181" t="inlineStr">
        <is>
          <t>cathine</t>
        </is>
      </c>
      <c r="B103" s="181" t="inlineStr">
        <is>
          <t>cathine</t>
        </is>
      </c>
      <c r="C103" s="181" t="str"/>
      <c r="D103" s="181" t="inlineStr">
        <is>
          <t>other</t>
        </is>
      </c>
      <c r="E103" s="181" t="inlineStr">
        <is>
          <t>insufficient evidence</t>
        </is>
      </c>
      <c r="F103" s="181" t="inlineStr">
        <is>
          <t>multi-target signaling modulation</t>
        </is>
      </c>
      <c r="G103" s="181" t="inlineStr">
        <is>
          <t>dopaminergic_modulation</t>
        </is>
      </c>
      <c r="H103" s="181" t="inlineStr">
        <is>
          <t>moderate absorption; hepatic metabolism</t>
        </is>
      </c>
      <c r="I103" s="181" t="inlineStr">
        <is>
          <t>low</t>
        </is>
      </c>
      <c r="J103" s="181" t="inlineStr">
        <is>
          <t>no well-documented interactions</t>
        </is>
      </c>
      <c r="K103" s="181" t="str"/>
      <c r="L103" s="181" t="inlineStr">
        <is>
          <t>compound_level</t>
        </is>
      </c>
      <c r="M103" s="181" t="inlineStr">
        <is>
          <t>https://plants.sc.egov.usda.gov/home/search?query=catha%20edulis | https://pubchem.ncbi.nlm.nih.gov/#query=cathine</t>
        </is>
      </c>
      <c r="N103" s="181" t="inlineStr">
        <is>
          <t>trusted_gov_added</t>
        </is>
      </c>
      <c r="O103" s="181" t="inlineStr">
        <is>
          <t>PubChem compound page (NIH); USDA Plants database</t>
        </is>
      </c>
      <c r="P103" s="181" t="str"/>
      <c r="Q103" s="181" t="inlineStr">
        <is>
          <t>catha-edulis</t>
        </is>
      </c>
      <c r="R103" s="181" t="n">
        <v>1</v>
      </c>
      <c r="S103" s="181" t="inlineStr">
        <is>
          <t>Yes</t>
        </is>
      </c>
      <c r="T103" s="181" t="inlineStr">
        <is>
          <t>Integrated from cleaned high-signal dataset</t>
        </is>
      </c>
    </row>
    <row r="104">
      <c r="A104" s="181" t="inlineStr">
        <is>
          <t>cathinone</t>
        </is>
      </c>
      <c r="B104" s="181" t="inlineStr">
        <is>
          <t>cathinone</t>
        </is>
      </c>
      <c r="C104" s="181" t="str"/>
      <c r="D104" s="181" t="inlineStr">
        <is>
          <t>other</t>
        </is>
      </c>
      <c r="E104" s="181" t="inlineStr">
        <is>
          <t>insufficient evidence</t>
        </is>
      </c>
      <c r="F104" s="181" t="inlineStr">
        <is>
          <t>multi-target signaling modulation</t>
        </is>
      </c>
      <c r="G104" s="181" t="inlineStr">
        <is>
          <t>dopaminergic_modulation</t>
        </is>
      </c>
      <c r="H104" s="181" t="inlineStr">
        <is>
          <t>moderate absorption; hepatic metabolism</t>
        </is>
      </c>
      <c r="I104" s="181" t="inlineStr">
        <is>
          <t>low</t>
        </is>
      </c>
      <c r="J104" s="181" t="inlineStr">
        <is>
          <t>no well-documented interactions</t>
        </is>
      </c>
      <c r="K104" s="181" t="str"/>
      <c r="L104" s="181" t="inlineStr">
        <is>
          <t>compound_level</t>
        </is>
      </c>
      <c r="M104" s="181" t="inlineStr">
        <is>
          <t>https://plants.sc.egov.usda.gov/home/search?query=catha%20edulis | https://pubchem.ncbi.nlm.nih.gov/#query=cathinone</t>
        </is>
      </c>
      <c r="N104" s="181" t="inlineStr">
        <is>
          <t>trusted_gov_added</t>
        </is>
      </c>
      <c r="O104" s="181" t="inlineStr">
        <is>
          <t>PubChem compound page (NIH); USDA Plants database</t>
        </is>
      </c>
      <c r="P104" s="181" t="str"/>
      <c r="Q104" s="181" t="inlineStr">
        <is>
          <t>catha-edulis</t>
        </is>
      </c>
      <c r="R104" s="181" t="n">
        <v>1</v>
      </c>
      <c r="S104" s="181" t="inlineStr">
        <is>
          <t>Yes</t>
        </is>
      </c>
      <c r="T104" s="181" t="inlineStr">
        <is>
          <t>Integrated from cleaned high-signal dataset</t>
        </is>
      </c>
    </row>
    <row r="105">
      <c r="A105" s="181" t="inlineStr">
        <is>
          <t>cbd</t>
        </is>
      </c>
      <c r="B105" s="181" t="inlineStr">
        <is>
          <t>cbd</t>
        </is>
      </c>
      <c r="C105" s="181" t="str"/>
      <c r="D105" s="181" t="inlineStr">
        <is>
          <t>terpenes</t>
        </is>
      </c>
      <c r="E105" s="181" t="inlineStr">
        <is>
          <t>THC acts at CB1 receptors; terpenes may modulate neurotransmitter systems and pharmacokinetics.</t>
        </is>
      </c>
      <c r="F105" s="181" t="inlineStr">
        <is>
          <t>multi-target signaling modulation</t>
        </is>
      </c>
      <c r="G105" s="181" t="inlineStr">
        <is>
          <t>endocannabinoid_modulation</t>
        </is>
      </c>
      <c r="H105" s="181" t="inlineStr">
        <is>
          <t>Absorption and bioavailability vary; some compounds metabolized via cytochrome P450 enzymes.</t>
        </is>
      </c>
      <c r="I105" s="181" t="inlineStr">
        <is>
          <t>low</t>
        </is>
      </c>
      <c r="J105" s="181" t="inlineStr">
        <is>
          <t>no well-documented interactions</t>
        </is>
      </c>
      <c r="K105" s="181" t="str"/>
      <c r="L105" s="181" t="inlineStr">
        <is>
          <t>compound_level</t>
        </is>
      </c>
      <c r="M105" s="181" t="inlineStr">
        <is>
          <t>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https://pubchem.ncbi.nlm.nih.gov/#query=cbd</t>
        </is>
      </c>
      <c r="N105" s="181" t="inlineStr">
        <is>
          <t>inferred_plus_trusted_gov; trusted_gov_added</t>
        </is>
      </c>
      <c r="O105" s="181" t="inlineStr">
        <is>
          <t>PubChem compound page (NIH); USDA Plants database; scientific name; PubChem compound page (NIH); USDA Plants database</t>
        </is>
      </c>
      <c r="P105" s="181" t="str"/>
      <c r="Q105" s="181" t="inlineStr">
        <is>
          <t>cannabis-indica; cannabis-ruderalis; cannabis-sativa; cannabis-sativa-african-varieties</t>
        </is>
      </c>
      <c r="R105" s="181" t="n">
        <v>4</v>
      </c>
      <c r="S105" s="181" t="inlineStr">
        <is>
          <t>Yes</t>
        </is>
      </c>
      <c r="T105" s="181" t="inlineStr">
        <is>
          <t>Integrated from cleaned high-signal dataset</t>
        </is>
      </c>
    </row>
    <row r="106">
      <c r="A106" s="181" t="inlineStr">
        <is>
          <t>celapagin</t>
        </is>
      </c>
      <c r="B106" s="181" t="inlineStr">
        <is>
          <t>celapagin</t>
        </is>
      </c>
      <c r="C106" s="181" t="str"/>
      <c r="D106" s="181" t="inlineStr">
        <is>
          <t>other</t>
        </is>
      </c>
      <c r="E106" s="181" t="inlineStr">
        <is>
          <t>insufficient evidence</t>
        </is>
      </c>
      <c r="F106" s="181" t="inlineStr">
        <is>
          <t>multi-target signaling modulation</t>
        </is>
      </c>
      <c r="G106" s="181" t="inlineStr">
        <is>
          <t>general or unknown targets</t>
        </is>
      </c>
      <c r="H106" s="181" t="inlineStr">
        <is>
          <t>moderate absorption; hepatic metabolism</t>
        </is>
      </c>
      <c r="I106" s="181" t="inlineStr">
        <is>
          <t>low</t>
        </is>
      </c>
      <c r="J106" s="181" t="inlineStr">
        <is>
          <t>no well-documented interactions</t>
        </is>
      </c>
      <c r="K106" s="181" t="str"/>
      <c r="L106" s="181" t="inlineStr">
        <is>
          <t>compound_level</t>
        </is>
      </c>
      <c r="M106" s="181" t="inlineStr">
        <is>
          <t>https://plants.sc.egov.usda.gov/home/search?query=Celastrus%20Paniculatus | https://plants.sc.egov.usda.gov/home/search?query=celastrus%20paniculatus | https://pubchem.ncbi.nlm.nih.gov/#query=celapagin</t>
        </is>
      </c>
      <c r="N106" s="181" t="inlineStr">
        <is>
          <t>trusted_gov_added</t>
        </is>
      </c>
      <c r="O106" s="181" t="inlineStr">
        <is>
          <t>PubChem compound page (NIH); USDA Plants database</t>
        </is>
      </c>
      <c r="P106" s="181" t="str"/>
      <c r="Q106" s="181" t="inlineStr">
        <is>
          <t>celastrus-paniculatus; celastrus-paniculatus-intellect-tree</t>
        </is>
      </c>
      <c r="R106" s="181" t="n">
        <v>2</v>
      </c>
      <c r="S106" s="181" t="inlineStr">
        <is>
          <t>Yes</t>
        </is>
      </c>
      <c r="T106" s="181" t="inlineStr">
        <is>
          <t>Integrated from cleaned high-signal dataset</t>
        </is>
      </c>
    </row>
    <row r="107">
      <c r="A107" s="181" t="inlineStr">
        <is>
          <t>celapanin</t>
        </is>
      </c>
      <c r="B107" s="181" t="inlineStr">
        <is>
          <t>celapanin</t>
        </is>
      </c>
      <c r="C107" s="181" t="str"/>
      <c r="D107" s="181" t="inlineStr">
        <is>
          <t>other</t>
        </is>
      </c>
      <c r="E107" s="181" t="inlineStr">
        <is>
          <t>insufficient evidence</t>
        </is>
      </c>
      <c r="F107" s="181" t="inlineStr">
        <is>
          <t>multi-target signaling modulation</t>
        </is>
      </c>
      <c r="G107" s="181" t="inlineStr">
        <is>
          <t>general or unknown targets</t>
        </is>
      </c>
      <c r="H107" s="181" t="inlineStr">
        <is>
          <t>moderate absorption; hepatic metabolism</t>
        </is>
      </c>
      <c r="I107" s="181" t="inlineStr">
        <is>
          <t>low</t>
        </is>
      </c>
      <c r="J107" s="181" t="inlineStr">
        <is>
          <t>no well-documented interactions</t>
        </is>
      </c>
      <c r="K107" s="181" t="str"/>
      <c r="L107" s="181" t="inlineStr">
        <is>
          <t>compound_level</t>
        </is>
      </c>
      <c r="M107" s="181" t="inlineStr">
        <is>
          <t>https://plants.sc.egov.usda.gov/home/search?query=Celastrus%20Paniculatus | https://plants.sc.egov.usda.gov/home/search?query=celastrus%20paniculatus | https://pubchem.ncbi.nlm.nih.gov/#query=celapanin</t>
        </is>
      </c>
      <c r="N107" s="181" t="inlineStr">
        <is>
          <t>trusted_gov_added</t>
        </is>
      </c>
      <c r="O107" s="181" t="inlineStr">
        <is>
          <t>PubChem compound page (NIH); USDA Plants database</t>
        </is>
      </c>
      <c r="P107" s="181" t="str"/>
      <c r="Q107" s="181" t="inlineStr">
        <is>
          <t>celastrus-paniculatus; celastrus-paniculatus-intellect-tree</t>
        </is>
      </c>
      <c r="R107" s="181" t="n">
        <v>2</v>
      </c>
      <c r="S107" s="181" t="inlineStr">
        <is>
          <t>Yes</t>
        </is>
      </c>
      <c r="T107" s="181" t="inlineStr">
        <is>
          <t>Integrated from cleaned high-signal dataset</t>
        </is>
      </c>
    </row>
    <row r="108">
      <c r="A108" s="181" t="inlineStr">
        <is>
          <t>celastrine</t>
        </is>
      </c>
      <c r="B108" s="181" t="inlineStr">
        <is>
          <t>celastrine</t>
        </is>
      </c>
      <c r="C108" s="181" t="str"/>
      <c r="D108" s="181" t="inlineStr">
        <is>
          <t>other</t>
        </is>
      </c>
      <c r="E108" s="181" t="inlineStr">
        <is>
          <t>insufficient evidence</t>
        </is>
      </c>
      <c r="F108" s="181" t="inlineStr">
        <is>
          <t>multi-target signaling modulation</t>
        </is>
      </c>
      <c r="G108" s="181" t="inlineStr">
        <is>
          <t>general or unknown targets</t>
        </is>
      </c>
      <c r="H108" s="181" t="inlineStr">
        <is>
          <t>moderate absorption; hepatic metabolism</t>
        </is>
      </c>
      <c r="I108" s="181" t="inlineStr">
        <is>
          <t>low</t>
        </is>
      </c>
      <c r="J108" s="181" t="inlineStr">
        <is>
          <t>no well-documented interactions</t>
        </is>
      </c>
      <c r="K108" s="181" t="str"/>
      <c r="L108" s="181" t="inlineStr">
        <is>
          <t>compound_level</t>
        </is>
      </c>
      <c r="M108" s="181" t="inlineStr">
        <is>
          <t>https://plants.sc.egov.usda.gov/home/search?query=Celastrus%20Paniculatus | https://plants.sc.egov.usda.gov/home/search?query=celastrus%20paniculatus | https://pubchem.ncbi.nlm.nih.gov/#query=celastrine</t>
        </is>
      </c>
      <c r="N108" s="181" t="inlineStr">
        <is>
          <t>trusted_gov_added</t>
        </is>
      </c>
      <c r="O108" s="181" t="inlineStr">
        <is>
          <t>PubChem compound page (NIH); USDA Plants database</t>
        </is>
      </c>
      <c r="P108" s="181" t="str"/>
      <c r="Q108" s="181" t="inlineStr">
        <is>
          <t>celastrus-paniculatus; celastrus-paniculatus-intellect-tree</t>
        </is>
      </c>
      <c r="R108" s="181" t="n">
        <v>2</v>
      </c>
      <c r="S108" s="181" t="inlineStr">
        <is>
          <t>Yes</t>
        </is>
      </c>
      <c r="T108" s="181" t="inlineStr">
        <is>
          <t>Integrated from cleaned high-signal dataset</t>
        </is>
      </c>
    </row>
    <row r="109">
      <c r="A109" s="181" t="inlineStr">
        <is>
          <t>cephaeline</t>
        </is>
      </c>
      <c r="B109" s="181" t="inlineStr">
        <is>
          <t>cephaeline</t>
        </is>
      </c>
      <c r="C109" s="181" t="str"/>
      <c r="D109" s="181" t="inlineStr">
        <is>
          <t>Emetine, cephaeline, alkaloids</t>
        </is>
      </c>
      <c r="E109" s="181" t="inlineStr">
        <is>
          <t>insufficient evidence</t>
        </is>
      </c>
      <c r="F109" s="181" t="inlineStr">
        <is>
          <t>multi-target signaling modulation</t>
        </is>
      </c>
      <c r="G109" s="181" t="inlineStr">
        <is>
          <t>general or unknown targets</t>
        </is>
      </c>
      <c r="H109" s="181" t="inlineStr">
        <is>
          <t>Oral; expectorant and anti-protozoal</t>
        </is>
      </c>
      <c r="I109" s="181" t="inlineStr">
        <is>
          <t>low</t>
        </is>
      </c>
      <c r="J109" s="181" t="inlineStr">
        <is>
          <t>no well-documented interactions</t>
        </is>
      </c>
      <c r="K109" s="181" t="str"/>
      <c r="L109" s="181" t="inlineStr">
        <is>
          <t>compound_level</t>
        </is>
      </c>
      <c r="M109" s="181" t="inlineStr">
        <is>
          <t>https://plants.sc.egov.usda.gov/home/search?query=Cephaelis%20ipecacuanha | https://pubchem.ncbi.nlm.nih.gov/#query=cephaeline</t>
        </is>
      </c>
      <c r="N109" s="181" t="inlineStr">
        <is>
          <t>inferred_plus_trusted_gov</t>
        </is>
      </c>
      <c r="O109" s="181" t="inlineStr">
        <is>
          <t>scientific name; PubChem compound page (NIH); USDA Plants database</t>
        </is>
      </c>
      <c r="P109" s="181" t="str"/>
      <c r="Q109" s="181" t="inlineStr">
        <is>
          <t>cephaelis-ipecacuanha</t>
        </is>
      </c>
      <c r="R109" s="181" t="n">
        <v>1</v>
      </c>
      <c r="S109" s="181" t="inlineStr">
        <is>
          <t>Yes</t>
        </is>
      </c>
      <c r="T109" s="181" t="inlineStr">
        <is>
          <t>Integrated from cleaned high-signal dataset</t>
        </is>
      </c>
    </row>
    <row r="110">
      <c r="A110" s="181" t="inlineStr">
        <is>
          <t>cepharanthine</t>
        </is>
      </c>
      <c r="B110" s="181" t="inlineStr">
        <is>
          <t>cepharanthine</t>
        </is>
      </c>
      <c r="C110" s="181" t="str"/>
      <c r="D110" s="181" t="inlineStr">
        <is>
          <t>biscoclaurine alkaloids</t>
        </is>
      </c>
      <c r="E110" s="181" t="inlineStr">
        <is>
          <t>insufficient evidence</t>
        </is>
      </c>
      <c r="F110" s="181" t="inlineStr">
        <is>
          <t>multi-target signaling modulation</t>
        </is>
      </c>
      <c r="G110" s="181" t="inlineStr">
        <is>
          <t>general or unknown targets</t>
        </is>
      </c>
      <c r="H110" s="181" t="inlineStr">
        <is>
          <t>Absorption and bioavailability vary; some compounds metabolized via cytochrome P450 enzymes.</t>
        </is>
      </c>
      <c r="I110" s="181" t="inlineStr">
        <is>
          <t>low</t>
        </is>
      </c>
      <c r="J110" s="181" t="inlineStr">
        <is>
          <t>no well-documented interactions</t>
        </is>
      </c>
      <c r="K110" s="181" t="str"/>
      <c r="L110" s="181" t="inlineStr">
        <is>
          <t>compound_level</t>
        </is>
      </c>
      <c r="M110" s="181" t="inlineStr">
        <is>
          <t>https://plants.sc.egov.usda.gov/home/search?query=Stephania%20cepharantha | https://pubchem.ncbi.nlm.nih.gov/#query=cepharanthine</t>
        </is>
      </c>
      <c r="N110" s="181" t="inlineStr">
        <is>
          <t>inferred_plus_trusted_gov</t>
        </is>
      </c>
      <c r="O110" s="181" t="inlineStr">
        <is>
          <t>scientific name; PubChem compound page (NIH); USDA Plants database</t>
        </is>
      </c>
      <c r="P110" s="181" t="str"/>
      <c r="Q110" s="181" t="inlineStr">
        <is>
          <t>stephania-cepharantha</t>
        </is>
      </c>
      <c r="R110" s="181" t="n">
        <v>1</v>
      </c>
      <c r="S110" s="181" t="inlineStr">
        <is>
          <t>Yes</t>
        </is>
      </c>
      <c r="T110" s="181" t="inlineStr">
        <is>
          <t>Integrated from cleaned high-signal dataset</t>
        </is>
      </c>
    </row>
    <row r="111">
      <c r="A111" s="181" t="inlineStr">
        <is>
          <t>chamazulene</t>
        </is>
      </c>
      <c r="B111" s="181" t="inlineStr">
        <is>
          <t>chamazulene</t>
        </is>
      </c>
      <c r="C111" s="181" t="str"/>
      <c r="D111" s="181" t="inlineStr">
        <is>
          <t>other</t>
        </is>
      </c>
      <c r="E111" s="181" t="inlineStr">
        <is>
          <t>Chamomile's CNS effects are partly attributed to apigenin, which binds at the central benzodiazepine site associated with GABA_A receptor signaling; other constituents contribute anti-inflammatory and spasmolytic activity.</t>
        </is>
      </c>
      <c r="F111" s="181" t="inlineStr">
        <is>
          <t>GABAergic modulation; multi-target signaling modulation</t>
        </is>
      </c>
      <c r="G111" s="181" t="inlineStr">
        <is>
          <t>gabaergic_modulation; general or unknown targets; inflammatory_pathway_modulation</t>
        </is>
      </c>
      <c r="H111" s="181" t="inlineStr">
        <is>
          <t>moderate absorption; hepatic metabolism</t>
        </is>
      </c>
      <c r="I111" s="181" t="inlineStr">
        <is>
          <t>low</t>
        </is>
      </c>
      <c r="J111" s="181" t="inlineStr">
        <is>
          <t>no well-documented interactions</t>
        </is>
      </c>
      <c r="K111" s="181" t="str"/>
      <c r="L111" s="181" t="inlineStr">
        <is>
          <t>compound_level</t>
        </is>
      </c>
      <c r="M111" s="181" t="inlineStr">
        <is>
          <t>https://plants.sc.egov.usda.gov/home/search?query=Matricaria%20chamomilla | https://plants.sc.egov.usda.gov/home/search?query=chamomile | https://pubchem.ncbi.nlm.nih.gov/#query=chamazulene</t>
        </is>
      </c>
      <c r="N111" s="181" t="inlineStr">
        <is>
          <t>inferred_plus_trusted_gov; trusted_gov_added</t>
        </is>
      </c>
      <c r="O111" s="181" t="inlineStr">
        <is>
          <t>PubChem compound page (NIH); USDA Plants database; scientific name; PubChem compound page (NIH); USDA Plants database</t>
        </is>
      </c>
      <c r="P111" s="181" t="str"/>
      <c r="Q111" s="181" t="inlineStr">
        <is>
          <t>matricaria-chamomilla</t>
        </is>
      </c>
      <c r="R111" s="181" t="n">
        <v>1</v>
      </c>
      <c r="S111" s="181" t="inlineStr">
        <is>
          <t>Yes</t>
        </is>
      </c>
      <c r="T111" s="181" t="inlineStr">
        <is>
          <t>Integrated from cleaned high-signal dataset</t>
        </is>
      </c>
    </row>
    <row r="112">
      <c r="A112" s="181" t="inlineStr">
        <is>
          <t>charantin</t>
        </is>
      </c>
      <c r="B112" s="181" t="inlineStr">
        <is>
          <t>charantin</t>
        </is>
      </c>
      <c r="C112" s="181" t="str"/>
      <c r="D112" s="181" t="inlineStr">
        <is>
          <t>other</t>
        </is>
      </c>
      <c r="E112" s="181" t="inlineStr">
        <is>
          <t>insufficient evidence</t>
        </is>
      </c>
      <c r="F112" s="181" t="inlineStr">
        <is>
          <t>multi-target signaling modulation</t>
        </is>
      </c>
      <c r="G112" s="181" t="inlineStr">
        <is>
          <t>general or unknown targets</t>
        </is>
      </c>
      <c r="H112" s="181" t="inlineStr">
        <is>
          <t>Oral; insulin mimetic and antidiabetic</t>
        </is>
      </c>
      <c r="I112" s="181" t="inlineStr">
        <is>
          <t>low</t>
        </is>
      </c>
      <c r="J112" s="181" t="inlineStr">
        <is>
          <t>no well-documented interactions</t>
        </is>
      </c>
      <c r="K112" s="181" t="str"/>
      <c r="L112" s="181" t="inlineStr">
        <is>
          <t>compound_level</t>
        </is>
      </c>
      <c r="M112" s="181" t="inlineStr">
        <is>
          <t>https://plants.sc.egov.usda.gov/home/search?query=Momordica%20charantia | https://pubchem.ncbi.nlm.nih.gov/#query=charantin</t>
        </is>
      </c>
      <c r="N112" s="181" t="inlineStr">
        <is>
          <t>inferred_plus_trusted_gov</t>
        </is>
      </c>
      <c r="O112" s="181" t="inlineStr">
        <is>
          <t>scientific name; PubChem compound page (NIH); USDA Plants database</t>
        </is>
      </c>
      <c r="P112" s="181" t="str"/>
      <c r="Q112" s="181" t="inlineStr">
        <is>
          <t>momordica-charantia</t>
        </is>
      </c>
      <c r="R112" s="181" t="n">
        <v>1</v>
      </c>
      <c r="S112" s="181" t="inlineStr">
        <is>
          <t>Yes</t>
        </is>
      </c>
      <c r="T112" s="181" t="inlineStr">
        <is>
          <t>Integrated from cleaned high-signal dataset</t>
        </is>
      </c>
    </row>
    <row r="113">
      <c r="A113" s="181" t="inlineStr">
        <is>
          <t>chavicol</t>
        </is>
      </c>
      <c r="B113" s="181" t="inlineStr">
        <is>
          <t>chavicol</t>
        </is>
      </c>
      <c r="C113" s="181" t="str"/>
      <c r="D113" s="181" t="inlineStr">
        <is>
          <t>other</t>
        </is>
      </c>
      <c r="E113" s="181" t="inlineStr">
        <is>
          <t>insufficient evidence</t>
        </is>
      </c>
      <c r="F113" s="181" t="inlineStr">
        <is>
          <t>multi-target signaling modulation</t>
        </is>
      </c>
      <c r="G113" s="181" t="inlineStr">
        <is>
          <t>general or unknown targets</t>
        </is>
      </c>
      <c r="H113" s="181" t="inlineStr">
        <is>
          <t>Absorption and bioavailability vary; some compounds metabolized via cytochrome P450 enzymes.</t>
        </is>
      </c>
      <c r="I113" s="181" t="inlineStr">
        <is>
          <t>low</t>
        </is>
      </c>
      <c r="J113" s="181" t="inlineStr">
        <is>
          <t>no well-documented interactions</t>
        </is>
      </c>
      <c r="K113" s="181" t="str"/>
      <c r="L113" s="181" t="inlineStr">
        <is>
          <t>compound_level</t>
        </is>
      </c>
      <c r="M113" s="181" t="inlineStr">
        <is>
          <t>https://plants.sc.egov.usda.gov/home/search?query=Pimenta%20racemosa | https://pubchem.ncbi.nlm.nih.gov/#query=chavicol</t>
        </is>
      </c>
      <c r="N113" s="181" t="inlineStr">
        <is>
          <t>inferred_plus_trusted_gov</t>
        </is>
      </c>
      <c r="O113" s="181" t="inlineStr">
        <is>
          <t>scientific name; PubChem compound page (NIH); USDA Plants database</t>
        </is>
      </c>
      <c r="P113" s="181" t="str"/>
      <c r="Q113" s="181" t="inlineStr">
        <is>
          <t>pimenta-racemosa</t>
        </is>
      </c>
      <c r="R113" s="181" t="n">
        <v>1</v>
      </c>
      <c r="S113" s="181" t="inlineStr">
        <is>
          <t>Yes</t>
        </is>
      </c>
      <c r="T113" s="181" t="inlineStr">
        <is>
          <t>Integrated from cleaned high-signal dataset</t>
        </is>
      </c>
    </row>
    <row r="114">
      <c r="A114" s="181" t="inlineStr">
        <is>
          <t>chelerythrine</t>
        </is>
      </c>
      <c r="B114" s="181" t="inlineStr">
        <is>
          <t>chelerythrine</t>
        </is>
      </c>
      <c r="C114" s="181" t="str"/>
      <c r="D114" s="181" t="inlineStr">
        <is>
          <t>other</t>
        </is>
      </c>
      <c r="E114" s="181" t="inlineStr">
        <is>
          <t>insufficient evidence</t>
        </is>
      </c>
      <c r="F114" s="181" t="inlineStr">
        <is>
          <t>multi-target signaling modulation</t>
        </is>
      </c>
      <c r="G114" s="181" t="inlineStr">
        <is>
          <t>general or unknown targets</t>
        </is>
      </c>
      <c r="H114" s="181" t="inlineStr">
        <is>
          <t>Topical; cytotoxic and antimicrobial</t>
        </is>
      </c>
      <c r="I114" s="181" t="inlineStr">
        <is>
          <t>low</t>
        </is>
      </c>
      <c r="J114" s="181" t="inlineStr">
        <is>
          <t>no well-documented interactions</t>
        </is>
      </c>
      <c r="K114" s="181" t="str"/>
      <c r="L114" s="181" t="inlineStr">
        <is>
          <t>compound_level</t>
        </is>
      </c>
      <c r="M114" s="181" t="inlineStr">
        <is>
          <t>https://plants.sc.egov.usda.gov/home/search?query=Sanguinaria%20canadensis | https://pubchem.ncbi.nlm.nih.gov/#query=chelerythrine</t>
        </is>
      </c>
      <c r="N114" s="181" t="inlineStr">
        <is>
          <t>inferred_plus_trusted_gov</t>
        </is>
      </c>
      <c r="O114" s="181" t="inlineStr">
        <is>
          <t>scientific name; PubChem compound page (NIH); USDA Plants database</t>
        </is>
      </c>
      <c r="P114" s="181" t="str"/>
      <c r="Q114" s="181" t="inlineStr">
        <is>
          <t>sanguinaria-canadensis</t>
        </is>
      </c>
      <c r="R114" s="181" t="n">
        <v>1</v>
      </c>
      <c r="S114" s="181" t="inlineStr">
        <is>
          <t>Yes</t>
        </is>
      </c>
      <c r="T114" s="181" t="inlineStr">
        <is>
          <t>Integrated from cleaned high-signal dataset</t>
        </is>
      </c>
    </row>
    <row r="115">
      <c r="A115" s="181" t="inlineStr">
        <is>
          <t>chelidonine</t>
        </is>
      </c>
      <c r="B115" s="181" t="inlineStr">
        <is>
          <t>chelidonine</t>
        </is>
      </c>
      <c r="C115" s="181" t="str"/>
      <c r="D115" s="181" t="inlineStr">
        <is>
          <t>Chelidonine, berberine, alkaloids</t>
        </is>
      </c>
      <c r="E115" s="181" t="inlineStr">
        <is>
          <t>insufficient evidence</t>
        </is>
      </c>
      <c r="F115" s="181" t="inlineStr">
        <is>
          <t>multi-target signaling modulation</t>
        </is>
      </c>
      <c r="G115" s="181" t="inlineStr">
        <is>
          <t>general or unknown targets</t>
        </is>
      </c>
      <c r="H115" s="181" t="inlineStr">
        <is>
          <t>Oral/topical; cholagogue and antiviral</t>
        </is>
      </c>
      <c r="I115" s="181" t="inlineStr">
        <is>
          <t>low</t>
        </is>
      </c>
      <c r="J115" s="181" t="inlineStr">
        <is>
          <t>no well-documented interactions</t>
        </is>
      </c>
      <c r="K115" s="181" t="str"/>
      <c r="L115" s="181" t="inlineStr">
        <is>
          <t>compound_level</t>
        </is>
      </c>
      <c r="M115" s="181" t="inlineStr">
        <is>
          <t>https://plants.sc.egov.usda.gov/home/search?query=Chelidonium%20majus | https://pubchem.ncbi.nlm.nih.gov/#query=chelidonine</t>
        </is>
      </c>
      <c r="N115" s="181" t="inlineStr">
        <is>
          <t>inferred_plus_trusted_gov</t>
        </is>
      </c>
      <c r="O115" s="181" t="inlineStr">
        <is>
          <t>scientific name; PubChem compound page (NIH); USDA Plants database</t>
        </is>
      </c>
      <c r="P115" s="181" t="str"/>
      <c r="Q115" s="181" t="inlineStr">
        <is>
          <t>chelidonium-majus</t>
        </is>
      </c>
      <c r="R115" s="181" t="n">
        <v>1</v>
      </c>
      <c r="S115" s="181" t="inlineStr">
        <is>
          <t>Yes</t>
        </is>
      </c>
      <c r="T115" s="181" t="inlineStr">
        <is>
          <t>Integrated from cleaned high-signal dataset</t>
        </is>
      </c>
    </row>
    <row r="116">
      <c r="A116" s="181" t="inlineStr">
        <is>
          <t>chlorogenic acid</t>
        </is>
      </c>
      <c r="B116" s="181" t="inlineStr">
        <is>
          <t>chlorogenic acid</t>
        </is>
      </c>
      <c r="C116" s="181" t="str"/>
      <c r="D116" s="181" t="inlineStr">
        <is>
          <t>flavonoids; triterpenes</t>
        </is>
      </c>
      <c r="E116" s="181" t="inlineStr">
        <is>
          <t>insufficient evidence</t>
        </is>
      </c>
      <c r="F116" s="181" t="inlineStr">
        <is>
          <t>multi-target signaling modulation</t>
        </is>
      </c>
      <c r="G116" s="181" t="inlineStr">
        <is>
          <t>general or unknown targets</t>
        </is>
      </c>
      <c r="H116" s="181" t="inlineStr">
        <is>
          <t>Absorption and bioavailability vary; some compounds metabolized via cytochrome P450 enzymes.</t>
        </is>
      </c>
      <c r="I116" s="181" t="inlineStr">
        <is>
          <t>low</t>
        </is>
      </c>
      <c r="J116" s="181" t="inlineStr">
        <is>
          <t>no well-documented interactions</t>
        </is>
      </c>
      <c r="K116" s="181" t="str"/>
      <c r="L116" s="181" t="inlineStr">
        <is>
          <t>compound_level</t>
        </is>
      </c>
      <c r="M116" s="181" t="inlineStr">
        <is>
          <t>https://plants.sc.egov.usda.gov/home/search?query=Cecropia%20peltata | https://plants.sc.egov.usda.gov/home/search?query=Lonicera%20japonica | https://plants.sc.egov.usda.gov/home/search?query=Moringa%20oleifera | https://pubchem.ncbi.nlm.nih.gov/#query=chlorogenic%20acid</t>
        </is>
      </c>
      <c r="N116" s="181" t="inlineStr">
        <is>
          <t>inferred_plus_trusted_gov</t>
        </is>
      </c>
      <c r="O116" s="181" t="inlineStr">
        <is>
          <t>scientific name; PubChem compound page (NIH); USDA Plants database</t>
        </is>
      </c>
      <c r="P116" s="181" t="str"/>
      <c r="Q116" s="181" t="inlineStr">
        <is>
          <t>cecropia-peltata; lonicera-japonica; moringa-oleifera</t>
        </is>
      </c>
      <c r="R116" s="181" t="n">
        <v>3</v>
      </c>
      <c r="S116" s="181" t="inlineStr">
        <is>
          <t>Yes</t>
        </is>
      </c>
      <c r="T116" s="181" t="inlineStr">
        <is>
          <t>Integrated from cleaned high-signal dataset</t>
        </is>
      </c>
    </row>
    <row r="117">
      <c r="A117" s="181" t="inlineStr">
        <is>
          <t>choline</t>
        </is>
      </c>
      <c r="B117" s="181" t="inlineStr">
        <is>
          <t>choline</t>
        </is>
      </c>
      <c r="C117" s="181" t="str"/>
      <c r="D117" s="181" t="inlineStr">
        <is>
          <t>essential nutrient</t>
        </is>
      </c>
      <c r="E117" s="181" t="inlineStr">
        <is>
          <t>Precursor for acetylcholine synthesis and phosphatidylcholine membrane formation; involved in methyl-group metabolism.</t>
        </is>
      </c>
      <c r="F117" s="181" t="inlineStr">
        <is>
          <t>multi-target signaling modulation</t>
        </is>
      </c>
      <c r="G117" s="181" t="inlineStr">
        <is>
          <t>Acetylcholine synthesis pathway; Methylation pathways; Phospholipid metabolism; general or unknown targets</t>
        </is>
      </c>
      <c r="H117" s="181" t="inlineStr">
        <is>
          <t>Absorbed in intestine; metabolized to betaine.</t>
        </is>
      </c>
      <c r="I117" s="181" t="inlineStr">
        <is>
          <t>Excess intake can cause hypotension, sweating, and fishy body odor.</t>
        </is>
      </c>
      <c r="J117" s="181" t="inlineStr">
        <is>
          <t>Anticholinergic drugs (functional opposition ↓ effect).</t>
        </is>
      </c>
      <c r="K117" s="181" t="inlineStr">
        <is>
          <t>high</t>
        </is>
      </c>
      <c r="L117" s="181" t="inlineStr">
        <is>
          <t>Batch10</t>
        </is>
      </c>
      <c r="M117" s="181" t="inlineStr">
        <is>
          <t>https://plants.sc.egov.usda.gov/home/search?query=Capsella%20bursa-pastoris | https://pubchem.ncbi.nlm.nih.gov/#query=choline</t>
        </is>
      </c>
      <c r="N117" s="181" t="inlineStr">
        <is>
          <t>inferred_plus_trusted_gov</t>
        </is>
      </c>
      <c r="O117" s="181" t="inlineStr">
        <is>
          <t>scientific name; PubChem compound page (NIH); USDA Plants database</t>
        </is>
      </c>
      <c r="P117" s="181" t="inlineStr">
        <is>
          <t>manual_batch10</t>
        </is>
      </c>
      <c r="Q117" s="181" t="inlineStr">
        <is>
          <t>capsella-bursa-pastoris</t>
        </is>
      </c>
      <c r="R117" s="181" t="n">
        <v>1</v>
      </c>
      <c r="S117" s="181" t="inlineStr">
        <is>
          <t>Yes</t>
        </is>
      </c>
      <c r="T117" s="181" t="inlineStr">
        <is>
          <t>Integrated from cleaned high-signal dataset; Integrated from compound monograph workbook</t>
        </is>
      </c>
    </row>
    <row r="118">
      <c r="A118" s="181" t="inlineStr">
        <is>
          <t>chrysoeriol</t>
        </is>
      </c>
      <c r="B118" s="181" t="inlineStr">
        <is>
          <t>chrysoeriol</t>
        </is>
      </c>
      <c r="C118" s="181" t="str"/>
      <c r="D118" s="181" t="inlineStr">
        <is>
          <t>other</t>
        </is>
      </c>
      <c r="E118" s="181" t="inlineStr">
        <is>
          <t>insufficient evidence</t>
        </is>
      </c>
      <c r="F118" s="181" t="inlineStr">
        <is>
          <t>muscarinic receptor interaction</t>
        </is>
      </c>
      <c r="G118" s="181" t="inlineStr">
        <is>
          <t>cholinergic_modulation</t>
        </is>
      </c>
      <c r="H118" s="181" t="inlineStr">
        <is>
          <t>rapid systemic absorption; crosses BBB; hepatic metabolism</t>
        </is>
      </c>
      <c r="I118" s="181" t="inlineStr">
        <is>
          <t>low</t>
        </is>
      </c>
      <c r="J118" s="181" t="inlineStr">
        <is>
          <t>no well-documented interactions</t>
        </is>
      </c>
      <c r="K118" s="181" t="str"/>
      <c r="L118" s="181" t="inlineStr">
        <is>
          <t>compound_level</t>
        </is>
      </c>
      <c r="M118" s="181" t="inlineStr">
        <is>
          <t>https://plants.sc.egov.usda.gov/home/search?query=amorpha%20fruticosa | https://pubchem.ncbi.nlm.nih.gov/#query=chrysoeriol</t>
        </is>
      </c>
      <c r="N118" s="181" t="inlineStr">
        <is>
          <t>trusted_gov_added</t>
        </is>
      </c>
      <c r="O118" s="181" t="inlineStr">
        <is>
          <t>PubChem compound page (NIH); USDA Plants database</t>
        </is>
      </c>
      <c r="P118" s="181" t="str"/>
      <c r="Q118" s="181" t="inlineStr">
        <is>
          <t>amorpha-fruticosa</t>
        </is>
      </c>
      <c r="R118" s="181" t="n">
        <v>1</v>
      </c>
      <c r="S118" s="181" t="inlineStr">
        <is>
          <t>Yes</t>
        </is>
      </c>
      <c r="T118" s="181" t="inlineStr">
        <is>
          <t>Integrated from cleaned high-signal dataset</t>
        </is>
      </c>
    </row>
    <row r="119">
      <c r="A119" s="181" t="inlineStr">
        <is>
          <t>chrysophanol</t>
        </is>
      </c>
      <c r="B119" s="181" t="inlineStr">
        <is>
          <t>chrysophanol</t>
        </is>
      </c>
      <c r="C119" s="181" t="str"/>
      <c r="D119" s="181" t="inlineStr">
        <is>
          <t>other</t>
        </is>
      </c>
      <c r="E119" s="181" t="inlineStr">
        <is>
          <t>insufficient evidence</t>
        </is>
      </c>
      <c r="F119" s="181" t="inlineStr">
        <is>
          <t>multi-target signaling modulation</t>
        </is>
      </c>
      <c r="G119" s="181" t="inlineStr">
        <is>
          <t>general or unknown targets</t>
        </is>
      </c>
      <c r="H119" s="181" t="inlineStr">
        <is>
          <t>Absorption and bioavailability vary; some compounds metabolized via cytochrome P450 enzymes.</t>
        </is>
      </c>
      <c r="I119" s="181" t="inlineStr">
        <is>
          <t>low</t>
        </is>
      </c>
      <c r="J119" s="181" t="inlineStr">
        <is>
          <t>no well-documented interactions</t>
        </is>
      </c>
      <c r="K119" s="181" t="str"/>
      <c r="L119" s="181" t="inlineStr">
        <is>
          <t>compound_level</t>
        </is>
      </c>
      <c r="M119" s="181" t="inlineStr">
        <is>
          <t>https://plants.sc.egov.usda.gov/home/search?query=Cassia%20alata | https://plants.sc.egov.usda.gov/home/search?query=Rheum%20palmatum | https://pubchem.ncbi.nlm.nih.gov/#query=chrysophanol</t>
        </is>
      </c>
      <c r="N119" s="181" t="inlineStr">
        <is>
          <t>inferred_plus_trusted_gov</t>
        </is>
      </c>
      <c r="O119" s="181" t="inlineStr">
        <is>
          <t>scientific name; PubChem compound page (NIH); USDA Plants database</t>
        </is>
      </c>
      <c r="P119" s="181" t="str"/>
      <c r="Q119" s="181" t="inlineStr">
        <is>
          <t>cassia-alata; rheum-palmatum</t>
        </is>
      </c>
      <c r="R119" s="181" t="n">
        <v>2</v>
      </c>
      <c r="S119" s="181" t="inlineStr">
        <is>
          <t>Yes</t>
        </is>
      </c>
      <c r="T119" s="181" t="inlineStr">
        <is>
          <t>Integrated from cleaned high-signal dataset</t>
        </is>
      </c>
    </row>
    <row r="120">
      <c r="A120" s="181" t="inlineStr">
        <is>
          <t>chymopapain</t>
        </is>
      </c>
      <c r="B120" s="181" t="inlineStr">
        <is>
          <t>chymopapain</t>
        </is>
      </c>
      <c r="C120" s="181" t="str"/>
      <c r="D120" s="181" t="inlineStr">
        <is>
          <t>other</t>
        </is>
      </c>
      <c r="E120" s="181" t="inlineStr">
        <is>
          <t>insufficient evidence</t>
        </is>
      </c>
      <c r="F120" s="181" t="inlineStr">
        <is>
          <t>multi-target signaling modulation</t>
        </is>
      </c>
      <c r="G120" s="181" t="inlineStr">
        <is>
          <t>general or unknown targets</t>
        </is>
      </c>
      <c r="H120" s="181" t="inlineStr">
        <is>
          <t>moderate absorption; hepatic metabolism</t>
        </is>
      </c>
      <c r="I120" s="181" t="inlineStr">
        <is>
          <t>low</t>
        </is>
      </c>
      <c r="J120" s="181" t="inlineStr">
        <is>
          <t>no well-documented interactions</t>
        </is>
      </c>
      <c r="K120" s="181" t="str"/>
      <c r="L120" s="181" t="inlineStr">
        <is>
          <t>compound_level</t>
        </is>
      </c>
      <c r="M120" s="181" t="inlineStr">
        <is>
          <t>https://plants.sc.egov.usda.gov/home/search?query=carica%20papaya | https://pubchem.ncbi.nlm.nih.gov/#query=chymopapain</t>
        </is>
      </c>
      <c r="N120" s="181" t="inlineStr">
        <is>
          <t>trusted_gov_added</t>
        </is>
      </c>
      <c r="O120" s="181" t="inlineStr">
        <is>
          <t>PubChem compound page (NIH); USDA Plants database</t>
        </is>
      </c>
      <c r="P120" s="181" t="str"/>
      <c r="Q120" s="181" t="inlineStr">
        <is>
          <t>carica-papaya</t>
        </is>
      </c>
      <c r="R120" s="181" t="n">
        <v>1</v>
      </c>
      <c r="S120" s="181" t="inlineStr">
        <is>
          <t>Yes</t>
        </is>
      </c>
      <c r="T120" s="181" t="inlineStr">
        <is>
          <t>Integrated from cleaned high-signal dataset</t>
        </is>
      </c>
    </row>
    <row r="121">
      <c r="A121" s="181" t="inlineStr">
        <is>
          <t>cineole</t>
        </is>
      </c>
      <c r="B121" s="181" t="inlineStr">
        <is>
          <t>cineole</t>
        </is>
      </c>
      <c r="C121" s="181" t="str"/>
      <c r="D121" s="181" t="inlineStr">
        <is>
          <t>other</t>
        </is>
      </c>
      <c r="E121" s="181" t="inlineStr">
        <is>
          <t>insufficient evidence</t>
        </is>
      </c>
      <c r="F121" s="181" t="inlineStr">
        <is>
          <t>multi-target signaling modulation</t>
        </is>
      </c>
      <c r="G121" s="181" t="inlineStr">
        <is>
          <t>general or unknown targets</t>
        </is>
      </c>
      <c r="H121" s="181" t="inlineStr">
        <is>
          <t>Absorption and bioavailability vary; some compounds metabolized via cytochrome P450 enzymes.</t>
        </is>
      </c>
      <c r="I121" s="181" t="inlineStr">
        <is>
          <t>low</t>
        </is>
      </c>
      <c r="J121" s="181" t="inlineStr">
        <is>
          <t>no well-documented interactions</t>
        </is>
      </c>
      <c r="K121" s="181" t="str"/>
      <c r="L121" s="181" t="inlineStr">
        <is>
          <t>compound_level</t>
        </is>
      </c>
      <c r="M121" s="181" t="inlineStr">
        <is>
          <t>https://plants.sc.egov.usda.gov/home/search?query=Artemisia%20judaica | https://plants.sc.egov.usda.gov/home/search?query=Artemisia%20vulgaris | https://plants.sc.egov.usda.gov/home/search?query=Laurus%20nobilis | https://plants.sc.egov.usda.gov/home/search?query=Melaleuca%20alternifolia | https://plants.sc.egov.usda.gov/home/search?query=Rosmarinus%20officinalis | https://plants.sc.egov.usda.gov/home/search?query=Salvia%20officinalis | https://pubchem.ncbi.nlm.nih.gov/#query=cineole</t>
        </is>
      </c>
      <c r="N121" s="181" t="inlineStr">
        <is>
          <t>inferred_plus_trusted_gov</t>
        </is>
      </c>
      <c r="O121" s="181" t="inlineStr">
        <is>
          <t>scientific name; PubChem compound page (NIH); USDA Plants database</t>
        </is>
      </c>
      <c r="P121" s="181" t="str"/>
      <c r="Q121" s="181" t="inlineStr">
        <is>
          <t>artemisia-judaica; artemisia-vulgaris; laurus-nobilis; melaleuca-alternifolia; rosmarinus-officinalis; salvia-officinalis</t>
        </is>
      </c>
      <c r="R121" s="181" t="n">
        <v>6</v>
      </c>
      <c r="S121" s="181" t="inlineStr">
        <is>
          <t>Yes</t>
        </is>
      </c>
      <c r="T121" s="181" t="inlineStr">
        <is>
          <t>Integrated from cleaned high-signal dataset</t>
        </is>
      </c>
    </row>
    <row r="122">
      <c r="A122" s="181" t="inlineStr">
        <is>
          <t>cinnamaldehyde</t>
        </is>
      </c>
      <c r="B122" s="181" t="inlineStr">
        <is>
          <t>cinnamaldehyde</t>
        </is>
      </c>
      <c r="C122" s="181" t="str"/>
      <c r="D122" s="181" t="inlineStr">
        <is>
          <t>Cinnamaldehyde, eugenol, coumarin (low)</t>
        </is>
      </c>
      <c r="E122" s="181" t="inlineStr">
        <is>
          <t>insufficient evidence</t>
        </is>
      </c>
      <c r="F122" s="181" t="inlineStr">
        <is>
          <t>multi-target signaling modulation</t>
        </is>
      </c>
      <c r="G122" s="181" t="inlineStr">
        <is>
          <t>general or unknown targets</t>
        </is>
      </c>
      <c r="H122" s="181" t="inlineStr">
        <is>
          <t>Oral; insulin sensitizer and carminative</t>
        </is>
      </c>
      <c r="I122" s="181" t="inlineStr">
        <is>
          <t>low</t>
        </is>
      </c>
      <c r="J122" s="181" t="inlineStr">
        <is>
          <t>no well-documented interactions</t>
        </is>
      </c>
      <c r="K122" s="181" t="str"/>
      <c r="L122" s="181" t="inlineStr">
        <is>
          <t>compound_level</t>
        </is>
      </c>
      <c r="M122" s="181" t="inlineStr">
        <is>
          <t>https://plants.sc.egov.usda.gov/home/search?query=Cinnamomum%20verum | https://pubchem.ncbi.nlm.nih.gov/#query=cinnamaldehyde</t>
        </is>
      </c>
      <c r="N122" s="181" t="inlineStr">
        <is>
          <t>inferred_plus_trusted_gov</t>
        </is>
      </c>
      <c r="O122" s="181" t="inlineStr">
        <is>
          <t>scientific name; PubChem compound page (NIH); USDA Plants database</t>
        </is>
      </c>
      <c r="P122" s="181" t="str"/>
      <c r="Q122" s="181" t="inlineStr">
        <is>
          <t>cinnamomum-verum</t>
        </is>
      </c>
      <c r="R122" s="181" t="n">
        <v>1</v>
      </c>
      <c r="S122" s="181" t="inlineStr">
        <is>
          <t>Yes</t>
        </is>
      </c>
      <c r="T122" s="181" t="inlineStr">
        <is>
          <t>Integrated from cleaned high-signal dataset</t>
        </is>
      </c>
    </row>
    <row r="123">
      <c r="A123" s="181" t="inlineStr">
        <is>
          <t>cinnamoylcocaine</t>
        </is>
      </c>
      <c r="B123" s="181" t="inlineStr">
        <is>
          <t>cinnamoylcocaine</t>
        </is>
      </c>
      <c r="C123" s="181" t="str"/>
      <c r="D123" s="181" t="inlineStr">
        <is>
          <t>other</t>
        </is>
      </c>
      <c r="E123" s="181" t="inlineStr">
        <is>
          <t>insufficient evidence</t>
        </is>
      </c>
      <c r="F123" s="181" t="inlineStr">
        <is>
          <t>multi-target signaling modulation</t>
        </is>
      </c>
      <c r="G123" s="181" t="inlineStr">
        <is>
          <t>dopaminergic_modulation; general or unknown targets</t>
        </is>
      </c>
      <c r="H123" s="181" t="inlineStr">
        <is>
          <t>moderate absorption; hepatic metabolism</t>
        </is>
      </c>
      <c r="I123" s="181" t="inlineStr">
        <is>
          <t>low</t>
        </is>
      </c>
      <c r="J123" s="181" t="inlineStr">
        <is>
          <t>no well-documented interactions</t>
        </is>
      </c>
      <c r="K123" s="181" t="str"/>
      <c r="L123" s="181" t="inlineStr">
        <is>
          <t>compound_level</t>
        </is>
      </c>
      <c r="M123" s="181" t="inlineStr">
        <is>
          <t>https://plants.sc.egov.usda.gov/home/search?query=Erythroxylum%20novogranatense | https://plants.sc.egov.usda.gov/home/search?query=erythroxylum%20coca | https://pubchem.ncbi.nlm.nih.gov/#query=cinnamoylcocaine</t>
        </is>
      </c>
      <c r="N123" s="181" t="inlineStr">
        <is>
          <t>inferred_plus_trusted_gov; trusted_gov_added</t>
        </is>
      </c>
      <c r="O123" s="181" t="inlineStr">
        <is>
          <t>PubChem compound page (NIH); USDA Plants database; scientific name; PubChem compound page (NIH); USDA Plants database</t>
        </is>
      </c>
      <c r="P123" s="181" t="str"/>
      <c r="Q123" s="181" t="inlineStr">
        <is>
          <t>erythroxylum-coca; erythroxylum-novogranatense</t>
        </is>
      </c>
      <c r="R123" s="181" t="n">
        <v>2</v>
      </c>
      <c r="S123" s="181" t="inlineStr">
        <is>
          <t>Yes</t>
        </is>
      </c>
      <c r="T123" s="181" t="inlineStr">
        <is>
          <t>Integrated from cleaned high-signal dataset</t>
        </is>
      </c>
    </row>
    <row r="124">
      <c r="A124" s="181" t="inlineStr">
        <is>
          <t>cis-cinnamoylcocaine</t>
        </is>
      </c>
      <c r="B124" s="181" t="inlineStr">
        <is>
          <t>cis-cinnamoylcocaine</t>
        </is>
      </c>
      <c r="C124" s="181" t="str"/>
      <c r="D124" s="181" t="inlineStr">
        <is>
          <t>other</t>
        </is>
      </c>
      <c r="E124" s="181" t="inlineStr">
        <is>
          <t>insufficient evidence</t>
        </is>
      </c>
      <c r="F124" s="181" t="inlineStr">
        <is>
          <t>multi-target signaling modulation</t>
        </is>
      </c>
      <c r="G124" s="181" t="inlineStr">
        <is>
          <t>dopaminergic_modulation</t>
        </is>
      </c>
      <c r="H124" s="181" t="inlineStr">
        <is>
          <t>moderate absorption; hepatic metabolism</t>
        </is>
      </c>
      <c r="I124" s="181" t="inlineStr">
        <is>
          <t>low</t>
        </is>
      </c>
      <c r="J124" s="181" t="inlineStr">
        <is>
          <t>no well-documented interactions</t>
        </is>
      </c>
      <c r="K124" s="181" t="str"/>
      <c r="L124" s="181" t="inlineStr">
        <is>
          <t>compound_level</t>
        </is>
      </c>
      <c r="M124" s="181" t="inlineStr">
        <is>
          <t>https://plants.sc.egov.usda.gov/home/search?query=coca | https://plants.sc.egov.usda.gov/home/search?query=coca%20leaf | https://pubchem.ncbi.nlm.nih.gov/#query=cis-cinnamoylcocaine</t>
        </is>
      </c>
      <c r="N124" s="181" t="inlineStr">
        <is>
          <t>trusted_gov_added</t>
        </is>
      </c>
      <c r="O124" s="181" t="inlineStr">
        <is>
          <t>PubChem compound page (NIH); USDA Plants database</t>
        </is>
      </c>
      <c r="P124" s="181" t="str"/>
      <c r="Q124" s="181" t="inlineStr">
        <is>
          <t>coca; coca-leaf</t>
        </is>
      </c>
      <c r="R124" s="181" t="n">
        <v>2</v>
      </c>
      <c r="S124" s="181" t="inlineStr">
        <is>
          <t>Yes</t>
        </is>
      </c>
      <c r="T124" s="181" t="inlineStr">
        <is>
          <t>Integrated from cleaned high-signal dataset</t>
        </is>
      </c>
    </row>
    <row r="125">
      <c r="A125" s="181" t="inlineStr">
        <is>
          <t>citicoline cdp-choline</t>
        </is>
      </c>
      <c r="B125" s="181" t="inlineStr">
        <is>
          <t>citicoline (CDP-choline)</t>
        </is>
      </c>
      <c r="C125" s="181" t="str"/>
      <c r="D125" s="181" t="inlineStr">
        <is>
          <t>endogenous nucleotide derivative</t>
        </is>
      </c>
      <c r="E125" s="181" t="inlineStr">
        <is>
          <t>Choline donor and cytidine-containing intermediate in phosphatidylcholine synthesis that supports acetylcholine precursor biology and membrane phospholipid turnover.</t>
        </is>
      </c>
      <c r="F125" s="181" t="str"/>
      <c r="G125" s="181" t="inlineStr">
        <is>
          <t>Kennedy pathway / phosphatidylcholine biosynthesis; acetylcholine precursor biology; membrane phospholipid turnover</t>
        </is>
      </c>
      <c r="H125" s="181" t="inlineStr">
        <is>
          <t>Orally absorbed and hydrolyzed to choline and cytidine/uridine-related metabolites before resynthesis in tissues; human exposure reflects metabolite handling more than intact circulating CDP-choline.</t>
        </is>
      </c>
      <c r="I125" s="181" t="inlineStr">
        <is>
          <t>Generally well tolerated in clinical studies; GI upset, headache, insomnia, or restlessness can occur. Keep cholinergic-overlap caution conservative rather than overstated.</t>
        </is>
      </c>
      <c r="J125" s="181" t="inlineStr">
        <is>
          <t>Anticholinergic drugs (functional opposition to cholinergic support); cholinergic drugs / acetylcholinesterase inhibitors (possible additive cholinergic effects).</t>
        </is>
      </c>
      <c r="K125" s="181" t="inlineStr">
        <is>
          <t>High</t>
        </is>
      </c>
      <c r="L125" s="181" t="inlineStr">
        <is>
          <t>mixed</t>
        </is>
      </c>
      <c r="M125" s="181" t="inlineStr">
        <is>
          <t>https://pubchem.ncbi.nlm.nih.gov/compound/Citicoline | https://pubmed.ncbi.nlm.nih.gov/18087675/ | https://pubmed.ncbi.nlm.nih.gov/8709678/</t>
        </is>
      </c>
      <c r="N125" s="181" t="str"/>
      <c r="O125" s="181" t="str"/>
      <c r="P125" s="181" t="inlineStr">
        <is>
          <t>Batch12_cholinergic_cognition_2026-04-07</t>
        </is>
      </c>
      <c r="Q125" s="181" t="str"/>
      <c r="R125" s="181" t="n">
        <v>0</v>
      </c>
      <c r="S125" s="181" t="inlineStr">
        <is>
          <t>No</t>
        </is>
      </c>
      <c r="T125" s="181" t="inlineStr">
        <is>
          <t>Integrated from compound monograph workbook</t>
        </is>
      </c>
    </row>
    <row r="126">
      <c r="A126" s="181" t="inlineStr">
        <is>
          <t>citral</t>
        </is>
      </c>
      <c r="B126" s="181" t="inlineStr">
        <is>
          <t>citral</t>
        </is>
      </c>
      <c r="C126" s="181" t="str"/>
      <c r="D126" s="181" t="inlineStr">
        <is>
          <t>monoterpenoid aldehyde</t>
        </is>
      </c>
      <c r="E126" s="181" t="inlineStr">
        <is>
          <t>Preclinical work supports TRP-channel-linked nociception modulation and anti-inflammatory cytokine reduction.</t>
        </is>
      </c>
      <c r="F126" s="181" t="inlineStr">
        <is>
          <t>GABAergic modulation; multi-target signaling modulation</t>
        </is>
      </c>
      <c r="G126" s="181" t="inlineStr">
        <is>
          <t>TNF-a reduction; TRPM3 modulation; TRPM8 modulation; TRPV1 modulation; gabaergic_modulation; general or unknown targets</t>
        </is>
      </c>
      <c r="H126" s="181" t="inlineStr">
        <is>
          <t>Human PK profile not locked in this pass; keep PK claims minimal.</t>
        </is>
      </c>
      <c r="I126" s="181" t="inlineStr">
        <is>
          <t>Irritation/sensitization potential is the main safety watchout.</t>
        </is>
      </c>
      <c r="J126" s="181" t="inlineStr">
        <is>
          <t>Potential additive irritation with other pungent/counterirritant agents; no strong clinical DDI retained in this pass.</t>
        </is>
      </c>
      <c r="K126" s="181" t="inlineStr">
        <is>
          <t>moderate</t>
        </is>
      </c>
      <c r="L126" s="181" t="inlineStr">
        <is>
          <t>Sprint3</t>
        </is>
      </c>
      <c r="M126" s="181" t="inlineStr">
        <is>
          <t>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t>
        </is>
      </c>
      <c r="N126" s="181" t="inlineStr">
        <is>
          <t>inferred_plus_trusted_gov; trusted_gov_added</t>
        </is>
      </c>
      <c r="O126" s="181" t="inlineStr">
        <is>
          <t>PubChem compound page (NIH); USDA Plants database; scientific name; PubChem compound page (NIH); USDA Plants database</t>
        </is>
      </c>
      <c r="P126" s="181" t="inlineStr">
        <is>
          <t>precision_monographs_sprint3.xlsx</t>
        </is>
      </c>
      <c r="Q126" s="181" t="inlineStr">
        <is>
          <t>cymbopogon-citratus; lippia-alba; melissa-officinalis; melissa-officinalis-lemon-balm</t>
        </is>
      </c>
      <c r="R126" s="181" t="n">
        <v>4</v>
      </c>
      <c r="S126" s="181" t="inlineStr">
        <is>
          <t>Yes</t>
        </is>
      </c>
      <c r="T126" s="181" t="inlineStr">
        <is>
          <t>Integrated from cleaned high-signal dataset; Integrated from compound monograph workbook</t>
        </is>
      </c>
    </row>
    <row r="127">
      <c r="A127" s="181" t="inlineStr">
        <is>
          <t>citric acid</t>
        </is>
      </c>
      <c r="B127" s="181" t="inlineStr">
        <is>
          <t>citric acid</t>
        </is>
      </c>
      <c r="C127" s="181" t="str"/>
      <c r="D127" s="181" t="inlineStr">
        <is>
          <t>Limonene, flavonoids, citric acid</t>
        </is>
      </c>
      <c r="E127" s="181" t="inlineStr">
        <is>
          <t>insufficient evidence</t>
        </is>
      </c>
      <c r="F127" s="181" t="inlineStr">
        <is>
          <t>multi-target signaling modulation</t>
        </is>
      </c>
      <c r="G127" s="181" t="inlineStr">
        <is>
          <t>general or unknown targets</t>
        </is>
      </c>
      <c r="H127" s="181" t="inlineStr">
        <is>
          <t>Oral; alkalizing and liver supportive</t>
        </is>
      </c>
      <c r="I127" s="181" t="inlineStr">
        <is>
          <t>low</t>
        </is>
      </c>
      <c r="J127" s="181" t="inlineStr">
        <is>
          <t>no well-documented interactions</t>
        </is>
      </c>
      <c r="K127" s="181" t="str"/>
      <c r="L127" s="181" t="inlineStr">
        <is>
          <t>compound_level</t>
        </is>
      </c>
      <c r="M127" s="181" t="inlineStr">
        <is>
          <t>https://plants.sc.egov.usda.gov/home/search?query=Citrus%20limon | https://pubchem.ncbi.nlm.nih.gov/#query=citric%20acid</t>
        </is>
      </c>
      <c r="N127" s="181" t="inlineStr">
        <is>
          <t>inferred_plus_trusted_gov</t>
        </is>
      </c>
      <c r="O127" s="181" t="inlineStr">
        <is>
          <t>scientific name; PubChem compound page (NIH); USDA Plants database</t>
        </is>
      </c>
      <c r="P127" s="181" t="str"/>
      <c r="Q127" s="181" t="inlineStr">
        <is>
          <t>citrus-limon</t>
        </is>
      </c>
      <c r="R127" s="181" t="n">
        <v>1</v>
      </c>
      <c r="S127" s="181" t="inlineStr">
        <is>
          <t>Yes</t>
        </is>
      </c>
      <c r="T127" s="181" t="inlineStr">
        <is>
          <t>Integrated from cleaned high-signal dataset</t>
        </is>
      </c>
    </row>
    <row r="128">
      <c r="A128" s="181" t="inlineStr">
        <is>
          <t>citronellal</t>
        </is>
      </c>
      <c r="B128" s="181" t="inlineStr">
        <is>
          <t>citronellal</t>
        </is>
      </c>
      <c r="C128" s="181" t="str"/>
      <c r="D128" s="181" t="inlineStr">
        <is>
          <t>other</t>
        </is>
      </c>
      <c r="E128" s="181" t="inlineStr">
        <is>
          <t>insufficient evidence</t>
        </is>
      </c>
      <c r="F128" s="181" t="inlineStr">
        <is>
          <t>GABAergic modulation</t>
        </is>
      </c>
      <c r="G128" s="181" t="inlineStr">
        <is>
          <t>gabaergic_modulation</t>
        </is>
      </c>
      <c r="H128" s="181" t="inlineStr">
        <is>
          <t>moderate absorption; hepatic metabolism</t>
        </is>
      </c>
      <c r="I128" s="181" t="inlineStr">
        <is>
          <t>low</t>
        </is>
      </c>
      <c r="J128" s="181" t="inlineStr">
        <is>
          <t>no well-documented interactions</t>
        </is>
      </c>
      <c r="K128" s="181" t="str"/>
      <c r="L128" s="181" t="inlineStr">
        <is>
          <t>compound_level</t>
        </is>
      </c>
      <c r="M128" s="181" t="inlineStr">
        <is>
          <t>https://plants.sc.egov.usda.gov/home/search?query=Melissa%20Officinalis | https://plants.sc.egov.usda.gov/home/search?query=lemon%20balm | https://pubchem.ncbi.nlm.nih.gov/#query=citronellal</t>
        </is>
      </c>
      <c r="N128" s="181" t="inlineStr">
        <is>
          <t>trusted_gov_added</t>
        </is>
      </c>
      <c r="O128" s="181" t="inlineStr">
        <is>
          <t>PubChem compound page (NIH); USDA Plants database</t>
        </is>
      </c>
      <c r="P128" s="181" t="str"/>
      <c r="Q128" s="181" t="inlineStr">
        <is>
          <t>melissa-officinalis; melissa-officinalis-lemon-balm</t>
        </is>
      </c>
      <c r="R128" s="181" t="n">
        <v>2</v>
      </c>
      <c r="S128" s="181" t="inlineStr">
        <is>
          <t>Yes</t>
        </is>
      </c>
      <c r="T128" s="181" t="inlineStr">
        <is>
          <t>Integrated from cleaned high-signal dataset</t>
        </is>
      </c>
    </row>
    <row r="129">
      <c r="A129" s="181" t="inlineStr">
        <is>
          <t>cocaine</t>
        </is>
      </c>
      <c r="B129" s="181" t="inlineStr">
        <is>
          <t>cocaine</t>
        </is>
      </c>
      <c r="C129" s="181" t="str"/>
      <c r="D129" s="181" t="inlineStr">
        <is>
          <t>other</t>
        </is>
      </c>
      <c r="E129" s="181" t="inlineStr">
        <is>
          <t>insufficient evidence</t>
        </is>
      </c>
      <c r="F129" s="181" t="inlineStr">
        <is>
          <t>multi-target signaling modulation</t>
        </is>
      </c>
      <c r="G129" s="181" t="inlineStr">
        <is>
          <t>dopaminergic_modulation; general or unknown targets</t>
        </is>
      </c>
      <c r="H129" s="181" t="inlineStr">
        <is>
          <t>moderate absorption; hepatic metabolism</t>
        </is>
      </c>
      <c r="I129" s="181" t="inlineStr">
        <is>
          <t>low</t>
        </is>
      </c>
      <c r="J129" s="181" t="inlineStr">
        <is>
          <t>no well-documented interactions</t>
        </is>
      </c>
      <c r="K129" s="181" t="str"/>
      <c r="L129" s="181" t="inlineStr">
        <is>
          <t>compound_level</t>
        </is>
      </c>
      <c r="M129" s="181" t="inlineStr">
        <is>
          <t>https://plants.sc.egov.usda.gov/home/search?query=Erythroxylum%20novogranatense | https://plants.sc.egov.usda.gov/home/search?query=coca | https://plants.sc.egov.usda.gov/home/search?query=coca%20leaf | https://plants.sc.egov.usda.gov/home/search?query=erythroxylum%20coca | https://pubchem.ncbi.nlm.nih.gov/#query=cocaine</t>
        </is>
      </c>
      <c r="N129" s="181" t="inlineStr">
        <is>
          <t>inferred_plus_trusted_gov; trusted_gov_added</t>
        </is>
      </c>
      <c r="O129" s="181" t="inlineStr">
        <is>
          <t>PubChem compound page (NIH); USDA Plants database; scientific name; PubChem compound page (NIH); USDA Plants database</t>
        </is>
      </c>
      <c r="P129" s="181" t="str"/>
      <c r="Q129" s="181" t="inlineStr">
        <is>
          <t>coca; coca-leaf; erythroxylum-coca; erythroxylum-novogranatense</t>
        </is>
      </c>
      <c r="R129" s="181" t="n">
        <v>4</v>
      </c>
      <c r="S129" s="181" t="inlineStr">
        <is>
          <t>Yes</t>
        </is>
      </c>
      <c r="T129" s="181" t="inlineStr">
        <is>
          <t>Integrated from cleaned high-signal dataset</t>
        </is>
      </c>
    </row>
    <row r="130">
      <c r="A130" s="181" t="inlineStr">
        <is>
          <t>codeine</t>
        </is>
      </c>
      <c r="B130" s="181" t="inlineStr">
        <is>
          <t>codeine</t>
        </is>
      </c>
      <c r="C130" s="181" t="str"/>
      <c r="D130" s="181" t="inlineStr">
        <is>
          <t>other</t>
        </is>
      </c>
      <c r="E130" s="181" t="inlineStr">
        <is>
          <t>insufficient evidence</t>
        </is>
      </c>
      <c r="F130" s="181" t="inlineStr">
        <is>
          <t>multi-target signaling modulation</t>
        </is>
      </c>
      <c r="G130" s="181" t="inlineStr">
        <is>
          <t>general or unknown targets</t>
        </is>
      </c>
      <c r="H130" s="181" t="inlineStr">
        <is>
          <t>Oral/parenteral; CNS depressant and analgesic</t>
        </is>
      </c>
      <c r="I130" s="181" t="inlineStr">
        <is>
          <t>low</t>
        </is>
      </c>
      <c r="J130" s="181" t="inlineStr">
        <is>
          <t>no well-documented interactions</t>
        </is>
      </c>
      <c r="K130" s="181" t="str"/>
      <c r="L130" s="181" t="inlineStr">
        <is>
          <t>compound_level</t>
        </is>
      </c>
      <c r="M130" s="181" t="inlineStr">
        <is>
          <t>https://plants.sc.egov.usda.gov/home/search?query=Papaver%20somniferum | https://pubchem.ncbi.nlm.nih.gov/#query=codeine</t>
        </is>
      </c>
      <c r="N130" s="181" t="inlineStr">
        <is>
          <t>inferred_plus_trusted_gov</t>
        </is>
      </c>
      <c r="O130" s="181" t="inlineStr">
        <is>
          <t>scientific name; PubChem compound page (NIH); USDA Plants database</t>
        </is>
      </c>
      <c r="P130" s="181" t="str"/>
      <c r="Q130" s="181" t="inlineStr">
        <is>
          <t>papaver-somniferum</t>
        </is>
      </c>
      <c r="R130" s="181" t="n">
        <v>1</v>
      </c>
      <c r="S130" s="181" t="inlineStr">
        <is>
          <t>Yes</t>
        </is>
      </c>
      <c r="T130" s="181" t="inlineStr">
        <is>
          <t>Integrated from cleaned high-signal dataset</t>
        </is>
      </c>
    </row>
    <row r="131">
      <c r="A131" s="181" t="inlineStr">
        <is>
          <t>columbamine</t>
        </is>
      </c>
      <c r="B131" s="181" t="inlineStr">
        <is>
          <t>columbamine</t>
        </is>
      </c>
      <c r="C131" s="181" t="str"/>
      <c r="D131" s="181" t="inlineStr">
        <is>
          <t>protopine alkaloids</t>
        </is>
      </c>
      <c r="E131" s="181" t="inlineStr">
        <is>
          <t>insufficient evidence</t>
        </is>
      </c>
      <c r="F131" s="181" t="inlineStr">
        <is>
          <t>multi-target signaling modulation</t>
        </is>
      </c>
      <c r="G131" s="181" t="inlineStr">
        <is>
          <t>general or unknown targets</t>
        </is>
      </c>
      <c r="H131" s="181" t="inlineStr">
        <is>
          <t>good oral absorption; CNS penetration; hepatic metabolism</t>
        </is>
      </c>
      <c r="I131" s="181" t="inlineStr">
        <is>
          <t>low</t>
        </is>
      </c>
      <c r="J131" s="181" t="inlineStr">
        <is>
          <t>no well-documented interactions</t>
        </is>
      </c>
      <c r="K131" s="181" t="str"/>
      <c r="L131" s="181" t="inlineStr">
        <is>
          <t>compound_level</t>
        </is>
      </c>
      <c r="M131" s="181" t="inlineStr">
        <is>
          <t>https://plants.sc.egov.usda.gov/home/search?query=argemone%20mexicana | https://pubchem.ncbi.nlm.nih.gov/#query=columbamine</t>
        </is>
      </c>
      <c r="N131" s="181" t="inlineStr">
        <is>
          <t>trusted_gov_added</t>
        </is>
      </c>
      <c r="O131" s="181" t="inlineStr">
        <is>
          <t>PubChem compound page (NIH); USDA Plants database</t>
        </is>
      </c>
      <c r="P131" s="181" t="str"/>
      <c r="Q131" s="181" t="inlineStr">
        <is>
          <t>argemone-mexicana</t>
        </is>
      </c>
      <c r="R131" s="181" t="n">
        <v>1</v>
      </c>
      <c r="S131" s="181" t="inlineStr">
        <is>
          <t>Yes</t>
        </is>
      </c>
      <c r="T131" s="181" t="inlineStr">
        <is>
          <t>Integrated from cleaned high-signal dataset</t>
        </is>
      </c>
    </row>
    <row r="132">
      <c r="A132" s="181" t="inlineStr">
        <is>
          <t>conhydrine</t>
        </is>
      </c>
      <c r="B132" s="181" t="inlineStr">
        <is>
          <t>conhydrine</t>
        </is>
      </c>
      <c r="C132" s="181" t="str"/>
      <c r="D132" s="181" t="inlineStr">
        <is>
          <t>Coniine, conhydrine, piperidine alkaloids</t>
        </is>
      </c>
      <c r="E132" s="181" t="inlineStr">
        <is>
          <t>insufficient evidence</t>
        </is>
      </c>
      <c r="F132" s="181" t="inlineStr">
        <is>
          <t>multi-target signaling modulation</t>
        </is>
      </c>
      <c r="G132" s="181" t="inlineStr">
        <is>
          <t>general or unknown targets</t>
        </is>
      </c>
      <c r="H132" s="181" t="inlineStr">
        <is>
          <t>Topical/homeopathic; neurotoxin in crude form</t>
        </is>
      </c>
      <c r="I132" s="181" t="inlineStr">
        <is>
          <t>low</t>
        </is>
      </c>
      <c r="J132" s="181" t="inlineStr">
        <is>
          <t>no well-documented interactions</t>
        </is>
      </c>
      <c r="K132" s="181" t="str"/>
      <c r="L132" s="181" t="inlineStr">
        <is>
          <t>compound_level</t>
        </is>
      </c>
      <c r="M132" s="181" t="inlineStr">
        <is>
          <t>https://plants.sc.egov.usda.gov/home/search?query=Conium%20maculatum | https://pubchem.ncbi.nlm.nih.gov/#query=conhydrine</t>
        </is>
      </c>
      <c r="N132" s="181" t="inlineStr">
        <is>
          <t>inferred_plus_trusted_gov</t>
        </is>
      </c>
      <c r="O132" s="181" t="inlineStr">
        <is>
          <t>scientific name; PubChem compound page (NIH); USDA Plants database</t>
        </is>
      </c>
      <c r="P132" s="181" t="str"/>
      <c r="Q132" s="181" t="inlineStr">
        <is>
          <t>conium-maculatum</t>
        </is>
      </c>
      <c r="R132" s="181" t="n">
        <v>1</v>
      </c>
      <c r="S132" s="181" t="inlineStr">
        <is>
          <t>Yes</t>
        </is>
      </c>
      <c r="T132" s="181" t="inlineStr">
        <is>
          <t>Integrated from cleaned high-signal dataset</t>
        </is>
      </c>
    </row>
    <row r="133">
      <c r="A133" s="181" t="inlineStr">
        <is>
          <t>coniine</t>
        </is>
      </c>
      <c r="B133" s="181" t="inlineStr">
        <is>
          <t>coniine</t>
        </is>
      </c>
      <c r="C133" s="181" t="str"/>
      <c r="D133" s="181" t="inlineStr">
        <is>
          <t>Coniine, conhydrine, piperidine alkaloids</t>
        </is>
      </c>
      <c r="E133" s="181" t="inlineStr">
        <is>
          <t>insufficient evidence</t>
        </is>
      </c>
      <c r="F133" s="181" t="inlineStr">
        <is>
          <t>multi-target signaling modulation</t>
        </is>
      </c>
      <c r="G133" s="181" t="inlineStr">
        <is>
          <t>general or unknown targets</t>
        </is>
      </c>
      <c r="H133" s="181" t="inlineStr">
        <is>
          <t>Topical/homeopathic; neurotoxin in crude form</t>
        </is>
      </c>
      <c r="I133" s="181" t="inlineStr">
        <is>
          <t>low</t>
        </is>
      </c>
      <c r="J133" s="181" t="inlineStr">
        <is>
          <t>no well-documented interactions</t>
        </is>
      </c>
      <c r="K133" s="181" t="str"/>
      <c r="L133" s="181" t="inlineStr">
        <is>
          <t>compound_level</t>
        </is>
      </c>
      <c r="M133" s="181" t="inlineStr">
        <is>
          <t>https://plants.sc.egov.usda.gov/home/search?query=Conium%20maculatum | https://pubchem.ncbi.nlm.nih.gov/#query=coniine</t>
        </is>
      </c>
      <c r="N133" s="181" t="inlineStr">
        <is>
          <t>inferred_plus_trusted_gov</t>
        </is>
      </c>
      <c r="O133" s="181" t="inlineStr">
        <is>
          <t>scientific name; PubChem compound page (NIH); USDA Plants database</t>
        </is>
      </c>
      <c r="P133" s="181" t="str"/>
      <c r="Q133" s="181" t="inlineStr">
        <is>
          <t>conium-maculatum</t>
        </is>
      </c>
      <c r="R133" s="181" t="n">
        <v>1</v>
      </c>
      <c r="S133" s="181" t="inlineStr">
        <is>
          <t>Yes</t>
        </is>
      </c>
      <c r="T133" s="181" t="inlineStr">
        <is>
          <t>Integrated from cleaned high-signal dataset</t>
        </is>
      </c>
    </row>
    <row r="134">
      <c r="A134" s="181" t="inlineStr">
        <is>
          <t>convallatoxin</t>
        </is>
      </c>
      <c r="B134" s="181" t="inlineStr">
        <is>
          <t>convallatoxin</t>
        </is>
      </c>
      <c r="C134" s="181" t="str"/>
      <c r="D134" s="181" t="inlineStr">
        <is>
          <t>Convallatoxin, convalloside (cardiac glycosides)</t>
        </is>
      </c>
      <c r="E134" s="181" t="inlineStr">
        <is>
          <t>insufficient evidence</t>
        </is>
      </c>
      <c r="F134" s="181" t="inlineStr">
        <is>
          <t>multi-target signaling modulation</t>
        </is>
      </c>
      <c r="G134" s="181" t="inlineStr">
        <is>
          <t>general or unknown targets</t>
        </is>
      </c>
      <c r="H134" s="181" t="inlineStr">
        <is>
          <t>Oral (Rx); positive inotrope and diuretic</t>
        </is>
      </c>
      <c r="I134" s="181" t="inlineStr">
        <is>
          <t>low</t>
        </is>
      </c>
      <c r="J134" s="181" t="inlineStr">
        <is>
          <t>no well-documented interactions</t>
        </is>
      </c>
      <c r="K134" s="181" t="str"/>
      <c r="L134" s="181" t="inlineStr">
        <is>
          <t>compound_level</t>
        </is>
      </c>
      <c r="M134" s="181" t="inlineStr">
        <is>
          <t>https://plants.sc.egov.usda.gov/home/search?query=Convallaria%20majalis | https://pubchem.ncbi.nlm.nih.gov/#query=convallatoxin</t>
        </is>
      </c>
      <c r="N134" s="181" t="inlineStr">
        <is>
          <t>inferred_plus_trusted_gov</t>
        </is>
      </c>
      <c r="O134" s="181" t="inlineStr">
        <is>
          <t>scientific name; PubChem compound page (NIH); USDA Plants database</t>
        </is>
      </c>
      <c r="P134" s="181" t="str"/>
      <c r="Q134" s="181" t="inlineStr">
        <is>
          <t>convallaria-majalis</t>
        </is>
      </c>
      <c r="R134" s="181" t="n">
        <v>1</v>
      </c>
      <c r="S134" s="181" t="inlineStr">
        <is>
          <t>Yes</t>
        </is>
      </c>
      <c r="T134" s="181" t="inlineStr">
        <is>
          <t>Integrated from cleaned high-signal dataset</t>
        </is>
      </c>
    </row>
    <row r="135">
      <c r="A135" s="181" t="inlineStr">
        <is>
          <t>convalloside cardiac glycosides</t>
        </is>
      </c>
      <c r="B135" s="181" t="inlineStr">
        <is>
          <t>convalloside (cardiac glycosides)</t>
        </is>
      </c>
      <c r="C135" s="181" t="str"/>
      <c r="D135" s="181" t="inlineStr">
        <is>
          <t>Convallatoxin, convalloside (cardiac glycosides)</t>
        </is>
      </c>
      <c r="E135" s="181" t="inlineStr">
        <is>
          <t>insufficient evidence</t>
        </is>
      </c>
      <c r="F135" s="181" t="inlineStr">
        <is>
          <t>multi-target signaling modulation</t>
        </is>
      </c>
      <c r="G135" s="181" t="inlineStr">
        <is>
          <t>general or unknown targets</t>
        </is>
      </c>
      <c r="H135" s="181" t="inlineStr">
        <is>
          <t>Oral (Rx); positive inotrope and diuretic</t>
        </is>
      </c>
      <c r="I135" s="181" t="inlineStr">
        <is>
          <t>low</t>
        </is>
      </c>
      <c r="J135" s="181" t="inlineStr">
        <is>
          <t>no well-documented interactions</t>
        </is>
      </c>
      <c r="K135" s="181" t="str"/>
      <c r="L135" s="181" t="inlineStr">
        <is>
          <t>compound_level</t>
        </is>
      </c>
      <c r="M135" s="181" t="inlineStr">
        <is>
          <t>https://plants.sc.egov.usda.gov/home/search?query=Convallaria%20majalis | https://pubchem.ncbi.nlm.nih.gov/#query=convalloside%20%28cardiac%20glycosides%29</t>
        </is>
      </c>
      <c r="N135" s="181" t="inlineStr">
        <is>
          <t>inferred_plus_trusted_gov</t>
        </is>
      </c>
      <c r="O135" s="181" t="inlineStr">
        <is>
          <t>scientific name; PubChem compound page (NIH); USDA Plants database</t>
        </is>
      </c>
      <c r="P135" s="181" t="str"/>
      <c r="Q135" s="181" t="inlineStr">
        <is>
          <t>convallaria-majalis</t>
        </is>
      </c>
      <c r="R135" s="181" t="n">
        <v>1</v>
      </c>
      <c r="S135" s="181" t="inlineStr">
        <is>
          <t>Yes</t>
        </is>
      </c>
      <c r="T135" s="181" t="inlineStr">
        <is>
          <t>Integrated from cleaned high-signal dataset</t>
        </is>
      </c>
    </row>
    <row r="136">
      <c r="A136" s="181" t="inlineStr">
        <is>
          <t>copalic acid</t>
        </is>
      </c>
      <c r="B136" s="181" t="inlineStr">
        <is>
          <t>copalic acid</t>
        </is>
      </c>
      <c r="C136" s="181" t="str"/>
      <c r="D136" s="181" t="inlineStr">
        <is>
          <t>diterpenes</t>
        </is>
      </c>
      <c r="E136" s="181" t="inlineStr">
        <is>
          <t>insufficient evidence</t>
        </is>
      </c>
      <c r="F136" s="181" t="inlineStr">
        <is>
          <t>multi-target signaling modulation</t>
        </is>
      </c>
      <c r="G136" s="181" t="inlineStr">
        <is>
          <t>general or unknown targets</t>
        </is>
      </c>
      <c r="H136" s="181" t="inlineStr">
        <is>
          <t>Absorption and bioavailability vary; some compounds metabolized via cytochrome P450 enzymes.</t>
        </is>
      </c>
      <c r="I136" s="181" t="inlineStr">
        <is>
          <t>low</t>
        </is>
      </c>
      <c r="J136" s="181" t="inlineStr">
        <is>
          <t>no well-documented interactions</t>
        </is>
      </c>
      <c r="K136" s="181" t="str"/>
      <c r="L136" s="181" t="inlineStr">
        <is>
          <t>compound_level</t>
        </is>
      </c>
      <c r="M136" s="181" t="inlineStr">
        <is>
          <t>https://plants.sc.egov.usda.gov/home/search?query=Copaifera%20officinalis | https://pubchem.ncbi.nlm.nih.gov/#query=copalic%20acid</t>
        </is>
      </c>
      <c r="N136" s="181" t="inlineStr">
        <is>
          <t>inferred_plus_trusted_gov</t>
        </is>
      </c>
      <c r="O136" s="181" t="inlineStr">
        <is>
          <t>scientific name; PubChem compound page (NIH); USDA Plants database</t>
        </is>
      </c>
      <c r="P136" s="181" t="str"/>
      <c r="Q136" s="181" t="inlineStr">
        <is>
          <t>copaifera-officinalis</t>
        </is>
      </c>
      <c r="R136" s="181" t="n">
        <v>1</v>
      </c>
      <c r="S136" s="181" t="inlineStr">
        <is>
          <t>Yes</t>
        </is>
      </c>
      <c r="T136" s="181" t="inlineStr">
        <is>
          <t>Integrated from cleaned high-signal dataset</t>
        </is>
      </c>
    </row>
    <row r="137">
      <c r="A137" s="181" t="inlineStr">
        <is>
          <t>coptisine</t>
        </is>
      </c>
      <c r="B137" s="181" t="inlineStr">
        <is>
          <t>coptisine</t>
        </is>
      </c>
      <c r="C137" s="181" t="str"/>
      <c r="D137" s="181" t="inlineStr">
        <is>
          <t>other</t>
        </is>
      </c>
      <c r="E137" s="181" t="inlineStr">
        <is>
          <t>insufficient evidence</t>
        </is>
      </c>
      <c r="F137" s="181" t="inlineStr">
        <is>
          <t>multi-target signaling modulation</t>
        </is>
      </c>
      <c r="G137" s="181" t="inlineStr">
        <is>
          <t>general or unknown targets</t>
        </is>
      </c>
      <c r="H137" s="181" t="inlineStr">
        <is>
          <t>Oral; antibacterial and hepatic</t>
        </is>
      </c>
      <c r="I137" s="181" t="inlineStr">
        <is>
          <t>low</t>
        </is>
      </c>
      <c r="J137" s="181" t="inlineStr">
        <is>
          <t>no well-documented interactions</t>
        </is>
      </c>
      <c r="K137" s="181" t="str"/>
      <c r="L137" s="181" t="inlineStr">
        <is>
          <t>compound_level</t>
        </is>
      </c>
      <c r="M137" s="181" t="inlineStr">
        <is>
          <t>https://plants.sc.egov.usda.gov/home/search?query=Coptis%20chinensis | https://pubchem.ncbi.nlm.nih.gov/#query=coptisine</t>
        </is>
      </c>
      <c r="N137" s="181" t="inlineStr">
        <is>
          <t>inferred_plus_trusted_gov</t>
        </is>
      </c>
      <c r="O137" s="181" t="inlineStr">
        <is>
          <t>scientific name; PubChem compound page (NIH); USDA Plants database</t>
        </is>
      </c>
      <c r="P137" s="181" t="str"/>
      <c r="Q137" s="181" t="inlineStr">
        <is>
          <t>coptis-chinensis</t>
        </is>
      </c>
      <c r="R137" s="181" t="n">
        <v>1</v>
      </c>
      <c r="S137" s="181" t="inlineStr">
        <is>
          <t>Yes</t>
        </is>
      </c>
      <c r="T137" s="181" t="inlineStr">
        <is>
          <t>Integrated from cleaned high-signal dataset</t>
        </is>
      </c>
    </row>
    <row r="138">
      <c r="A138" s="181" t="inlineStr">
        <is>
          <t>cordycepin</t>
        </is>
      </c>
      <c r="B138" s="181" t="inlineStr">
        <is>
          <t>cordycepin</t>
        </is>
      </c>
      <c r="C138" s="181" t="str"/>
      <c r="D138" s="181" t="inlineStr">
        <is>
          <t>polysaccharides</t>
        </is>
      </c>
      <c r="E138" s="181" t="inlineStr">
        <is>
          <t>insufficient evidence</t>
        </is>
      </c>
      <c r="F138" s="181" t="inlineStr">
        <is>
          <t>adenosine receptor antagonism</t>
        </is>
      </c>
      <c r="G138" s="181" t="inlineStr">
        <is>
          <t>adenosine_antagonism</t>
        </is>
      </c>
      <c r="H138" s="181" t="inlineStr">
        <is>
          <t>Absorption and bioavailability vary; some compounds metabolized via cytochrome P450 enzymes.</t>
        </is>
      </c>
      <c r="I138" s="181" t="inlineStr">
        <is>
          <t>low</t>
        </is>
      </c>
      <c r="J138" s="181" t="inlineStr">
        <is>
          <t>no well-documented interactions</t>
        </is>
      </c>
      <c r="K138" s="181" t="str"/>
      <c r="L138" s="181" t="inlineStr">
        <is>
          <t>compound_level</t>
        </is>
      </c>
      <c r="M138" s="181" t="inlineStr">
        <is>
          <t>https://plants.sc.egov.usda.gov/home/search?query=Cordyceps%20sinensis | https://pubchem.ncbi.nlm.nih.gov/#query=cordycepin</t>
        </is>
      </c>
      <c r="N138" s="181" t="inlineStr">
        <is>
          <t>inferred_plus_trusted_gov</t>
        </is>
      </c>
      <c r="O138" s="181" t="inlineStr">
        <is>
          <t>scientific name; PubChem compound page (NIH); USDA Plants database</t>
        </is>
      </c>
      <c r="P138" s="181" t="str"/>
      <c r="Q138" s="181" t="inlineStr">
        <is>
          <t>cordyceps-sinensis</t>
        </is>
      </c>
      <c r="R138" s="181" t="n">
        <v>1</v>
      </c>
      <c r="S138" s="181" t="inlineStr">
        <is>
          <t>Yes</t>
        </is>
      </c>
      <c r="T138" s="181" t="inlineStr">
        <is>
          <t>Integrated from cleaned high-signal dataset</t>
        </is>
      </c>
    </row>
    <row r="139">
      <c r="A139" s="181" t="inlineStr">
        <is>
          <t>coronaridine</t>
        </is>
      </c>
      <c r="B139" s="181" t="inlineStr">
        <is>
          <t>coronaridine</t>
        </is>
      </c>
      <c r="C139" s="181" t="str"/>
      <c r="D139" s="181" t="inlineStr">
        <is>
          <t>indole alkaloids</t>
        </is>
      </c>
      <c r="E139" s="181" t="inlineStr">
        <is>
          <t>insufficient evidence</t>
        </is>
      </c>
      <c r="F139" s="181" t="inlineStr">
        <is>
          <t>multi-target signaling modulation</t>
        </is>
      </c>
      <c r="G139" s="181" t="inlineStr">
        <is>
          <t>general or unknown targets</t>
        </is>
      </c>
      <c r="H139" s="181" t="inlineStr">
        <is>
          <t>Absorption and bioavailability vary; some compounds metabolized via cytochrome P450 enzymes.</t>
        </is>
      </c>
      <c r="I139" s="181" t="inlineStr">
        <is>
          <t>low</t>
        </is>
      </c>
      <c r="J139" s="181" t="inlineStr">
        <is>
          <t>no well-documented interactions</t>
        </is>
      </c>
      <c r="K139" s="181" t="str"/>
      <c r="L139" s="181" t="inlineStr">
        <is>
          <t>compound_level</t>
        </is>
      </c>
      <c r="M139" s="181" t="inlineStr">
        <is>
          <t>https://plants.sc.egov.usda.gov/home/search?query=Tabernaemontana%20divaricata | https://pubchem.ncbi.nlm.nih.gov/#query=coronaridine</t>
        </is>
      </c>
      <c r="N139" s="181" t="inlineStr">
        <is>
          <t>inferred_plus_trusted_gov</t>
        </is>
      </c>
      <c r="O139" s="181" t="inlineStr">
        <is>
          <t>scientific name; PubChem compound page (NIH); USDA Plants database</t>
        </is>
      </c>
      <c r="P139" s="181" t="str"/>
      <c r="Q139" s="181" t="inlineStr">
        <is>
          <t>tabernaemontana-divaricata</t>
        </is>
      </c>
      <c r="R139" s="181" t="n">
        <v>1</v>
      </c>
      <c r="S139" s="181" t="inlineStr">
        <is>
          <t>Yes</t>
        </is>
      </c>
      <c r="T139" s="181" t="inlineStr">
        <is>
          <t>Integrated from cleaned high-signal dataset</t>
        </is>
      </c>
    </row>
    <row r="140">
      <c r="A140" s="181" t="inlineStr">
        <is>
          <t>corydaline</t>
        </is>
      </c>
      <c r="B140" s="181" t="inlineStr">
        <is>
          <t>corydaline</t>
        </is>
      </c>
      <c r="C140" s="181" t="str"/>
      <c r="D140" s="181" t="inlineStr">
        <is>
          <t>other</t>
        </is>
      </c>
      <c r="E140" s="181" t="inlineStr">
        <is>
          <t>insufficient evidence</t>
        </is>
      </c>
      <c r="F140" s="181" t="inlineStr">
        <is>
          <t>multi-target signaling modulation</t>
        </is>
      </c>
      <c r="G140" s="181" t="inlineStr">
        <is>
          <t>dopaminergic_modulation; general or unknown targets</t>
        </is>
      </c>
      <c r="H140" s="181" t="inlineStr">
        <is>
          <t>Absorption and bioavailability vary; some compounds metabolized via cytochrome P450 enzymes.</t>
        </is>
      </c>
      <c r="I140" s="181" t="inlineStr">
        <is>
          <t>low</t>
        </is>
      </c>
      <c r="J140" s="181" t="inlineStr">
        <is>
          <t>no well-documented interactions</t>
        </is>
      </c>
      <c r="K140" s="181" t="str"/>
      <c r="L140" s="181" t="inlineStr">
        <is>
          <t>compound_level</t>
        </is>
      </c>
      <c r="M140" s="181" t="inlineStr">
        <is>
          <t>https://plants.sc.egov.usda.gov/home/search?query=Corydalis%20cava | https://plants.sc.egov.usda.gov/home/search?query=corydalis%20yanhusuo | https://pubchem.ncbi.nlm.nih.gov/#query=corydaline</t>
        </is>
      </c>
      <c r="N140" s="181" t="inlineStr">
        <is>
          <t>inferred_plus_trusted_gov; trusted_gov_added</t>
        </is>
      </c>
      <c r="O140" s="181" t="inlineStr">
        <is>
          <t>PubChem compound page (NIH); USDA Plants database; scientific name; PubChem compound page (NIH); USDA Plants database</t>
        </is>
      </c>
      <c r="P140" s="181" t="str"/>
      <c r="Q140" s="181" t="inlineStr">
        <is>
          <t>corydalis-cava; corydalis-yanhusuo</t>
        </is>
      </c>
      <c r="R140" s="181" t="n">
        <v>2</v>
      </c>
      <c r="S140" s="181" t="inlineStr">
        <is>
          <t>Yes</t>
        </is>
      </c>
      <c r="T140" s="181" t="inlineStr">
        <is>
          <t>Integrated from cleaned high-signal dataset</t>
        </is>
      </c>
    </row>
    <row r="141">
      <c r="A141" s="181" t="inlineStr">
        <is>
          <t>crocetin</t>
        </is>
      </c>
      <c r="B141" s="181" t="inlineStr">
        <is>
          <t>crocetin</t>
        </is>
      </c>
      <c r="C141" s="181" t="str"/>
      <c r="D141" s="181" t="inlineStr">
        <is>
          <t>other</t>
        </is>
      </c>
      <c r="E141" s="181" t="inlineStr">
        <is>
          <t>insufficient evidence</t>
        </is>
      </c>
      <c r="F141" s="181" t="inlineStr">
        <is>
          <t>multi-target signaling modulation</t>
        </is>
      </c>
      <c r="G141" s="181" t="inlineStr">
        <is>
          <t>general or unknown targets</t>
        </is>
      </c>
      <c r="H141" s="181" t="inlineStr">
        <is>
          <t>moderate absorption; hepatic metabolism</t>
        </is>
      </c>
      <c r="I141" s="181" t="inlineStr">
        <is>
          <t>low</t>
        </is>
      </c>
      <c r="J141" s="181" t="inlineStr">
        <is>
          <t>no well-documented interactions</t>
        </is>
      </c>
      <c r="K141" s="181" t="str"/>
      <c r="L141" s="181" t="inlineStr">
        <is>
          <t>compound_level</t>
        </is>
      </c>
      <c r="M141" s="181" t="inlineStr">
        <is>
          <t>https://plants.sc.egov.usda.gov/home/search?query=crocus%20sativus | https://pubchem.ncbi.nlm.nih.gov/#query=crocetin</t>
        </is>
      </c>
      <c r="N141" s="181" t="inlineStr">
        <is>
          <t>trusted_gov_added</t>
        </is>
      </c>
      <c r="O141" s="181" t="inlineStr">
        <is>
          <t>PubChem compound page (NIH); USDA Plants database</t>
        </is>
      </c>
      <c r="P141" s="181" t="str"/>
      <c r="Q141" s="181" t="inlineStr">
        <is>
          <t>crocus-sativus</t>
        </is>
      </c>
      <c r="R141" s="181" t="n">
        <v>1</v>
      </c>
      <c r="S141" s="181" t="inlineStr">
        <is>
          <t>Yes</t>
        </is>
      </c>
      <c r="T141" s="181" t="inlineStr">
        <is>
          <t>Integrated from cleaned high-signal dataset</t>
        </is>
      </c>
    </row>
    <row r="142">
      <c r="A142" s="181" t="inlineStr">
        <is>
          <t>crocin</t>
        </is>
      </c>
      <c r="B142" s="181" t="inlineStr">
        <is>
          <t>crocin</t>
        </is>
      </c>
      <c r="C142" s="181" t="str"/>
      <c r="D142" s="181" t="inlineStr">
        <is>
          <t>other</t>
        </is>
      </c>
      <c r="E142" s="181" t="inlineStr">
        <is>
          <t>insufficient evidence</t>
        </is>
      </c>
      <c r="F142" s="181" t="inlineStr">
        <is>
          <t>multi-target signaling modulation</t>
        </is>
      </c>
      <c r="G142" s="181" t="inlineStr">
        <is>
          <t>general or unknown targets</t>
        </is>
      </c>
      <c r="H142" s="181" t="inlineStr">
        <is>
          <t>moderate absorption; hepatic metabolism</t>
        </is>
      </c>
      <c r="I142" s="181" t="inlineStr">
        <is>
          <t>low</t>
        </is>
      </c>
      <c r="J142" s="181" t="inlineStr">
        <is>
          <t>no well-documented interactions</t>
        </is>
      </c>
      <c r="K142" s="181" t="str"/>
      <c r="L142" s="181" t="inlineStr">
        <is>
          <t>compound_level</t>
        </is>
      </c>
      <c r="M142" s="181" t="inlineStr">
        <is>
          <t>https://plants.sc.egov.usda.gov/home/search?query=Gardenia%20jasminoides | https://plants.sc.egov.usda.gov/home/search?query=crocus%20sativus | https://pubchem.ncbi.nlm.nih.gov/#query=crocin</t>
        </is>
      </c>
      <c r="N142" s="181" t="inlineStr">
        <is>
          <t>inferred_plus_trusted_gov; trusted_gov_added</t>
        </is>
      </c>
      <c r="O142" s="181" t="inlineStr">
        <is>
          <t>PubChem compound page (NIH); USDA Plants database; scientific name; PubChem compound page (NIH); USDA Plants database</t>
        </is>
      </c>
      <c r="P142" s="181" t="str"/>
      <c r="Q142" s="181" t="inlineStr">
        <is>
          <t>crocus-sativus; gardenia-jasminoides</t>
        </is>
      </c>
      <c r="R142" s="181" t="n">
        <v>2</v>
      </c>
      <c r="S142" s="181" t="inlineStr">
        <is>
          <t>Yes</t>
        </is>
      </c>
      <c r="T142" s="181" t="inlineStr">
        <is>
          <t>Integrated from cleaned high-signal dataset</t>
        </is>
      </c>
    </row>
    <row r="143">
      <c r="A143" s="181" t="inlineStr">
        <is>
          <t>cryogenine vertine</t>
        </is>
      </c>
      <c r="B143" s="181" t="inlineStr">
        <is>
          <t>cryogenine (vertine)</t>
        </is>
      </c>
      <c r="C143" s="181" t="str"/>
      <c r="D143" s="181" t="inlineStr">
        <is>
          <t>other</t>
        </is>
      </c>
      <c r="E143" s="181" t="inlineStr">
        <is>
          <t>Heimia alkaloids, especially vertine (cryogenine), show ataractic, antispasmodic, and anti-inflammatory activity in preclinical work; precise human psychoactive receptor targets remain unresolved.</t>
        </is>
      </c>
      <c r="F143" s="181" t="inlineStr">
        <is>
          <t>multi-target signaling modulation</t>
        </is>
      </c>
      <c r="G143" s="181" t="inlineStr">
        <is>
          <t>general or unknown targets; inflammatory_pathway_modulation</t>
        </is>
      </c>
      <c r="H143" s="181" t="inlineStr">
        <is>
          <t>Oral; affects serotonin pathways</t>
        </is>
      </c>
      <c r="I143" s="181" t="inlineStr">
        <is>
          <t>low</t>
        </is>
      </c>
      <c r="J143" s="181" t="inlineStr">
        <is>
          <t>cns depressants, alcohol.</t>
        </is>
      </c>
      <c r="K143" s="181" t="str"/>
      <c r="L143" s="181" t="inlineStr">
        <is>
          <t>compound_level</t>
        </is>
      </c>
      <c r="M143" s="181" t="inlineStr">
        <is>
          <t>https://plants.sc.egov.usda.gov/home/search?query=Heimia%20salicifolia | https://plants.sc.egov.usda.gov/home/search?query=Heimia%20spp. | https://plants.sc.egov.usda.gov/home/search?query=sinicuichi | https://pubchem.ncbi.nlm.nih.gov/#query=cryogenine%20%28vertine%29</t>
        </is>
      </c>
      <c r="N143" s="181" t="inlineStr">
        <is>
          <t>inferred_plus_trusted_gov; trusted_gov_added</t>
        </is>
      </c>
      <c r="O143" s="181" t="inlineStr">
        <is>
          <t>PubChem compound page (NIH); USDA Plants database; Unknown; PubChem compound page (NIH); USDA Plants database; scientific name; PubChem compound page (NIH); USDA Plants database</t>
        </is>
      </c>
      <c r="P143" s="181" t="str"/>
      <c r="Q143" s="181" t="inlineStr">
        <is>
          <t>heimia; heimia-salicifolia-sinicuichi; sinicuichi</t>
        </is>
      </c>
      <c r="R143" s="181" t="n">
        <v>3</v>
      </c>
      <c r="S143" s="181" t="inlineStr">
        <is>
          <t>Yes</t>
        </is>
      </c>
      <c r="T143" s="181" t="inlineStr">
        <is>
          <t>Integrated from cleaned high-signal dataset</t>
        </is>
      </c>
    </row>
    <row r="144">
      <c r="A144" s="181" t="inlineStr">
        <is>
          <t>curcumin</t>
        </is>
      </c>
      <c r="B144" s="181" t="inlineStr">
        <is>
          <t>curcumin</t>
        </is>
      </c>
      <c r="C144" s="181" t="str"/>
      <c r="D144" s="181" t="inlineStr">
        <is>
          <t>phenolic</t>
        </is>
      </c>
      <c r="E144" s="181" t="inlineStr">
        <is>
          <t>Pleiotropic anti-inflammatory polyphenol associated with suppression of NF-kB and other inflammatory signaling; many reported targets exist, but oral PK limitations complicate translation.</t>
        </is>
      </c>
      <c r="F144" s="181" t="inlineStr">
        <is>
          <t>nf-kb inhibition</t>
        </is>
      </c>
      <c r="G144" s="181" t="inlineStr">
        <is>
          <t>COX-2 pathway modulation; NF-kB pathway inhibition; NFKB1 pathway; Nrf2 pathway activation</t>
        </is>
      </c>
      <c r="H144" s="181" t="inlineStr">
        <is>
          <t>Poor oral absorption with rapid metabolism and systemic clearance; formulation strongly affects exposure.</t>
        </is>
      </c>
      <c r="I144" s="181" t="inlineStr">
        <is>
          <t>Highly bioavailable formulations may harm the liver; supplement risk is formulation-dependent rather than equivalent across all turmeric intake.</t>
        </is>
      </c>
      <c r="J144" s="181" t="inlineStr">
        <is>
          <t>Anticoagulants/antiplatelets (potential additive bleeding risk); CYP-metabolized drugs (possible altered exposure); piperine-containing products may materially increase exposure</t>
        </is>
      </c>
      <c r="K144" s="181" t="inlineStr">
        <is>
          <t>moderate</t>
        </is>
      </c>
      <c r="L144" s="181" t="inlineStr">
        <is>
          <t>Sprint4</t>
        </is>
      </c>
      <c r="M144" s="181" t="inlineStr">
        <is>
          <t>https://plants.sc.egov.usda.gov/home/search?query=Curcuma%20longa | https://pubchem.ncbi.nlm.nih.gov/#query=curcumin</t>
        </is>
      </c>
      <c r="N144" s="181" t="inlineStr">
        <is>
          <t>inferred_plus_trusted_gov</t>
        </is>
      </c>
      <c r="O144" s="181" t="inlineStr">
        <is>
          <t>scientific name; PubChem compound page (NIH); USDA Plants database</t>
        </is>
      </c>
      <c r="P144" s="181" t="inlineStr">
        <is>
          <t>precision_monographs_sprint4.xlsx</t>
        </is>
      </c>
      <c r="Q144" s="181" t="inlineStr">
        <is>
          <t>curcuma-longa</t>
        </is>
      </c>
      <c r="R144" s="181" t="n">
        <v>1</v>
      </c>
      <c r="S144" s="181" t="inlineStr">
        <is>
          <t>Yes</t>
        </is>
      </c>
      <c r="T144" s="181" t="inlineStr">
        <is>
          <t>Integrated from cleaned high-signal dataset; Integrated from compound monograph workbook</t>
        </is>
      </c>
    </row>
    <row r="145">
      <c r="A145" s="181" t="inlineStr">
        <is>
          <t>curcuminoids</t>
        </is>
      </c>
      <c r="B145" s="181" t="inlineStr">
        <is>
          <t>curcuminoids</t>
        </is>
      </c>
      <c r="C145" s="181" t="str"/>
      <c r="D145" s="181" t="inlineStr">
        <is>
          <t>polyphenol</t>
        </is>
      </c>
      <c r="E145" s="181" t="inlineStr">
        <is>
          <t>Inhibits NF-kB and COX-2 signaling</t>
        </is>
      </c>
      <c r="F145" s="181" t="str"/>
      <c r="G145" s="181" t="inlineStr">
        <is>
          <t>COX-2 inhibition; NF-kB inhibition</t>
        </is>
      </c>
      <c r="H145" s="181" t="str"/>
      <c r="I145" s="181" t="str"/>
      <c r="J145" s="181" t="inlineStr">
        <is>
          <t>Anticoagulants (↑ bleeding risk)</t>
        </is>
      </c>
      <c r="K145" s="181" t="str"/>
      <c r="L145" s="181" t="inlineStr">
        <is>
          <t>Batch8</t>
        </is>
      </c>
      <c r="M145" s="181" t="str"/>
      <c r="N145" s="181" t="str"/>
      <c r="O145" s="181" t="str"/>
      <c r="P145" s="181" t="inlineStr">
        <is>
          <t>precision_monographs_batch8.xlsx</t>
        </is>
      </c>
      <c r="Q145" s="181" t="str"/>
      <c r="R145" s="181" t="n">
        <v>0</v>
      </c>
      <c r="S145" s="181" t="inlineStr">
        <is>
          <t>No</t>
        </is>
      </c>
      <c r="T145" s="181" t="inlineStr">
        <is>
          <t>Integrated from compound monograph workbook</t>
        </is>
      </c>
    </row>
    <row r="146">
      <c r="A146" s="181" t="inlineStr">
        <is>
          <t>curcuminoids curcumin</t>
        </is>
      </c>
      <c r="B146" s="181" t="inlineStr">
        <is>
          <t>curcuminoids (curcumin)</t>
        </is>
      </c>
      <c r="C146" s="181" t="str"/>
      <c r="D146" s="181" t="inlineStr">
        <is>
          <t>other</t>
        </is>
      </c>
      <c r="E146" s="181" t="inlineStr">
        <is>
          <t>insufficient evidence</t>
        </is>
      </c>
      <c r="F146" s="181" t="inlineStr">
        <is>
          <t>nf-kb inhibition</t>
        </is>
      </c>
      <c r="G146" s="181" t="inlineStr">
        <is>
          <t>inflammatory_pathway_modulation</t>
        </is>
      </c>
      <c r="H146" s="181" t="inlineStr">
        <is>
          <t>oral absorption; hepatic metabolism; systemic distribution</t>
        </is>
      </c>
      <c r="I146" s="181" t="inlineStr">
        <is>
          <t>low</t>
        </is>
      </c>
      <c r="J146" s="181" t="inlineStr">
        <is>
          <t>no well-documented interactions</t>
        </is>
      </c>
      <c r="K146" s="181" t="str"/>
      <c r="L146" s="181" t="inlineStr">
        <is>
          <t>compound_level</t>
        </is>
      </c>
      <c r="M146" s="181" t="inlineStr">
        <is>
          <t>https://plants.sc.egov.usda.gov/home/search?query=turmeric | https://pubchem.ncbi.nlm.nih.gov/#query=curcuminoids%20%28curcumin%29</t>
        </is>
      </c>
      <c r="N146" s="181" t="inlineStr">
        <is>
          <t>trusted_gov_added</t>
        </is>
      </c>
      <c r="O146" s="181" t="inlineStr">
        <is>
          <t>PubChem compound page (NIH); USDA Plants database</t>
        </is>
      </c>
      <c r="P146" s="181" t="str"/>
      <c r="Q146" s="181" t="inlineStr">
        <is>
          <t>curcuma-longa</t>
        </is>
      </c>
      <c r="R146" s="181" t="n">
        <v>1</v>
      </c>
      <c r="S146" s="181" t="inlineStr">
        <is>
          <t>Yes</t>
        </is>
      </c>
      <c r="T146" s="181" t="inlineStr">
        <is>
          <t>Integrated from cleaned high-signal dataset</t>
        </is>
      </c>
    </row>
    <row r="147">
      <c r="A147" s="181" t="inlineStr">
        <is>
          <t>cuscohygrine</t>
        </is>
      </c>
      <c r="B147" s="181" t="inlineStr">
        <is>
          <t>cuscohygrine</t>
        </is>
      </c>
      <c r="C147" s="181" t="str"/>
      <c r="D147" s="181" t="inlineStr">
        <is>
          <t>other</t>
        </is>
      </c>
      <c r="E147" s="181" t="inlineStr">
        <is>
          <t>insufficient evidence</t>
        </is>
      </c>
      <c r="F147" s="181" t="inlineStr">
        <is>
          <t>multi-target signaling modulation</t>
        </is>
      </c>
      <c r="G147" s="181" t="inlineStr">
        <is>
          <t>dopaminergic_modulation</t>
        </is>
      </c>
      <c r="H147" s="181" t="inlineStr">
        <is>
          <t>moderate absorption; hepatic metabolism</t>
        </is>
      </c>
      <c r="I147" s="181" t="inlineStr">
        <is>
          <t>low</t>
        </is>
      </c>
      <c r="J147" s="181" t="inlineStr">
        <is>
          <t>no well-documented interactions</t>
        </is>
      </c>
      <c r="K147" s="181" t="str"/>
      <c r="L147" s="181" t="inlineStr">
        <is>
          <t>compound_level</t>
        </is>
      </c>
      <c r="M147" s="181" t="inlineStr">
        <is>
          <t>https://plants.sc.egov.usda.gov/home/search?query=coca | https://plants.sc.egov.usda.gov/home/search?query=coca%20leaf | https://pubchem.ncbi.nlm.nih.gov/#query=cuscohygrine</t>
        </is>
      </c>
      <c r="N147" s="181" t="inlineStr">
        <is>
          <t>trusted_gov_added</t>
        </is>
      </c>
      <c r="O147" s="181" t="inlineStr">
        <is>
          <t>PubChem compound page (NIH); USDA Plants database</t>
        </is>
      </c>
      <c r="P147" s="181" t="str"/>
      <c r="Q147" s="181" t="inlineStr">
        <is>
          <t>coca; coca-leaf</t>
        </is>
      </c>
      <c r="R147" s="181" t="n">
        <v>2</v>
      </c>
      <c r="S147" s="181" t="inlineStr">
        <is>
          <t>Yes</t>
        </is>
      </c>
      <c r="T147" s="181" t="inlineStr">
        <is>
          <t>Integrated from cleaned high-signal dataset</t>
        </is>
      </c>
    </row>
    <row r="148">
      <c r="A148" s="181" t="inlineStr">
        <is>
          <t>cyanidin</t>
        </is>
      </c>
      <c r="B148" s="181" t="inlineStr">
        <is>
          <t>cyanidin)</t>
        </is>
      </c>
      <c r="C148" s="181" t="str"/>
      <c r="D148" s="181" t="inlineStr">
        <is>
          <t>other</t>
        </is>
      </c>
      <c r="E148" s="181" t="inlineStr">
        <is>
          <t>Anthocyanins and organic acids contribute antioxidant and ACE-inhibitory activity.</t>
        </is>
      </c>
      <c r="F148" s="181" t="inlineStr">
        <is>
          <t>multi-target signaling modulation</t>
        </is>
      </c>
      <c r="G148" s="181" t="inlineStr">
        <is>
          <t>general or unknown targets</t>
        </is>
      </c>
      <c r="H148" s="181" t="inlineStr">
        <is>
          <t>moderate absorption; hepatic metabolism</t>
        </is>
      </c>
      <c r="I148" s="181" t="inlineStr">
        <is>
          <t>low</t>
        </is>
      </c>
      <c r="J148" s="181" t="inlineStr">
        <is>
          <t>no well-documented interactions</t>
        </is>
      </c>
      <c r="K148" s="181" t="str"/>
      <c r="L148" s="181" t="inlineStr">
        <is>
          <t>compound_level</t>
        </is>
      </c>
      <c r="M148" s="181" t="inlineStr">
        <is>
          <t>https://plants.sc.egov.usda.gov/home/search?query=hibiscus%20sabdariffa | https://pubchem.ncbi.nlm.nih.gov/#query=cyanidin%29</t>
        </is>
      </c>
      <c r="N148" s="181" t="inlineStr">
        <is>
          <t>trusted_gov_added</t>
        </is>
      </c>
      <c r="O148" s="181" t="inlineStr">
        <is>
          <t>PubChem compound page (NIH); USDA Plants database</t>
        </is>
      </c>
      <c r="P148" s="181" t="str"/>
      <c r="Q148" s="181" t="inlineStr">
        <is>
          <t>hibiscus-sabdariffa</t>
        </is>
      </c>
      <c r="R148" s="181" t="n">
        <v>1</v>
      </c>
      <c r="S148" s="181" t="inlineStr">
        <is>
          <t>Yes</t>
        </is>
      </c>
      <c r="T148" s="181" t="inlineStr">
        <is>
          <t>Integrated from cleaned high-signal dataset</t>
        </is>
      </c>
    </row>
    <row r="149">
      <c r="A149" s="181" t="inlineStr">
        <is>
          <t>cynarin</t>
        </is>
      </c>
      <c r="B149" s="181" t="inlineStr">
        <is>
          <t>cynarin</t>
        </is>
      </c>
      <c r="C149" s="181" t="str"/>
      <c r="D149" s="181" t="inlineStr">
        <is>
          <t>Cynarin, caffeoylquinic acids, flavonoids</t>
        </is>
      </c>
      <c r="E149" s="181" t="inlineStr">
        <is>
          <t>insufficient evidence</t>
        </is>
      </c>
      <c r="F149" s="181" t="inlineStr">
        <is>
          <t>multi-target signaling modulation</t>
        </is>
      </c>
      <c r="G149" s="181" t="inlineStr">
        <is>
          <t>general or unknown targets</t>
        </is>
      </c>
      <c r="H149" s="181" t="inlineStr">
        <is>
          <t>Oral; bile stimulant and lipid lowering</t>
        </is>
      </c>
      <c r="I149" s="181" t="inlineStr">
        <is>
          <t>low</t>
        </is>
      </c>
      <c r="J149" s="181" t="inlineStr">
        <is>
          <t>no well-documented interactions</t>
        </is>
      </c>
      <c r="K149" s="181" t="str"/>
      <c r="L149" s="181" t="inlineStr">
        <is>
          <t>compound_level</t>
        </is>
      </c>
      <c r="M149" s="181" t="inlineStr">
        <is>
          <t>https://plants.sc.egov.usda.gov/home/search?query=Cynara%20scolymus | https://pubchem.ncbi.nlm.nih.gov/#query=cynarin</t>
        </is>
      </c>
      <c r="N149" s="181" t="inlineStr">
        <is>
          <t>inferred_plus_trusted_gov</t>
        </is>
      </c>
      <c r="O149" s="181" t="inlineStr">
        <is>
          <t>scientific name; PubChem compound page (NIH); USDA Plants database</t>
        </is>
      </c>
      <c r="P149" s="181" t="str"/>
      <c r="Q149" s="181" t="inlineStr">
        <is>
          <t>cynara-scolymus</t>
        </is>
      </c>
      <c r="R149" s="181" t="n">
        <v>1</v>
      </c>
      <c r="S149" s="181" t="inlineStr">
        <is>
          <t>Yes</t>
        </is>
      </c>
      <c r="T149" s="181" t="inlineStr">
        <is>
          <t>Integrated from cleaned high-signal dataset</t>
        </is>
      </c>
    </row>
    <row r="150">
      <c r="A150" s="181" t="inlineStr">
        <is>
          <t>cyperene</t>
        </is>
      </c>
      <c r="B150" s="181" t="inlineStr">
        <is>
          <t>cyperene</t>
        </is>
      </c>
      <c r="C150" s="181" t="str"/>
      <c r="D150" s="181" t="inlineStr">
        <is>
          <t>Cyperene, flavonoids, sesquiterpenes</t>
        </is>
      </c>
      <c r="E150" s="181" t="inlineStr">
        <is>
          <t>insufficient evidence</t>
        </is>
      </c>
      <c r="F150" s="181" t="inlineStr">
        <is>
          <t>multi-target signaling modulation</t>
        </is>
      </c>
      <c r="G150" s="181" t="inlineStr">
        <is>
          <t>general or unknown targets</t>
        </is>
      </c>
      <c r="H150" s="181" t="inlineStr">
        <is>
          <t>Oral; adaptogen and antispasmodic</t>
        </is>
      </c>
      <c r="I150" s="181" t="inlineStr">
        <is>
          <t>low</t>
        </is>
      </c>
      <c r="J150" s="181" t="inlineStr">
        <is>
          <t>no well-documented interactions</t>
        </is>
      </c>
      <c r="K150" s="181" t="str"/>
      <c r="L150" s="181" t="inlineStr">
        <is>
          <t>compound_level</t>
        </is>
      </c>
      <c r="M150" s="181" t="inlineStr">
        <is>
          <t>https://plants.sc.egov.usda.gov/home/search?query=Cyperus%20rotundus | https://pubchem.ncbi.nlm.nih.gov/#query=cyperene</t>
        </is>
      </c>
      <c r="N150" s="181" t="inlineStr">
        <is>
          <t>inferred_plus_trusted_gov</t>
        </is>
      </c>
      <c r="O150" s="181" t="inlineStr">
        <is>
          <t>scientific name; PubChem compound page (NIH); USDA Plants database</t>
        </is>
      </c>
      <c r="P150" s="181" t="str"/>
      <c r="Q150" s="181" t="inlineStr">
        <is>
          <t>cyperus-rotundus</t>
        </is>
      </c>
      <c r="R150" s="181" t="n">
        <v>1</v>
      </c>
      <c r="S150" s="181" t="inlineStr">
        <is>
          <t>Yes</t>
        </is>
      </c>
      <c r="T150" s="181" t="inlineStr">
        <is>
          <t>Integrated from cleaned high-signal dataset</t>
        </is>
      </c>
    </row>
    <row r="151">
      <c r="A151" s="181" t="inlineStr">
        <is>
          <t>daidzein</t>
        </is>
      </c>
      <c r="B151" s="181" t="inlineStr">
        <is>
          <t>daidzein)</t>
        </is>
      </c>
      <c r="C151" s="181" t="str"/>
      <c r="D151" s="181" t="inlineStr">
        <is>
          <t>other</t>
        </is>
      </c>
      <c r="E151" s="181" t="inlineStr">
        <is>
          <t>insufficient evidence</t>
        </is>
      </c>
      <c r="F151" s="181" t="inlineStr">
        <is>
          <t>multi-target signaling modulation</t>
        </is>
      </c>
      <c r="G151" s="181" t="inlineStr">
        <is>
          <t>general or unknown targets</t>
        </is>
      </c>
      <c r="H151" s="181" t="inlineStr">
        <is>
          <t>Oral; estrogen receptor modulation</t>
        </is>
      </c>
      <c r="I151" s="181" t="inlineStr">
        <is>
          <t>low</t>
        </is>
      </c>
      <c r="J151" s="181" t="inlineStr">
        <is>
          <t>no well-documented interactions</t>
        </is>
      </c>
      <c r="K151" s="181" t="str"/>
      <c r="L151" s="181" t="inlineStr">
        <is>
          <t>compound_level</t>
        </is>
      </c>
      <c r="M151" s="181" t="inlineStr">
        <is>
          <t>https://plants.sc.egov.usda.gov/home/search?query=Trifolium%20pratense | https://pubchem.ncbi.nlm.nih.gov/#query=daidzein%29</t>
        </is>
      </c>
      <c r="N151" s="181" t="inlineStr">
        <is>
          <t>inferred_plus_trusted_gov</t>
        </is>
      </c>
      <c r="O151" s="181" t="inlineStr">
        <is>
          <t>scientific name; PubChem compound page (NIH); USDA Plants database</t>
        </is>
      </c>
      <c r="P151" s="181" t="str"/>
      <c r="Q151" s="181" t="inlineStr">
        <is>
          <t>trifolium-pratense</t>
        </is>
      </c>
      <c r="R151" s="181" t="n">
        <v>1</v>
      </c>
      <c r="S151" s="181" t="inlineStr">
        <is>
          <t>Yes</t>
        </is>
      </c>
      <c r="T151" s="181" t="inlineStr">
        <is>
          <t>Integrated from cleaned high-signal dataset</t>
        </is>
      </c>
    </row>
    <row r="152">
      <c r="A152" s="181" t="inlineStr">
        <is>
          <t>damnacanthal</t>
        </is>
      </c>
      <c r="B152" s="181" t="inlineStr">
        <is>
          <t>damnacanthal</t>
        </is>
      </c>
      <c r="C152" s="181" t="str"/>
      <c r="D152" s="181" t="inlineStr">
        <is>
          <t>Scopoletin, damnacanthal, polysaccharides</t>
        </is>
      </c>
      <c r="E152" s="181" t="inlineStr">
        <is>
          <t>insufficient evidence</t>
        </is>
      </c>
      <c r="F152" s="181" t="inlineStr">
        <is>
          <t>multi-target signaling modulation</t>
        </is>
      </c>
      <c r="G152" s="181" t="inlineStr">
        <is>
          <t>general or unknown targets</t>
        </is>
      </c>
      <c r="H152" s="181" t="inlineStr">
        <is>
          <t>Oral; anti-inflammatory and adaptogenic</t>
        </is>
      </c>
      <c r="I152" s="181" t="inlineStr">
        <is>
          <t>low</t>
        </is>
      </c>
      <c r="J152" s="181" t="inlineStr">
        <is>
          <t>no well-documented interactions</t>
        </is>
      </c>
      <c r="K152" s="181" t="str"/>
      <c r="L152" s="181" t="inlineStr">
        <is>
          <t>compound_level</t>
        </is>
      </c>
      <c r="M152" s="181" t="inlineStr">
        <is>
          <t>https://plants.sc.egov.usda.gov/home/search?query=Morinda%20citrifolia | https://pubchem.ncbi.nlm.nih.gov/#query=damnacanthal</t>
        </is>
      </c>
      <c r="N152" s="181" t="inlineStr">
        <is>
          <t>inferred_plus_trusted_gov</t>
        </is>
      </c>
      <c r="O152" s="181" t="inlineStr">
        <is>
          <t>scientific name; PubChem compound page (NIH); USDA Plants database</t>
        </is>
      </c>
      <c r="P152" s="181" t="str"/>
      <c r="Q152" s="181" t="inlineStr">
        <is>
          <t>morinda-citrifolia</t>
        </is>
      </c>
      <c r="R152" s="181" t="n">
        <v>1</v>
      </c>
      <c r="S152" s="181" t="inlineStr">
        <is>
          <t>Yes</t>
        </is>
      </c>
      <c r="T152" s="181" t="inlineStr">
        <is>
          <t>Integrated from cleaned high-signal dataset</t>
        </is>
      </c>
    </row>
    <row r="153">
      <c r="A153" s="181" t="inlineStr">
        <is>
          <t>dehydrocorybulbine</t>
        </is>
      </c>
      <c r="B153" s="181" t="inlineStr">
        <is>
          <t>dehydrocorybulbine</t>
        </is>
      </c>
      <c r="C153" s="181" t="str"/>
      <c r="D153" s="181" t="inlineStr">
        <is>
          <t>other</t>
        </is>
      </c>
      <c r="E153" s="181" t="inlineStr">
        <is>
          <t>insufficient evidence</t>
        </is>
      </c>
      <c r="F153" s="181" t="inlineStr">
        <is>
          <t>multi-target signaling modulation</t>
        </is>
      </c>
      <c r="G153" s="181" t="inlineStr">
        <is>
          <t>dopaminergic_modulation</t>
        </is>
      </c>
      <c r="H153" s="181" t="inlineStr">
        <is>
          <t>moderate absorption; hepatic metabolism</t>
        </is>
      </c>
      <c r="I153" s="181" t="inlineStr">
        <is>
          <t>low</t>
        </is>
      </c>
      <c r="J153" s="181" t="inlineStr">
        <is>
          <t>no well-documented interactions</t>
        </is>
      </c>
      <c r="K153" s="181" t="str"/>
      <c r="L153" s="181" t="inlineStr">
        <is>
          <t>compound_level</t>
        </is>
      </c>
      <c r="M153" s="181" t="inlineStr">
        <is>
          <t>https://plants.sc.egov.usda.gov/home/search?query=corydalis%20yanhusuo | https://pubchem.ncbi.nlm.nih.gov/#query=dehydrocorybulbine</t>
        </is>
      </c>
      <c r="N153" s="181" t="inlineStr">
        <is>
          <t>trusted_gov_added</t>
        </is>
      </c>
      <c r="O153" s="181" t="inlineStr">
        <is>
          <t>PubChem compound page (NIH); USDA Plants database</t>
        </is>
      </c>
      <c r="P153" s="181" t="str"/>
      <c r="Q153" s="181" t="inlineStr">
        <is>
          <t>corydalis-yanhusuo</t>
        </is>
      </c>
      <c r="R153" s="181" t="n">
        <v>1</v>
      </c>
      <c r="S153" s="181" t="inlineStr">
        <is>
          <t>Yes</t>
        </is>
      </c>
      <c r="T153" s="181" t="inlineStr">
        <is>
          <t>Integrated from cleaned high-signal dataset</t>
        </is>
      </c>
    </row>
    <row r="154">
      <c r="A154" s="181" t="inlineStr">
        <is>
          <t>dehydrocorydalmine</t>
        </is>
      </c>
      <c r="B154" s="181" t="inlineStr">
        <is>
          <t>dehydrocorydalmine</t>
        </is>
      </c>
      <c r="C154" s="181" t="str"/>
      <c r="D154" s="181" t="inlineStr">
        <is>
          <t>protopine alkaloids</t>
        </is>
      </c>
      <c r="E154" s="181" t="inlineStr">
        <is>
          <t>insufficient evidence</t>
        </is>
      </c>
      <c r="F154" s="181" t="inlineStr">
        <is>
          <t>multi-target signaling modulation</t>
        </is>
      </c>
      <c r="G154" s="181" t="inlineStr">
        <is>
          <t>general or unknown targets</t>
        </is>
      </c>
      <c r="H154" s="181" t="inlineStr">
        <is>
          <t>good oral absorption; CNS penetration; hepatic metabolism</t>
        </is>
      </c>
      <c r="I154" s="181" t="inlineStr">
        <is>
          <t>low</t>
        </is>
      </c>
      <c r="J154" s="181" t="inlineStr">
        <is>
          <t>no well-documented interactions</t>
        </is>
      </c>
      <c r="K154" s="181" t="str"/>
      <c r="L154" s="181" t="inlineStr">
        <is>
          <t>compound_level</t>
        </is>
      </c>
      <c r="M154" s="181" t="inlineStr">
        <is>
          <t>https://plants.sc.egov.usda.gov/home/search?query=argemone%20mexicana | https://pubchem.ncbi.nlm.nih.gov/#query=dehydrocorydalmine</t>
        </is>
      </c>
      <c r="N154" s="181" t="inlineStr">
        <is>
          <t>trusted_gov_added</t>
        </is>
      </c>
      <c r="O154" s="181" t="inlineStr">
        <is>
          <t>PubChem compound page (NIH); USDA Plants database</t>
        </is>
      </c>
      <c r="P154" s="181" t="str"/>
      <c r="Q154" s="181" t="inlineStr">
        <is>
          <t>argemone-mexicana</t>
        </is>
      </c>
      <c r="R154" s="181" t="n">
        <v>1</v>
      </c>
      <c r="S154" s="181" t="inlineStr">
        <is>
          <t>Yes</t>
        </is>
      </c>
      <c r="T154" s="181" t="inlineStr">
        <is>
          <t>Integrated from cleaned high-signal dataset</t>
        </is>
      </c>
    </row>
    <row r="155">
      <c r="A155" s="181" t="inlineStr">
        <is>
          <t>dendrobine</t>
        </is>
      </c>
      <c r="B155" s="181" t="inlineStr">
        <is>
          <t>dendrobine</t>
        </is>
      </c>
      <c r="C155" s="181" t="str"/>
      <c r="D155" s="181" t="inlineStr">
        <is>
          <t>alkaloids</t>
        </is>
      </c>
      <c r="E155" s="181" t="inlineStr">
        <is>
          <t>insufficient evidence</t>
        </is>
      </c>
      <c r="F155" s="181" t="inlineStr">
        <is>
          <t>multi-target signaling modulation</t>
        </is>
      </c>
      <c r="G155" s="181" t="inlineStr">
        <is>
          <t>general or unknown targets</t>
        </is>
      </c>
      <c r="H155" s="181" t="inlineStr">
        <is>
          <t>Absorption and bioavailability vary; some compounds metabolized via cytochrome P450 enzymes.</t>
        </is>
      </c>
      <c r="I155" s="181" t="inlineStr">
        <is>
          <t>low</t>
        </is>
      </c>
      <c r="J155" s="181" t="inlineStr">
        <is>
          <t>no well-documented interactions</t>
        </is>
      </c>
      <c r="K155" s="181" t="str"/>
      <c r="L155" s="181" t="inlineStr">
        <is>
          <t>compound_level</t>
        </is>
      </c>
      <c r="M155" s="181" t="inlineStr">
        <is>
          <t>https://plants.sc.egov.usda.gov/home/search?query=Dendrobium%20nobile | https://pubchem.ncbi.nlm.nih.gov/#query=dendrobine</t>
        </is>
      </c>
      <c r="N155" s="181" t="inlineStr">
        <is>
          <t>inferred_plus_trusted_gov</t>
        </is>
      </c>
      <c r="O155" s="181" t="inlineStr">
        <is>
          <t>scientific name; PubChem compound page (NIH); USDA Plants database</t>
        </is>
      </c>
      <c r="P155" s="181" t="str"/>
      <c r="Q155" s="181" t="inlineStr">
        <is>
          <t>dendrobium-nobile</t>
        </is>
      </c>
      <c r="R155" s="181" t="n">
        <v>1</v>
      </c>
      <c r="S155" s="181" t="inlineStr">
        <is>
          <t>Yes</t>
        </is>
      </c>
      <c r="T155" s="181" t="inlineStr">
        <is>
          <t>Integrated from cleaned high-signal dataset</t>
        </is>
      </c>
    </row>
    <row r="156">
      <c r="A156" s="181" t="inlineStr">
        <is>
          <t>deoxymiroestrol</t>
        </is>
      </c>
      <c r="B156" s="181" t="inlineStr">
        <is>
          <t>deoxymiroestrol</t>
        </is>
      </c>
      <c r="C156" s="181" t="str"/>
      <c r="D156" s="181" t="inlineStr">
        <is>
          <t>other</t>
        </is>
      </c>
      <c r="E156" s="181" t="inlineStr">
        <is>
          <t>insufficient evidence</t>
        </is>
      </c>
      <c r="F156" s="181" t="inlineStr">
        <is>
          <t>multi-target signaling modulation</t>
        </is>
      </c>
      <c r="G156" s="181" t="inlineStr">
        <is>
          <t>general or unknown targets</t>
        </is>
      </c>
      <c r="H156" s="181" t="inlineStr">
        <is>
          <t>Oral; mimics estrogen receptor activity</t>
        </is>
      </c>
      <c r="I156" s="181" t="inlineStr">
        <is>
          <t>low</t>
        </is>
      </c>
      <c r="J156" s="181" t="inlineStr">
        <is>
          <t>no well-documented interactions</t>
        </is>
      </c>
      <c r="K156" s="181" t="str"/>
      <c r="L156" s="181" t="inlineStr">
        <is>
          <t>compound_level</t>
        </is>
      </c>
      <c r="M156" s="181" t="inlineStr">
        <is>
          <t>https://plants.sc.egov.usda.gov/home/search?query=Pueraria%20mirifica | https://pubchem.ncbi.nlm.nih.gov/#query=deoxymiroestrol</t>
        </is>
      </c>
      <c r="N156" s="181" t="inlineStr">
        <is>
          <t>inferred_plus_trusted_gov</t>
        </is>
      </c>
      <c r="O156" s="181" t="inlineStr">
        <is>
          <t>scientific name; PubChem compound page (NIH); USDA Plants database</t>
        </is>
      </c>
      <c r="P156" s="181" t="str"/>
      <c r="Q156" s="181" t="inlineStr">
        <is>
          <t>pueraria-mirifica</t>
        </is>
      </c>
      <c r="R156" s="181" t="n">
        <v>1</v>
      </c>
      <c r="S156" s="181" t="inlineStr">
        <is>
          <t>Yes</t>
        </is>
      </c>
      <c r="T156" s="181" t="inlineStr">
        <is>
          <t>Integrated from cleaned high-signal dataset</t>
        </is>
      </c>
    </row>
    <row r="157">
      <c r="A157" s="181" t="inlineStr">
        <is>
          <t>desmethoxyyangonin</t>
        </is>
      </c>
      <c r="B157" s="181" t="inlineStr">
        <is>
          <t>desmethoxyyangonin</t>
        </is>
      </c>
      <c r="C157" s="181" t="str"/>
      <c r="D157" s="181" t="inlineStr">
        <is>
          <t>other</t>
        </is>
      </c>
      <c r="E157" s="181" t="inlineStr">
        <is>
          <t>Kavalactones modulate GABA_A receptor activity, inhibit voltage-gated sodium and calcium channels, and influence dopamine signaling.</t>
        </is>
      </c>
      <c r="F157" s="181" t="inlineStr">
        <is>
          <t>GABAergic modulation; multi-target signaling modulation</t>
        </is>
      </c>
      <c r="G157" s="181" t="inlineStr">
        <is>
          <t>dopaminergic_modulation; gabaergic_modulation</t>
        </is>
      </c>
      <c r="H157" s="181" t="inlineStr">
        <is>
          <t>moderate absorption; hepatic metabolism</t>
        </is>
      </c>
      <c r="I157" s="181" t="inlineStr">
        <is>
          <t>low</t>
        </is>
      </c>
      <c r="J157" s="181" t="inlineStr">
        <is>
          <t>no well-documented interactions</t>
        </is>
      </c>
      <c r="K157" s="181" t="str"/>
      <c r="L157" s="181" t="inlineStr">
        <is>
          <t>compound_level</t>
        </is>
      </c>
      <c r="M157" s="181" t="inlineStr">
        <is>
          <t>https://plants.sc.egov.usda.gov/home/search?query=kava | https://plants.sc.egov.usda.gov/home/search?query=piper%20methysticum | https://pubchem.ncbi.nlm.nih.gov/#query=desmethoxyyangonin</t>
        </is>
      </c>
      <c r="N157" s="181" t="inlineStr">
        <is>
          <t>trusted_gov_added</t>
        </is>
      </c>
      <c r="O157" s="181" t="inlineStr">
        <is>
          <t>PubChem compound page (NIH); USDA Plants database</t>
        </is>
      </c>
      <c r="P157" s="181" t="str"/>
      <c r="Q157" s="181" t="inlineStr">
        <is>
          <t>kava; piper-methysticum</t>
        </is>
      </c>
      <c r="R157" s="181" t="n">
        <v>2</v>
      </c>
      <c r="S157" s="181" t="inlineStr">
        <is>
          <t>Yes</t>
        </is>
      </c>
      <c r="T157" s="181" t="inlineStr">
        <is>
          <t>Integrated from cleaned high-signal dataset</t>
        </is>
      </c>
    </row>
    <row r="158">
      <c r="A158" s="181" t="inlineStr">
        <is>
          <t>dibenzyl trisulfide</t>
        </is>
      </c>
      <c r="B158" s="181" t="inlineStr">
        <is>
          <t>dibenzyl trisulfide</t>
        </is>
      </c>
      <c r="C158" s="181" t="str"/>
      <c r="D158" s="181" t="inlineStr">
        <is>
          <t>other</t>
        </is>
      </c>
      <c r="E158" s="181" t="inlineStr">
        <is>
          <t>insufficient evidence</t>
        </is>
      </c>
      <c r="F158" s="181" t="inlineStr">
        <is>
          <t>multi-target signaling modulation</t>
        </is>
      </c>
      <c r="G158" s="181" t="inlineStr">
        <is>
          <t>general or unknown targets</t>
        </is>
      </c>
      <c r="H158" s="181" t="inlineStr">
        <is>
          <t>Absorption and bioavailability vary; some compounds metabolized via cytochrome P450 enzymes.</t>
        </is>
      </c>
      <c r="I158" s="181" t="inlineStr">
        <is>
          <t>low</t>
        </is>
      </c>
      <c r="J158" s="181" t="inlineStr">
        <is>
          <t>no well-documented interactions</t>
        </is>
      </c>
      <c r="K158" s="181" t="str"/>
      <c r="L158" s="181" t="inlineStr">
        <is>
          <t>compound_level</t>
        </is>
      </c>
      <c r="M158" s="181" t="inlineStr">
        <is>
          <t>https://plants.sc.egov.usda.gov/home/search?query=Petiveria%20alliacea | https://pubchem.ncbi.nlm.nih.gov/#query=dibenzyl%20trisulfide</t>
        </is>
      </c>
      <c r="N158" s="181" t="inlineStr">
        <is>
          <t>inferred_plus_trusted_gov</t>
        </is>
      </c>
      <c r="O158" s="181" t="inlineStr">
        <is>
          <t>scientific name; PubChem compound page (NIH); USDA Plants database</t>
        </is>
      </c>
      <c r="P158" s="181" t="str"/>
      <c r="Q158" s="181" t="inlineStr">
        <is>
          <t>petiveria-alliacea</t>
        </is>
      </c>
      <c r="R158" s="181" t="n">
        <v>1</v>
      </c>
      <c r="S158" s="181" t="inlineStr">
        <is>
          <t>Yes</t>
        </is>
      </c>
      <c r="T158" s="181" t="inlineStr">
        <is>
          <t>Integrated from cleaned high-signal dataset</t>
        </is>
      </c>
    </row>
    <row r="159">
      <c r="A159" s="181" t="inlineStr">
        <is>
          <t>digitoxin</t>
        </is>
      </c>
      <c r="B159" s="181" t="inlineStr">
        <is>
          <t>digitoxin</t>
        </is>
      </c>
      <c r="C159" s="181" t="str"/>
      <c r="D159" s="181" t="inlineStr">
        <is>
          <t>other</t>
        </is>
      </c>
      <c r="E159" s="181" t="inlineStr">
        <is>
          <t>insufficient evidence</t>
        </is>
      </c>
      <c r="F159" s="181" t="inlineStr">
        <is>
          <t>multi-target signaling modulation</t>
        </is>
      </c>
      <c r="G159" s="181" t="inlineStr">
        <is>
          <t>general or unknown targets</t>
        </is>
      </c>
      <c r="H159" s="181" t="inlineStr">
        <is>
          <t>moderate absorption; hepatic metabolism</t>
        </is>
      </c>
      <c r="I159" s="181" t="inlineStr">
        <is>
          <t>low</t>
        </is>
      </c>
      <c r="J159" s="181" t="inlineStr">
        <is>
          <t>no well-documented interactions</t>
        </is>
      </c>
      <c r="K159" s="181" t="str"/>
      <c r="L159" s="181" t="inlineStr">
        <is>
          <t>compound_level</t>
        </is>
      </c>
      <c r="M159" s="181" t="inlineStr">
        <is>
          <t>https://plants.sc.egov.usda.gov/home/search?query=foxglove | https://pubchem.ncbi.nlm.nih.gov/#query=digitoxin</t>
        </is>
      </c>
      <c r="N159" s="181" t="inlineStr">
        <is>
          <t>trusted_gov_added</t>
        </is>
      </c>
      <c r="O159" s="181" t="inlineStr">
        <is>
          <t>PubChem compound page (NIH); USDA Plants database</t>
        </is>
      </c>
      <c r="P159" s="181" t="str"/>
      <c r="Q159" s="181" t="inlineStr">
        <is>
          <t>foxglove</t>
        </is>
      </c>
      <c r="R159" s="181" t="n">
        <v>1</v>
      </c>
      <c r="S159" s="181" t="inlineStr">
        <is>
          <t>Yes</t>
        </is>
      </c>
      <c r="T159" s="181" t="inlineStr">
        <is>
          <t>Integrated from cleaned high-signal dataset</t>
        </is>
      </c>
    </row>
    <row r="160">
      <c r="A160" s="181" t="inlineStr">
        <is>
          <t>digoxin</t>
        </is>
      </c>
      <c r="B160" s="181" t="inlineStr">
        <is>
          <t>digoxin</t>
        </is>
      </c>
      <c r="C160" s="181" t="str"/>
      <c r="D160" s="181" t="inlineStr">
        <is>
          <t>other</t>
        </is>
      </c>
      <c r="E160" s="181" t="inlineStr">
        <is>
          <t>insufficient evidence</t>
        </is>
      </c>
      <c r="F160" s="181" t="inlineStr">
        <is>
          <t>multi-target signaling modulation</t>
        </is>
      </c>
      <c r="G160" s="181" t="inlineStr">
        <is>
          <t>general or unknown targets</t>
        </is>
      </c>
      <c r="H160" s="181" t="inlineStr">
        <is>
          <t>moderate absorption; hepatic metabolism</t>
        </is>
      </c>
      <c r="I160" s="181" t="inlineStr">
        <is>
          <t>low</t>
        </is>
      </c>
      <c r="J160" s="181" t="inlineStr">
        <is>
          <t>no well-documented interactions</t>
        </is>
      </c>
      <c r="K160" s="181" t="str"/>
      <c r="L160" s="181" t="inlineStr">
        <is>
          <t>compound_level</t>
        </is>
      </c>
      <c r="M160" s="181" t="inlineStr">
        <is>
          <t>https://plants.sc.egov.usda.gov/home/search?query=foxglove | https://pubchem.ncbi.nlm.nih.gov/#query=digoxin</t>
        </is>
      </c>
      <c r="N160" s="181" t="inlineStr">
        <is>
          <t>trusted_gov_added</t>
        </is>
      </c>
      <c r="O160" s="181" t="inlineStr">
        <is>
          <t>PubChem compound page (NIH); USDA Plants database</t>
        </is>
      </c>
      <c r="P160" s="181" t="str"/>
      <c r="Q160" s="181" t="inlineStr">
        <is>
          <t>foxglove</t>
        </is>
      </c>
      <c r="R160" s="181" t="n">
        <v>1</v>
      </c>
      <c r="S160" s="181" t="inlineStr">
        <is>
          <t>Yes</t>
        </is>
      </c>
      <c r="T160" s="181" t="inlineStr">
        <is>
          <t>Integrated from cleaned high-signal dataset</t>
        </is>
      </c>
    </row>
    <row r="161">
      <c r="A161" s="181" t="inlineStr">
        <is>
          <t>dihydrocapsaicin</t>
        </is>
      </c>
      <c r="B161" s="181" t="inlineStr">
        <is>
          <t>dihydrocapsaicin</t>
        </is>
      </c>
      <c r="C161" s="181" t="str"/>
      <c r="D161" s="181" t="inlineStr">
        <is>
          <t>other</t>
        </is>
      </c>
      <c r="E161" s="181" t="inlineStr">
        <is>
          <t>Capsaicinoids, especially capsaicin, act primarily as TRPV1 agonists; downstream effects include sensory neuron activation followed by desensitization and antinociceptive effects.</t>
        </is>
      </c>
      <c r="F161" s="181" t="inlineStr">
        <is>
          <t>multi-target signaling modulation</t>
        </is>
      </c>
      <c r="G161" s="181" t="inlineStr">
        <is>
          <t>general or unknown targets</t>
        </is>
      </c>
      <c r="H161" s="181" t="inlineStr">
        <is>
          <t>moderate absorption; hepatic metabolism</t>
        </is>
      </c>
      <c r="I161" s="181" t="inlineStr">
        <is>
          <t>low</t>
        </is>
      </c>
      <c r="J161" s="181" t="inlineStr">
        <is>
          <t>no well-documented interactions</t>
        </is>
      </c>
      <c r="K161" s="181" t="str"/>
      <c r="L161" s="181" t="inlineStr">
        <is>
          <t>compound_level</t>
        </is>
      </c>
      <c r="M161" s="181" t="inlineStr">
        <is>
          <t>https://plants.sc.egov.usda.gov/home/search?query=capsicum%20annuum | https://pubchem.ncbi.nlm.nih.gov/#query=dihydrocapsaicin</t>
        </is>
      </c>
      <c r="N161" s="181" t="inlineStr">
        <is>
          <t>trusted_gov_added</t>
        </is>
      </c>
      <c r="O161" s="181" t="inlineStr">
        <is>
          <t>PubChem compound page (NIH); USDA Plants database</t>
        </is>
      </c>
      <c r="P161" s="181" t="str"/>
      <c r="Q161" s="181" t="inlineStr">
        <is>
          <t>capsicum-annuum</t>
        </is>
      </c>
      <c r="R161" s="181" t="n">
        <v>1</v>
      </c>
      <c r="S161" s="181" t="inlineStr">
        <is>
          <t>Yes</t>
        </is>
      </c>
      <c r="T161" s="181" t="inlineStr">
        <is>
          <t>Integrated from cleaned high-signal dataset</t>
        </is>
      </c>
    </row>
    <row r="162">
      <c r="A162" s="181" t="inlineStr">
        <is>
          <t>dihydrohelenalin</t>
        </is>
      </c>
      <c r="B162" s="181" t="inlineStr">
        <is>
          <t>dihydrohelenalin</t>
        </is>
      </c>
      <c r="C162" s="181" t="str"/>
      <c r="D162" s="181" t="inlineStr">
        <is>
          <t>sesquiterpene lactones</t>
        </is>
      </c>
      <c r="E162" s="181" t="inlineStr">
        <is>
          <t>insufficient evidence</t>
        </is>
      </c>
      <c r="F162" s="181" t="inlineStr">
        <is>
          <t>multi-target signaling modulation</t>
        </is>
      </c>
      <c r="G162" s="181" t="inlineStr">
        <is>
          <t>general or unknown targets</t>
        </is>
      </c>
      <c r="H162" s="181" t="inlineStr">
        <is>
          <t>Absorption and bioavailability vary; some compounds metabolized via cytochrome P450 enzymes.</t>
        </is>
      </c>
      <c r="I162" s="181" t="inlineStr">
        <is>
          <t>low</t>
        </is>
      </c>
      <c r="J162" s="181" t="inlineStr">
        <is>
          <t>no well-documented interactions</t>
        </is>
      </c>
      <c r="K162" s="181" t="str"/>
      <c r="L162" s="181" t="inlineStr">
        <is>
          <t>compound_level</t>
        </is>
      </c>
      <c r="M162" s="181" t="inlineStr">
        <is>
          <t>https://plants.sc.egov.usda.gov/home/search?query=Arnica%20montana | https://pubchem.ncbi.nlm.nih.gov/#query=dihydrohelenalin</t>
        </is>
      </c>
      <c r="N162" s="181" t="inlineStr">
        <is>
          <t>inferred_plus_trusted_gov</t>
        </is>
      </c>
      <c r="O162" s="181" t="inlineStr">
        <is>
          <t>scientific name; PubChem compound page (NIH); USDA Plants database</t>
        </is>
      </c>
      <c r="P162" s="181" t="str"/>
      <c r="Q162" s="181" t="inlineStr">
        <is>
          <t>arnica-montana</t>
        </is>
      </c>
      <c r="R162" s="181" t="n">
        <v>1</v>
      </c>
      <c r="S162" s="181" t="inlineStr">
        <is>
          <t>Yes</t>
        </is>
      </c>
      <c r="T162" s="181" t="inlineStr">
        <is>
          <t>Integrated from cleaned high-signal dataset</t>
        </is>
      </c>
    </row>
    <row r="163">
      <c r="A163" s="181" t="inlineStr">
        <is>
          <t>dihydrokavain</t>
        </is>
      </c>
      <c r="B163" s="181" t="inlineStr">
        <is>
          <t>dihydrokavain</t>
        </is>
      </c>
      <c r="C163" s="181" t="str"/>
      <c r="D163" s="181" t="inlineStr">
        <is>
          <t>other</t>
        </is>
      </c>
      <c r="E163" s="181" t="inlineStr">
        <is>
          <t>Kavalactones modulate GABA_A receptor activity, inhibit voltage-gated sodium and calcium channels, and influence dopamine signaling.</t>
        </is>
      </c>
      <c r="F163" s="181" t="inlineStr">
        <is>
          <t>GABAergic modulation; multi-target signaling modulation</t>
        </is>
      </c>
      <c r="G163" s="181" t="inlineStr">
        <is>
          <t>dopaminergic_modulation; gabaergic_modulation</t>
        </is>
      </c>
      <c r="H163" s="181" t="inlineStr">
        <is>
          <t>moderate absorption; hepatic metabolism</t>
        </is>
      </c>
      <c r="I163" s="181" t="inlineStr">
        <is>
          <t>low</t>
        </is>
      </c>
      <c r="J163" s="181" t="inlineStr">
        <is>
          <t>no well-documented interactions</t>
        </is>
      </c>
      <c r="K163" s="181" t="str"/>
      <c r="L163" s="181" t="inlineStr">
        <is>
          <t>compound_level</t>
        </is>
      </c>
      <c r="M163" s="181" t="inlineStr">
        <is>
          <t>https://plants.sc.egov.usda.gov/home/search?query=kava | https://plants.sc.egov.usda.gov/home/search?query=piper%20methysticum | https://pubchem.ncbi.nlm.nih.gov/#query=dihydrokavain</t>
        </is>
      </c>
      <c r="N163" s="181" t="inlineStr">
        <is>
          <t>trusted_gov_added</t>
        </is>
      </c>
      <c r="O163" s="181" t="inlineStr">
        <is>
          <t>PubChem compound page (NIH); USDA Plants database</t>
        </is>
      </c>
      <c r="P163" s="181" t="str"/>
      <c r="Q163" s="181" t="inlineStr">
        <is>
          <t>kava; piper-methysticum</t>
        </is>
      </c>
      <c r="R163" s="181" t="n">
        <v>2</v>
      </c>
      <c r="S163" s="181" t="inlineStr">
        <is>
          <t>Yes</t>
        </is>
      </c>
      <c r="T163" s="181" t="inlineStr">
        <is>
          <t>Integrated from cleaned high-signal dataset</t>
        </is>
      </c>
    </row>
    <row r="164">
      <c r="A164" s="181" t="inlineStr">
        <is>
          <t>dihydromethysticin</t>
        </is>
      </c>
      <c r="B164" s="181" t="inlineStr">
        <is>
          <t>dihydromethysticin</t>
        </is>
      </c>
      <c r="C164" s="181" t="str"/>
      <c r="D164" s="181" t="inlineStr">
        <is>
          <t>other</t>
        </is>
      </c>
      <c r="E164" s="181" t="inlineStr">
        <is>
          <t>Kavalactones modulate GABA_A receptor activity, inhibit voltage-gated sodium and calcium channels, and influence dopamine signaling.</t>
        </is>
      </c>
      <c r="F164" s="181" t="inlineStr">
        <is>
          <t>multi-target signaling modulation</t>
        </is>
      </c>
      <c r="G164" s="181" t="inlineStr">
        <is>
          <t>dopaminergic_modulation; gabaergic_modulation</t>
        </is>
      </c>
      <c r="H164" s="181" t="inlineStr">
        <is>
          <t>moderate absorption; hepatic metabolism</t>
        </is>
      </c>
      <c r="I164" s="181" t="inlineStr">
        <is>
          <t>low</t>
        </is>
      </c>
      <c r="J164" s="181" t="inlineStr">
        <is>
          <t>no well-documented interactions</t>
        </is>
      </c>
      <c r="K164" s="181" t="str"/>
      <c r="L164" s="181" t="inlineStr">
        <is>
          <t>compound_level</t>
        </is>
      </c>
      <c r="M164" s="181" t="inlineStr">
        <is>
          <t>https://plants.sc.egov.usda.gov/home/search?query=kava | https://pubchem.ncbi.nlm.nih.gov/#query=dihydromethysticin</t>
        </is>
      </c>
      <c r="N164" s="181" t="inlineStr">
        <is>
          <t>trusted_gov_added</t>
        </is>
      </c>
      <c r="O164" s="181" t="inlineStr">
        <is>
          <t>PubChem compound page (NIH); USDA Plants database</t>
        </is>
      </c>
      <c r="P164" s="181" t="str"/>
      <c r="Q164" s="181" t="inlineStr">
        <is>
          <t>kava</t>
        </is>
      </c>
      <c r="R164" s="181" t="n">
        <v>1</v>
      </c>
      <c r="S164" s="181" t="inlineStr">
        <is>
          <t>Yes</t>
        </is>
      </c>
      <c r="T164" s="181" t="inlineStr">
        <is>
          <t>Integrated from cleaned high-signal dataset</t>
        </is>
      </c>
    </row>
    <row r="165">
      <c r="A165" s="181" t="inlineStr">
        <is>
          <t>dillapiole</t>
        </is>
      </c>
      <c r="B165" s="181" t="inlineStr">
        <is>
          <t>dillapiole</t>
        </is>
      </c>
      <c r="C165" s="181" t="str"/>
      <c r="D165" s="181" t="inlineStr">
        <is>
          <t>essential oils</t>
        </is>
      </c>
      <c r="E165" s="181" t="inlineStr">
        <is>
          <t>insufficient evidence</t>
        </is>
      </c>
      <c r="F165" s="181" t="inlineStr">
        <is>
          <t>multi-target signaling modulation</t>
        </is>
      </c>
      <c r="G165" s="181" t="inlineStr">
        <is>
          <t>general or unknown targets</t>
        </is>
      </c>
      <c r="H165" s="181" t="inlineStr">
        <is>
          <t>Absorption and bioavailability vary; some compounds metabolized via cytochrome P450 enzymes.</t>
        </is>
      </c>
      <c r="I165" s="181" t="inlineStr">
        <is>
          <t>low</t>
        </is>
      </c>
      <c r="J165" s="181" t="inlineStr">
        <is>
          <t>no well-documented interactions</t>
        </is>
      </c>
      <c r="K165" s="181" t="str"/>
      <c r="L165" s="181" t="inlineStr">
        <is>
          <t>compound_level</t>
        </is>
      </c>
      <c r="M165" s="181" t="inlineStr">
        <is>
          <t>https://plants.sc.egov.usda.gov/home/search?query=Macropiper%20excelsum | https://plants.sc.egov.usda.gov/home/search?query=Piper%20auritum | https://pubchem.ncbi.nlm.nih.gov/#query=dillapiole</t>
        </is>
      </c>
      <c r="N165" s="181" t="inlineStr">
        <is>
          <t>inferred_plus_trusted_gov</t>
        </is>
      </c>
      <c r="O165" s="181" t="inlineStr">
        <is>
          <t>scientific name; PubChem compound page (NIH); USDA Plants database</t>
        </is>
      </c>
      <c r="P165" s="181" t="str"/>
      <c r="Q165" s="181" t="inlineStr">
        <is>
          <t>macropiper-excelsum; piper-auritum</t>
        </is>
      </c>
      <c r="R165" s="181" t="n">
        <v>2</v>
      </c>
      <c r="S165" s="181" t="inlineStr">
        <is>
          <t>Yes</t>
        </is>
      </c>
      <c r="T165" s="181" t="inlineStr">
        <is>
          <t>Integrated from cleaned high-signal dataset</t>
        </is>
      </c>
    </row>
    <row r="166">
      <c r="A166" s="181" t="inlineStr">
        <is>
          <t>dmt</t>
        </is>
      </c>
      <c r="B166" s="181" t="inlineStr">
        <is>
          <t>dmt</t>
        </is>
      </c>
      <c r="C166" s="181" t="str"/>
      <c r="D166" s="181" t="inlineStr">
        <is>
          <t>alkaloid</t>
        </is>
      </c>
      <c r="E166" s="181" t="inlineStr">
        <is>
          <t>Tryptamines act on serotonergic receptors, especially 5-HT2A, producing psychedelic effects.</t>
        </is>
      </c>
      <c r="F166" s="181" t="inlineStr">
        <is>
          <t>serotonin receptor interaction</t>
        </is>
      </c>
      <c r="G166" s="181" t="inlineStr">
        <is>
          <t>serotonergic_5HT2A_agonism</t>
        </is>
      </c>
      <c r="H166" s="181" t="inlineStr">
        <is>
          <t>rapid absorption; CNS penetration; hepatic metabolism</t>
        </is>
      </c>
      <c r="I166" s="181" t="inlineStr">
        <is>
          <t>moderate-high</t>
        </is>
      </c>
      <c r="J166" s="181" t="inlineStr">
        <is>
          <t>avoid with SSRIs/MAOIs; risk of serotonin syndrome</t>
        </is>
      </c>
      <c r="K166" s="181" t="str"/>
      <c r="L166" s="181" t="inlineStr">
        <is>
          <t>compound_level</t>
        </is>
      </c>
      <c r="M166" s="181" t="inlineStr">
        <is>
          <t>https://plants.sc.egov.usda.gov/home/search?query=Anadenanthera%20Colubrina | https://plants.sc.egov.usda.gov/home/search?query=Piptadenia%20peregrina | https://plants.sc.egov.usda.gov/home/search?query=Virola%20spp. | https://plants.sc.egov.usda.gov/home/search?query=anadenanthera%20colubrina | https://plants.sc.egov.usda.gov/home/search?query=anadenanthera%20peregrina | https://pubchem.ncbi.nlm.nih.gov/#query=n%2Cn-dimethyltryptamine</t>
        </is>
      </c>
      <c r="N166" s="181" t="inlineStr">
        <is>
          <t>inferred_plus_trusted_gov; trusted_gov_added</t>
        </is>
      </c>
      <c r="O166" s="181" t="inlineStr">
        <is>
          <t>PubChem compound page (NIH); USDA Plants database; Unknown; PubChem compound page (NIH); USDA Plants database; scientific name; PubChem compound page (NIH); USDA Plants database</t>
        </is>
      </c>
      <c r="P166" s="181" t="str"/>
      <c r="Q166" s="181" t="inlineStr">
        <is>
          <t>anadenanthera-colubrina; anadenanthera-colubrina-ceb-l; anadenanthera-peregrina; piptadenia-peregrina; virola-spp.</t>
        </is>
      </c>
      <c r="R166" s="181" t="n">
        <v>5</v>
      </c>
      <c r="S166" s="181" t="inlineStr">
        <is>
          <t>Yes</t>
        </is>
      </c>
      <c r="T166" s="181" t="inlineStr">
        <is>
          <t>Integrated from cleaned high-signal dataset</t>
        </is>
      </c>
    </row>
    <row r="167">
      <c r="A167" s="181" t="inlineStr">
        <is>
          <t>ecliptine</t>
        </is>
      </c>
      <c r="B167" s="181" t="inlineStr">
        <is>
          <t>ecliptine</t>
        </is>
      </c>
      <c r="C167" s="181" t="str"/>
      <c r="D167" s="181" t="inlineStr">
        <is>
          <t>Wedelolactone, ecliptine, flavonoids</t>
        </is>
      </c>
      <c r="E167" s="181" t="inlineStr">
        <is>
          <t>insufficient evidence</t>
        </is>
      </c>
      <c r="F167" s="181" t="inlineStr">
        <is>
          <t>multi-target signaling modulation</t>
        </is>
      </c>
      <c r="G167" s="181" t="inlineStr">
        <is>
          <t>general or unknown targets</t>
        </is>
      </c>
      <c r="H167" s="181" t="inlineStr">
        <is>
          <t>Oral/topical; antioxidant, supports liver enzymes</t>
        </is>
      </c>
      <c r="I167" s="181" t="inlineStr">
        <is>
          <t>low</t>
        </is>
      </c>
      <c r="J167" s="181" t="inlineStr">
        <is>
          <t>no well-documented interactions</t>
        </is>
      </c>
      <c r="K167" s="181" t="str"/>
      <c r="L167" s="181" t="inlineStr">
        <is>
          <t>compound_level</t>
        </is>
      </c>
      <c r="M167" s="181" t="inlineStr">
        <is>
          <t>https://plants.sc.egov.usda.gov/home/search?query=Eclipta%20prostrata | https://pubchem.ncbi.nlm.nih.gov/#query=ecliptine</t>
        </is>
      </c>
      <c r="N167" s="181" t="inlineStr">
        <is>
          <t>inferred_plus_trusted_gov</t>
        </is>
      </c>
      <c r="O167" s="181" t="inlineStr">
        <is>
          <t>scientific name; PubChem compound page (NIH); USDA Plants database</t>
        </is>
      </c>
      <c r="P167" s="181" t="str"/>
      <c r="Q167" s="181" t="inlineStr">
        <is>
          <t>eclipta-prostrata</t>
        </is>
      </c>
      <c r="R167" s="181" t="n">
        <v>1</v>
      </c>
      <c r="S167" s="181" t="inlineStr">
        <is>
          <t>Yes</t>
        </is>
      </c>
      <c r="T167" s="181" t="inlineStr">
        <is>
          <t>Integrated from cleaned high-signal dataset</t>
        </is>
      </c>
    </row>
    <row r="168">
      <c r="A168" s="181" t="inlineStr">
        <is>
          <t>ellagic acid</t>
        </is>
      </c>
      <c r="B168" s="181" t="inlineStr">
        <is>
          <t>ellagic acid</t>
        </is>
      </c>
      <c r="C168" s="181" t="str"/>
      <c r="D168" s="181" t="inlineStr">
        <is>
          <t>polyphenol</t>
        </is>
      </c>
      <c r="E168" s="181" t="inlineStr">
        <is>
          <t>Antioxidant and anti-inflammatory signaling</t>
        </is>
      </c>
      <c r="F168" s="181" t="inlineStr">
        <is>
          <t>multi-target signaling modulation</t>
        </is>
      </c>
      <c r="G168" s="181" t="inlineStr">
        <is>
          <t>NF-kB modulation; general or unknown targets; oxidative stress pathways</t>
        </is>
      </c>
      <c r="H168" s="181" t="inlineStr">
        <is>
          <t>moderate absorption; hepatic metabolism</t>
        </is>
      </c>
      <c r="I168" s="181" t="inlineStr">
        <is>
          <t>low</t>
        </is>
      </c>
      <c r="J168" s="181" t="inlineStr">
        <is>
          <t>Anticoagulants (possible ↑ bleeding risk)</t>
        </is>
      </c>
      <c r="K168" s="181" t="str"/>
      <c r="L168" s="181" t="inlineStr">
        <is>
          <t>Batch9</t>
        </is>
      </c>
      <c r="M168" s="181" t="inlineStr">
        <is>
          <t>https://plants.sc.egov.usda.gov/home/search?query=Punica%20granatum | https://plants.sc.egov.usda.gov/home/search?query=acacia%20nilotica | https://pubchem.ncbi.nlm.nih.gov/#query=ellagic%20acid</t>
        </is>
      </c>
      <c r="N168" s="181" t="inlineStr">
        <is>
          <t>inferred_plus_trusted_gov; trusted_gov_added</t>
        </is>
      </c>
      <c r="O168" s="181" t="inlineStr">
        <is>
          <t>PubChem compound page (NIH); USDA Plants database; scientific name; PubChem compound page (NIH); USDA Plants database</t>
        </is>
      </c>
      <c r="P168" s="181" t="inlineStr">
        <is>
          <t>master_monographs_v3.xlsx</t>
        </is>
      </c>
      <c r="Q168" s="181" t="inlineStr">
        <is>
          <t>punica-granatum; vachellia-nilotica</t>
        </is>
      </c>
      <c r="R168" s="181" t="n">
        <v>2</v>
      </c>
      <c r="S168" s="181" t="inlineStr">
        <is>
          <t>Yes</t>
        </is>
      </c>
      <c r="T168" s="181" t="inlineStr">
        <is>
          <t>Integrated from cleaned high-signal dataset; Integrated from compound monograph workbook</t>
        </is>
      </c>
    </row>
    <row r="169">
      <c r="A169" s="181" t="inlineStr">
        <is>
          <t>emetine</t>
        </is>
      </c>
      <c r="B169" s="181" t="inlineStr">
        <is>
          <t>emetine</t>
        </is>
      </c>
      <c r="C169" s="181" t="str"/>
      <c r="D169" s="181" t="inlineStr">
        <is>
          <t>Emetine, cephaeline, alkaloids</t>
        </is>
      </c>
      <c r="E169" s="181" t="inlineStr">
        <is>
          <t>insufficient evidence</t>
        </is>
      </c>
      <c r="F169" s="181" t="inlineStr">
        <is>
          <t>multi-target signaling modulation</t>
        </is>
      </c>
      <c r="G169" s="181" t="inlineStr">
        <is>
          <t>general or unknown targets</t>
        </is>
      </c>
      <c r="H169" s="181" t="inlineStr">
        <is>
          <t>Oral; expectorant and anti-protozoal</t>
        </is>
      </c>
      <c r="I169" s="181" t="inlineStr">
        <is>
          <t>low</t>
        </is>
      </c>
      <c r="J169" s="181" t="inlineStr">
        <is>
          <t>no well-documented interactions</t>
        </is>
      </c>
      <c r="K169" s="181" t="str"/>
      <c r="L169" s="181" t="inlineStr">
        <is>
          <t>compound_level</t>
        </is>
      </c>
      <c r="M169" s="181" t="inlineStr">
        <is>
          <t>https://plants.sc.egov.usda.gov/home/search?query=Cephaelis%20ipecacuanha | https://pubchem.ncbi.nlm.nih.gov/#query=emetine</t>
        </is>
      </c>
      <c r="N169" s="181" t="inlineStr">
        <is>
          <t>inferred_plus_trusted_gov</t>
        </is>
      </c>
      <c r="O169" s="181" t="inlineStr">
        <is>
          <t>scientific name; PubChem compound page (NIH); USDA Plants database</t>
        </is>
      </c>
      <c r="P169" s="181" t="str"/>
      <c r="Q169" s="181" t="inlineStr">
        <is>
          <t>cephaelis-ipecacuanha</t>
        </is>
      </c>
      <c r="R169" s="181" t="n">
        <v>1</v>
      </c>
      <c r="S169" s="181" t="inlineStr">
        <is>
          <t>Yes</t>
        </is>
      </c>
      <c r="T169" s="181" t="inlineStr">
        <is>
          <t>Integrated from cleaned high-signal dataset</t>
        </is>
      </c>
    </row>
    <row r="170">
      <c r="A170" s="181" t="inlineStr">
        <is>
          <t>emodin</t>
        </is>
      </c>
      <c r="B170" s="181" t="inlineStr">
        <is>
          <t>emodin</t>
        </is>
      </c>
      <c r="C170" s="181" t="str"/>
      <c r="D170" s="181" t="inlineStr">
        <is>
          <t>anthraquinone</t>
        </is>
      </c>
      <c r="E170" s="181" t="inlineStr">
        <is>
          <t>NF-kB-linked anti-inflammatory signaling plus broader apoptosis/kinase-pathway effects.</t>
        </is>
      </c>
      <c r="F170" s="181" t="inlineStr">
        <is>
          <t>multi-target signaling modulation</t>
        </is>
      </c>
      <c r="G170" s="181" t="inlineStr">
        <is>
          <t>NF-kB pathway inhibition; apoptosis/caspase signaling modulation; general or unknown targets; tyrosine-kinase-related signaling</t>
        </is>
      </c>
      <c r="H170" s="181" t="inlineStr">
        <is>
          <t>PK/liver-toxicity framing should remain cautious rather than binary.</t>
        </is>
      </c>
      <c r="I170" s="181" t="inlineStr">
        <is>
          <t>Hepatotoxicity is the main safety issue worth preserving, especially with higher or prolonged exposure.</t>
        </is>
      </c>
      <c r="J170" s="181" t="inlineStr">
        <is>
          <t>CYP1A2/CYP3A4 substrates (possible altered exposure); caution with hepatotoxic drugs.</t>
        </is>
      </c>
      <c r="K170" s="181" t="inlineStr">
        <is>
          <t>moderate</t>
        </is>
      </c>
      <c r="L170" s="181" t="inlineStr">
        <is>
          <t>Sprint3</t>
        </is>
      </c>
      <c r="M170" s="181" t="inlineStr">
        <is>
          <t>https://plants.sc.egov.usda.gov/home/search?query=Cassia%20occidentalis | https://plants.sc.egov.usda.gov/home/search?query=Polygonum%20multiflorum | https://plants.sc.egov.usda.gov/home/search?query=Rheum%20palmatum | https://pmc.ncbi.nlm.nih.gov/articles/PMC11255441/ | https://pmc.ncbi.nlm.nih.gov/articles/PMC11944761/ | https://pmc.ncbi.nlm.nih.gov/articles/PMC7168079/ | https://pubchem.ncbi.nlm.nih.gov/#query=emodin</t>
        </is>
      </c>
      <c r="N170" s="181" t="inlineStr">
        <is>
          <t>inferred_plus_trusted_gov</t>
        </is>
      </c>
      <c r="O170" s="181" t="inlineStr">
        <is>
          <t>scientific name; PubChem compound page (NIH); USDA Plants database</t>
        </is>
      </c>
      <c r="P170" s="181" t="inlineStr">
        <is>
          <t>precision_monographs_sprint3.xlsx</t>
        </is>
      </c>
      <c r="Q170" s="181" t="inlineStr">
        <is>
          <t>cassia-occidentalis; polygonum-multiflorum; rheum-palmatum</t>
        </is>
      </c>
      <c r="R170" s="181" t="n">
        <v>3</v>
      </c>
      <c r="S170" s="181" t="inlineStr">
        <is>
          <t>Yes</t>
        </is>
      </c>
      <c r="T170" s="181" t="inlineStr">
        <is>
          <t>Integrated from cleaned high-signal dataset; Integrated from compound monograph workbook</t>
        </is>
      </c>
    </row>
    <row r="171">
      <c r="A171" s="181" t="inlineStr">
        <is>
          <t>ephedrine</t>
        </is>
      </c>
      <c r="B171" s="181" t="inlineStr">
        <is>
          <t>ephedrine</t>
        </is>
      </c>
      <c r="C171" s="181" t="str"/>
      <c r="D171" s="181" t="inlineStr">
        <is>
          <t>other</t>
        </is>
      </c>
      <c r="E171" s="181" t="inlineStr">
        <is>
          <t>Ephedrine alkaloids act as mixed sympathomimetics, directly stimulating alpha- and beta-adrenergic receptors and indirectly increasing synaptic norepinephrine.</t>
        </is>
      </c>
      <c r="F171" s="181" t="inlineStr">
        <is>
          <t>multi-target signaling modulation</t>
        </is>
      </c>
      <c r="G171" s="181" t="inlineStr">
        <is>
          <t>dopaminergic_modulation; general or unknown targets</t>
        </is>
      </c>
      <c r="H171" s="181" t="inlineStr">
        <is>
          <t>Oral; onset ~30 min; duration 4–6 hours.</t>
        </is>
      </c>
      <c r="I171" s="181" t="inlineStr">
        <is>
          <t>low</t>
        </is>
      </c>
      <c r="J171" s="181" t="inlineStr">
        <is>
          <t>stimulants, beta-blockers, maois.</t>
        </is>
      </c>
      <c r="K171" s="181" t="str"/>
      <c r="L171" s="181" t="inlineStr">
        <is>
          <t>compound_level</t>
        </is>
      </c>
      <c r="M171" s="181" t="inlineStr">
        <is>
          <t>https://plants.sc.egov.usda.gov/home/search?query=Ephedra%20sinica | https://plants.sc.egov.usda.gov/home/search?query=ephedra%20sinica | https://pubchem.ncbi.nlm.nih.gov/#query=ephedrine</t>
        </is>
      </c>
      <c r="N171" s="181" t="inlineStr">
        <is>
          <t>inferred_plus_trusted_gov; trusted_gov_added</t>
        </is>
      </c>
      <c r="O171" s="181" t="inlineStr">
        <is>
          <t>PubChem compound page (NIH); USDA Plants database; scientific name; PubChem compound page (NIH); USDA Plants database</t>
        </is>
      </c>
      <c r="P171" s="181" t="str"/>
      <c r="Q171" s="181" t="inlineStr">
        <is>
          <t>ephedra; ephedra-sinica</t>
        </is>
      </c>
      <c r="R171" s="181" t="n">
        <v>2</v>
      </c>
      <c r="S171" s="181" t="inlineStr">
        <is>
          <t>Yes</t>
        </is>
      </c>
      <c r="T171" s="181" t="inlineStr">
        <is>
          <t>Integrated from cleaned high-signal dataset</t>
        </is>
      </c>
    </row>
    <row r="172">
      <c r="A172" s="181" t="inlineStr">
        <is>
          <t>epicatechin</t>
        </is>
      </c>
      <c r="B172" s="181" t="inlineStr">
        <is>
          <t>epicatechin</t>
        </is>
      </c>
      <c r="C172" s="181" t="str"/>
      <c r="D172" s="181" t="inlineStr">
        <is>
          <t>flavonoid</t>
        </is>
      </c>
      <c r="E172" s="181" t="inlineStr">
        <is>
          <t>insufficient evidence</t>
        </is>
      </c>
      <c r="F172" s="181" t="inlineStr">
        <is>
          <t>adenosine receptor antagonism</t>
        </is>
      </c>
      <c r="G172" s="181" t="inlineStr">
        <is>
          <t>adenosine_antagonism</t>
        </is>
      </c>
      <c r="H172" s="181" t="inlineStr">
        <is>
          <t>Absorption and bioavailability vary; some compounds metabolized via cytochrome P450 enzymes.</t>
        </is>
      </c>
      <c r="I172" s="181" t="inlineStr">
        <is>
          <t>low</t>
        </is>
      </c>
      <c r="J172" s="181" t="inlineStr">
        <is>
          <t>no well-documented interactions</t>
        </is>
      </c>
      <c r="K172" s="181" t="str"/>
      <c r="L172" s="181" t="inlineStr">
        <is>
          <t>compound_level</t>
        </is>
      </c>
      <c r="M172" s="181" t="inlineStr">
        <is>
          <t>https://plants.sc.egov.usda.gov/home/search?query=Theobroma%20cacao | https://pubchem.ncbi.nlm.nih.gov/#query=epicatechin</t>
        </is>
      </c>
      <c r="N172" s="181" t="inlineStr">
        <is>
          <t>inferred_plus_trusted_gov</t>
        </is>
      </c>
      <c r="O172" s="181" t="inlineStr">
        <is>
          <t>scientific name; PubChem compound page (NIH); USDA Plants database</t>
        </is>
      </c>
      <c r="P172" s="181" t="str"/>
      <c r="Q172" s="181" t="inlineStr">
        <is>
          <t>theobroma-cacao</t>
        </is>
      </c>
      <c r="R172" s="181" t="n">
        <v>1</v>
      </c>
      <c r="S172" s="181" t="inlineStr">
        <is>
          <t>Yes</t>
        </is>
      </c>
      <c r="T172" s="181" t="inlineStr">
        <is>
          <t>Integrated from cleaned high-signal dataset</t>
        </is>
      </c>
    </row>
    <row r="173">
      <c r="A173" s="181" t="inlineStr">
        <is>
          <t>ergine</t>
        </is>
      </c>
      <c r="B173" s="181" t="inlineStr">
        <is>
          <t>ergine (lsa)</t>
        </is>
      </c>
      <c r="C173" s="181" t="str"/>
      <c r="D173" s="181" t="inlineStr">
        <is>
          <t>ergoline alkaloids</t>
        </is>
      </c>
      <c r="E173" s="181" t="inlineStr">
        <is>
          <t>insufficient evidence</t>
        </is>
      </c>
      <c r="F173" s="181" t="inlineStr">
        <is>
          <t>multi-target signaling modulation</t>
        </is>
      </c>
      <c r="G173" s="181" t="inlineStr">
        <is>
          <t>general or unknown targets</t>
        </is>
      </c>
      <c r="H173" s="181" t="inlineStr">
        <is>
          <t>Absorption and bioavailability vary; some compounds metabolized via cytochrome P450 enzymes.</t>
        </is>
      </c>
      <c r="I173" s="181" t="inlineStr">
        <is>
          <t>low</t>
        </is>
      </c>
      <c r="J173" s="181" t="inlineStr">
        <is>
          <t>no well-documented interactions</t>
        </is>
      </c>
      <c r="K173" s="181" t="str"/>
      <c r="L173" s="181" t="inlineStr">
        <is>
          <t>compound_level</t>
        </is>
      </c>
      <c r="M173" s="181" t="inlineStr">
        <is>
          <t>https://plants.sc.egov.usda.gov/home/search?query=Ipomoea%20tricolor | https://plants.sc.egov.usda.gov/home/search?query=Turbina%20corymbosa | https://pubchem.ncbi.nlm.nih.gov/#query=ergine%20%28lsa%29</t>
        </is>
      </c>
      <c r="N173" s="181" t="inlineStr">
        <is>
          <t>inferred_plus_trusted_gov</t>
        </is>
      </c>
      <c r="O173" s="181" t="inlineStr">
        <is>
          <t>scientific name; PubChem compound page (NIH); USDA Plants database</t>
        </is>
      </c>
      <c r="P173" s="181" t="str"/>
      <c r="Q173" s="181" t="inlineStr">
        <is>
          <t>ipomoea-tricolor; turbina-corymbosa</t>
        </is>
      </c>
      <c r="R173" s="181" t="n">
        <v>2</v>
      </c>
      <c r="S173" s="181" t="inlineStr">
        <is>
          <t>Yes</t>
        </is>
      </c>
      <c r="T173" s="181" t="inlineStr">
        <is>
          <t>Integrated from cleaned high-signal dataset</t>
        </is>
      </c>
    </row>
    <row r="174">
      <c r="A174" s="181" t="inlineStr">
        <is>
          <t>eryngial</t>
        </is>
      </c>
      <c r="B174" s="181" t="inlineStr">
        <is>
          <t>eryngial</t>
        </is>
      </c>
      <c r="C174" s="181" t="str"/>
      <c r="D174" s="181" t="inlineStr">
        <is>
          <t>phenolic acids</t>
        </is>
      </c>
      <c r="E174" s="181" t="inlineStr">
        <is>
          <t>insufficient evidence</t>
        </is>
      </c>
      <c r="F174" s="181" t="inlineStr">
        <is>
          <t>multi-target signaling modulation</t>
        </is>
      </c>
      <c r="G174" s="181" t="inlineStr">
        <is>
          <t>general or unknown targets</t>
        </is>
      </c>
      <c r="H174" s="181" t="inlineStr">
        <is>
          <t>Absorption and bioavailability vary; some compounds metabolized via cytochrome P450 enzymes.</t>
        </is>
      </c>
      <c r="I174" s="181" t="inlineStr">
        <is>
          <t>low</t>
        </is>
      </c>
      <c r="J174" s="181" t="inlineStr">
        <is>
          <t>no well-documented interactions</t>
        </is>
      </c>
      <c r="K174" s="181" t="str"/>
      <c r="L174" s="181" t="inlineStr">
        <is>
          <t>compound_level</t>
        </is>
      </c>
      <c r="M174" s="181" t="inlineStr">
        <is>
          <t>https://plants.sc.egov.usda.gov/home/search?query=Eryngium%20foetidum | https://pubchem.ncbi.nlm.nih.gov/#query=eryngial</t>
        </is>
      </c>
      <c r="N174" s="181" t="inlineStr">
        <is>
          <t>inferred_plus_trusted_gov</t>
        </is>
      </c>
      <c r="O174" s="181" t="inlineStr">
        <is>
          <t>scientific name; PubChem compound page (NIH); USDA Plants database</t>
        </is>
      </c>
      <c r="P174" s="181" t="str"/>
      <c r="Q174" s="181" t="inlineStr">
        <is>
          <t>eryngium-foetidum</t>
        </is>
      </c>
      <c r="R174" s="181" t="n">
        <v>1</v>
      </c>
      <c r="S174" s="181" t="inlineStr">
        <is>
          <t>Yes</t>
        </is>
      </c>
      <c r="T174" s="181" t="inlineStr">
        <is>
          <t>Integrated from cleaned high-signal dataset</t>
        </is>
      </c>
    </row>
    <row r="175">
      <c r="A175" s="181" t="inlineStr">
        <is>
          <t>esculetin</t>
        </is>
      </c>
      <c r="B175" s="181" t="inlineStr">
        <is>
          <t>esculetin</t>
        </is>
      </c>
      <c r="C175" s="181" t="str"/>
      <c r="D175" s="181" t="inlineStr">
        <is>
          <t>other</t>
        </is>
      </c>
      <c r="E175" s="181" t="inlineStr">
        <is>
          <t>insufficient evidence</t>
        </is>
      </c>
      <c r="F175" s="181" t="inlineStr">
        <is>
          <t>multi-target signaling modulation</t>
        </is>
      </c>
      <c r="G175" s="181" t="inlineStr">
        <is>
          <t>general or unknown targets</t>
        </is>
      </c>
      <c r="H175" s="181" t="inlineStr">
        <is>
          <t>moderate absorption; hepatic metabolism</t>
        </is>
      </c>
      <c r="I175" s="181" t="inlineStr">
        <is>
          <t>low</t>
        </is>
      </c>
      <c r="J175" s="181" t="inlineStr">
        <is>
          <t>no well-documented interactions</t>
        </is>
      </c>
      <c r="K175" s="181" t="str"/>
      <c r="L175" s="181" t="inlineStr">
        <is>
          <t>compound_level</t>
        </is>
      </c>
      <c r="M175" s="181" t="inlineStr">
        <is>
          <t>https://plants.sc.egov.usda.gov/home/search?query=casimiroa%20edulis | https://pubchem.ncbi.nlm.nih.gov/#query=esculetin</t>
        </is>
      </c>
      <c r="N175" s="181" t="inlineStr">
        <is>
          <t>trusted_gov_added</t>
        </is>
      </c>
      <c r="O175" s="181" t="inlineStr">
        <is>
          <t>PubChem compound page (NIH); USDA Plants database</t>
        </is>
      </c>
      <c r="P175" s="181" t="str"/>
      <c r="Q175" s="181" t="inlineStr">
        <is>
          <t>casimiroa-edulis</t>
        </is>
      </c>
      <c r="R175" s="181" t="n">
        <v>1</v>
      </c>
      <c r="S175" s="181" t="inlineStr">
        <is>
          <t>Yes</t>
        </is>
      </c>
      <c r="T175" s="181" t="inlineStr">
        <is>
          <t>Integrated from cleaned high-signal dataset</t>
        </is>
      </c>
    </row>
    <row r="176">
      <c r="A176" s="181" t="inlineStr">
        <is>
          <t>estragole</t>
        </is>
      </c>
      <c r="B176" s="181" t="inlineStr">
        <is>
          <t>estragole</t>
        </is>
      </c>
      <c r="C176" s="181" t="str"/>
      <c r="D176" s="181" t="inlineStr">
        <is>
          <t>other</t>
        </is>
      </c>
      <c r="E176" s="181" t="inlineStr">
        <is>
          <t>insufficient evidence</t>
        </is>
      </c>
      <c r="F176" s="181" t="inlineStr">
        <is>
          <t>multi-target signaling modulation</t>
        </is>
      </c>
      <c r="G176" s="181" t="inlineStr">
        <is>
          <t>general or unknown targets</t>
        </is>
      </c>
      <c r="H176" s="181" t="inlineStr">
        <is>
          <t>Absorption and bioavailability vary; some compounds metabolized via cytochrome P450 enzymes.</t>
        </is>
      </c>
      <c r="I176" s="181" t="inlineStr">
        <is>
          <t>low</t>
        </is>
      </c>
      <c r="J176" s="181" t="inlineStr">
        <is>
          <t>no well-documented interactions</t>
        </is>
      </c>
      <c r="K176" s="181" t="str"/>
      <c r="L176" s="181" t="inlineStr">
        <is>
          <t>compound_level</t>
        </is>
      </c>
      <c r="M176" s="181" t="inlineStr">
        <is>
          <t>https://plants.sc.egov.usda.gov/home/search?query=Agastache%20foeniculum | https://plants.sc.egov.usda.gov/home/search?query=Tagetes%20lucida | https://pubchem.ncbi.nlm.nih.gov/#query=estragole</t>
        </is>
      </c>
      <c r="N176" s="181" t="inlineStr">
        <is>
          <t>inferred_plus_trusted_gov</t>
        </is>
      </c>
      <c r="O176" s="181" t="inlineStr">
        <is>
          <t>scientific name; PubChem compound page (NIH); USDA Plants database</t>
        </is>
      </c>
      <c r="P176" s="181" t="str"/>
      <c r="Q176" s="181" t="inlineStr">
        <is>
          <t>agastache-foeniculum; tagetes-lucida</t>
        </is>
      </c>
      <c r="R176" s="181" t="n">
        <v>2</v>
      </c>
      <c r="S176" s="181" t="inlineStr">
        <is>
          <t>Yes</t>
        </is>
      </c>
      <c r="T176" s="181" t="inlineStr">
        <is>
          <t>Integrated from cleaned high-signal dataset</t>
        </is>
      </c>
    </row>
    <row r="177">
      <c r="A177" s="181" t="inlineStr">
        <is>
          <t>ethyl cinnamate</t>
        </is>
      </c>
      <c r="B177" s="181" t="inlineStr">
        <is>
          <t>ethyl cinnamate</t>
        </is>
      </c>
      <c r="C177" s="181" t="str"/>
      <c r="D177" s="181" t="inlineStr">
        <is>
          <t>Ethyl cinnamate, kaempferol, essential oils</t>
        </is>
      </c>
      <c r="E177" s="181" t="inlineStr">
        <is>
          <t>insufficient evidence</t>
        </is>
      </c>
      <c r="F177" s="181" t="inlineStr">
        <is>
          <t>multi-target signaling modulation</t>
        </is>
      </c>
      <c r="G177" s="181" t="inlineStr">
        <is>
          <t>general or unknown targets</t>
        </is>
      </c>
      <c r="H177" s="181" t="inlineStr">
        <is>
          <t>Oral; anti-inflammatory and stimulant</t>
        </is>
      </c>
      <c r="I177" s="181" t="inlineStr">
        <is>
          <t>low</t>
        </is>
      </c>
      <c r="J177" s="181" t="inlineStr">
        <is>
          <t>no well-documented interactions</t>
        </is>
      </c>
      <c r="K177" s="181" t="str"/>
      <c r="L177" s="181" t="inlineStr">
        <is>
          <t>compound_level</t>
        </is>
      </c>
      <c r="M177" s="181" t="inlineStr">
        <is>
          <t>https://plants.sc.egov.usda.gov/home/search?query=Kaempferia%20galanga | https://pubchem.ncbi.nlm.nih.gov/#query=ethyl%20cinnamate</t>
        </is>
      </c>
      <c r="N177" s="181" t="inlineStr">
        <is>
          <t>inferred_plus_trusted_gov</t>
        </is>
      </c>
      <c r="O177" s="181" t="inlineStr">
        <is>
          <t>scientific name; PubChem compound page (NIH); USDA Plants database</t>
        </is>
      </c>
      <c r="P177" s="181" t="str"/>
      <c r="Q177" s="181" t="inlineStr">
        <is>
          <t>kaempferia-galanga</t>
        </is>
      </c>
      <c r="R177" s="181" t="n">
        <v>1</v>
      </c>
      <c r="S177" s="181" t="inlineStr">
        <is>
          <t>Yes</t>
        </is>
      </c>
      <c r="T177" s="181" t="inlineStr">
        <is>
          <t>Integrated from cleaned high-signal dataset</t>
        </is>
      </c>
    </row>
    <row r="178">
      <c r="A178" s="181" t="inlineStr">
        <is>
          <t>eucalyptol cineole</t>
        </is>
      </c>
      <c r="B178" s="181" t="inlineStr">
        <is>
          <t>eucalyptol (cineole)</t>
        </is>
      </c>
      <c r="C178" s="181" t="str"/>
      <c r="D178" s="181" t="inlineStr">
        <is>
          <t>Eucalyptol (cineole), tannins, flavonoids</t>
        </is>
      </c>
      <c r="E178" s="181" t="inlineStr">
        <is>
          <t>insufficient evidence</t>
        </is>
      </c>
      <c r="F178" s="181" t="inlineStr">
        <is>
          <t>multi-target signaling modulation</t>
        </is>
      </c>
      <c r="G178" s="181" t="inlineStr">
        <is>
          <t>general or unknown targets</t>
        </is>
      </c>
      <c r="H178" s="181" t="inlineStr">
        <is>
          <t>Oral/inhaled; bronchodilator and antiseptic</t>
        </is>
      </c>
      <c r="I178" s="181" t="inlineStr">
        <is>
          <t>low</t>
        </is>
      </c>
      <c r="J178" s="181" t="inlineStr">
        <is>
          <t>no well-documented interactions</t>
        </is>
      </c>
      <c r="K178" s="181" t="str"/>
      <c r="L178" s="181" t="inlineStr">
        <is>
          <t>compound_level</t>
        </is>
      </c>
      <c r="M178" s="181" t="inlineStr">
        <is>
          <t>https://plants.sc.egov.usda.gov/home/search?query=Eucalyptus%20globulus | https://pubchem.ncbi.nlm.nih.gov/#query=eucalyptol%20%28cineole%29</t>
        </is>
      </c>
      <c r="N178" s="181" t="inlineStr">
        <is>
          <t>inferred_plus_trusted_gov</t>
        </is>
      </c>
      <c r="O178" s="181" t="inlineStr">
        <is>
          <t>scientific name; PubChem compound page (NIH); USDA Plants database</t>
        </is>
      </c>
      <c r="P178" s="181" t="str"/>
      <c r="Q178" s="181" t="inlineStr">
        <is>
          <t>eucalyptus-globulus</t>
        </is>
      </c>
      <c r="R178" s="181" t="n">
        <v>1</v>
      </c>
      <c r="S178" s="181" t="inlineStr">
        <is>
          <t>Yes</t>
        </is>
      </c>
      <c r="T178" s="181" t="inlineStr">
        <is>
          <t>Integrated from cleaned high-signal dataset</t>
        </is>
      </c>
    </row>
    <row r="179">
      <c r="A179" s="181" t="inlineStr">
        <is>
          <t>eugenol</t>
        </is>
      </c>
      <c r="B179" s="181" t="inlineStr">
        <is>
          <t>eugenol</t>
        </is>
      </c>
      <c r="C179" s="181" t="str"/>
      <c r="D179" s="181" t="inlineStr">
        <is>
          <t>phenolic</t>
        </is>
      </c>
      <c r="E179" s="181" t="inlineStr">
        <is>
          <t>Acts as a TRPV1-active analgesic and inhibits voltage-gated sodium channels; antiplatelet signaling also involves PLCγ2-PKC, cPLA2-TxA2, and NF-kB-linked pathways.</t>
        </is>
      </c>
      <c r="F179" s="181" t="inlineStr">
        <is>
          <t>COX/NF-kB inhibition; GABAergic modulation; multi-target signaling modulation</t>
        </is>
      </c>
      <c r="G179" s="181" t="inlineStr">
        <is>
          <t>NF-kB pathway inhibition; PLCγ2-PKC pathway inhibition; TRPV1 activation; cPLA2-TxA2 pathway inhibition; gabaergic_modulation; general or unknown targets; inflammatory_pathway_modulation; voltage-gated sodium channel inhibition</t>
        </is>
      </c>
      <c r="H179" s="181" t="inlineStr">
        <is>
          <t>Human and rat pharmacokinetic studies exist; concise human PK parameters remain limited for standardized dataset entry.</t>
        </is>
      </c>
      <c r="I179" s="181" t="inlineStr">
        <is>
          <t>Widely used at low exposures, including in dentistry; high concentrations can be cytotoxic and direct hepatotoxicity has been reported.</t>
        </is>
      </c>
      <c r="J179" s="181" t="inlineStr">
        <is>
          <t>Anticoagulants/antiplatelets (possible additive bleeding risk); sodium-channel-active anesthetics (possible additive pharmacologic effects).</t>
        </is>
      </c>
      <c r="K179" s="181" t="inlineStr">
        <is>
          <t>Moderate</t>
        </is>
      </c>
      <c r="L179" s="181" t="inlineStr">
        <is>
          <t>compound_level</t>
        </is>
      </c>
      <c r="M179" s="181" t="inlineStr">
        <is>
          <t>https://plants.sc.egov.usda.gov/home/search?query=Cinnamomum%20verum | https://plants.sc.egov.usda.gov/home/search?query=Laurus%20nobilis | https://plants.sc.egov.usda.gov/home/search?query=Ocimum%20sanctum | https://plants.sc.egov.usda.gov/home/search?query=Ocimum%20tenuiflorum | https://plants.sc.egov.usda.gov/home/search?query=Pimenta%20racemosa | https://plants.sc.egov.usda.gov/home/search?query=Syzygium%20aromaticum | https://plants.sc.egov.usda.gov/home/search?query=acorus%20calamus | https://plants.sc.egov.usda.gov/home/search?query=holy%20basil | https://pubchem.ncbi.nlm.nih.gov/#query=eugenol | https://pubchem.ncbi.nlm.nih.gov/compound/Eugenol | https://pubmed.ncbi.nlm.nih.gov/16998128/ | https://www.frontiersin.org/journals/pharmacology/articles/10.3389/fphar.2024.1354737/full | https://www.mdpi.com/2227-9059/12/8/1689 | https://www.ncbi.nlm.nih.gov/books/NBK551727/</t>
        </is>
      </c>
      <c r="N179" s="181" t="inlineStr">
        <is>
          <t>inferred_plus_trusted_gov; trusted_gov_added</t>
        </is>
      </c>
      <c r="O179" s="181" t="inlineStr">
        <is>
          <t>PubChem compound page (NIH); USDA Plants database; scientific name; PubChem compound page (NIH); USDA Plants database</t>
        </is>
      </c>
      <c r="P179" s="181" t="inlineStr">
        <is>
          <t>precision_monographs_berberine_eugenol.xlsx</t>
        </is>
      </c>
      <c r="Q179" s="181" t="inlineStr">
        <is>
          <t>acorus-calamus; cinnamomum-verum; laurus-nobilis; ocimum-sanctum; pimenta-racemosa; syzygium-aromaticum; tulsi</t>
        </is>
      </c>
      <c r="R179" s="181" t="n">
        <v>7</v>
      </c>
      <c r="S179" s="181" t="inlineStr">
        <is>
          <t>Yes</t>
        </is>
      </c>
      <c r="T179" s="181" t="inlineStr">
        <is>
          <t>Integrated from cleaned high-signal dataset; Integrated from compound monograph workbook</t>
        </is>
      </c>
    </row>
    <row r="180">
      <c r="A180" s="181" t="inlineStr">
        <is>
          <t>eurycomanone</t>
        </is>
      </c>
      <c r="B180" s="181" t="inlineStr">
        <is>
          <t>eurycomanone</t>
        </is>
      </c>
      <c r="C180" s="181" t="str"/>
      <c r="D180" s="181" t="inlineStr">
        <is>
          <t>other</t>
        </is>
      </c>
      <c r="E180" s="181" t="inlineStr">
        <is>
          <t>insufficient evidence</t>
        </is>
      </c>
      <c r="F180" s="181" t="inlineStr">
        <is>
          <t>multi-target signaling modulation</t>
        </is>
      </c>
      <c r="G180" s="181" t="inlineStr">
        <is>
          <t>general or unknown targets</t>
        </is>
      </c>
      <c r="H180" s="181" t="inlineStr">
        <is>
          <t>Oral extract; onset ~1 hr; duration ~4–6 hrs.</t>
        </is>
      </c>
      <c r="I180" s="181" t="inlineStr">
        <is>
          <t>low</t>
        </is>
      </c>
      <c r="J180" s="181" t="inlineStr">
        <is>
          <t>stimulants, steroids.</t>
        </is>
      </c>
      <c r="K180" s="181" t="str"/>
      <c r="L180" s="181" t="inlineStr">
        <is>
          <t>compound_level</t>
        </is>
      </c>
      <c r="M180" s="181" t="inlineStr">
        <is>
          <t>https://plants.sc.egov.usda.gov/home/search?query=Eurycoma%20longifolia | https://pubchem.ncbi.nlm.nih.gov/#query=eurycomanone</t>
        </is>
      </c>
      <c r="N180" s="181" t="inlineStr">
        <is>
          <t>inferred_plus_trusted_gov</t>
        </is>
      </c>
      <c r="O180" s="181" t="inlineStr">
        <is>
          <t>scientific name; PubChem compound page (NIH); USDA Plants database</t>
        </is>
      </c>
      <c r="P180" s="181" t="str"/>
      <c r="Q180" s="181" t="inlineStr">
        <is>
          <t>eurycoma-longifolia</t>
        </is>
      </c>
      <c r="R180" s="181" t="n">
        <v>1</v>
      </c>
      <c r="S180" s="181" t="inlineStr">
        <is>
          <t>Yes</t>
        </is>
      </c>
      <c r="T180" s="181" t="inlineStr">
        <is>
          <t>Integrated from cleaned high-signal dataset</t>
        </is>
      </c>
    </row>
    <row r="181">
      <c r="A181" s="181" t="inlineStr">
        <is>
          <t>evodiamine</t>
        </is>
      </c>
      <c r="B181" s="181" t="inlineStr">
        <is>
          <t>evodiamine</t>
        </is>
      </c>
      <c r="C181" s="181" t="str"/>
      <c r="D181" s="181" t="inlineStr">
        <is>
          <t>other</t>
        </is>
      </c>
      <c r="E181" s="181" t="inlineStr">
        <is>
          <t>insufficient evidence</t>
        </is>
      </c>
      <c r="F181" s="181" t="inlineStr">
        <is>
          <t>multi-target signaling modulation</t>
        </is>
      </c>
      <c r="G181" s="181" t="inlineStr">
        <is>
          <t>general or unknown targets</t>
        </is>
      </c>
      <c r="H181" s="181" t="inlineStr">
        <is>
          <t>Absorption and bioavailability vary; some compounds metabolized via cytochrome P450 enzymes.</t>
        </is>
      </c>
      <c r="I181" s="181" t="inlineStr">
        <is>
          <t>low</t>
        </is>
      </c>
      <c r="J181" s="181" t="inlineStr">
        <is>
          <t>no well-documented interactions</t>
        </is>
      </c>
      <c r="K181" s="181" t="str"/>
      <c r="L181" s="181" t="inlineStr">
        <is>
          <t>compound_level</t>
        </is>
      </c>
      <c r="M181" s="181" t="inlineStr">
        <is>
          <t>https://plants.sc.egov.usda.gov/home/search?query=Tetradium%20ruticarpum | https://pubchem.ncbi.nlm.nih.gov/#query=evodiamine</t>
        </is>
      </c>
      <c r="N181" s="181" t="inlineStr">
        <is>
          <t>inferred_plus_trusted_gov</t>
        </is>
      </c>
      <c r="O181" s="181" t="inlineStr">
        <is>
          <t>scientific name; PubChem compound page (NIH); USDA Plants database</t>
        </is>
      </c>
      <c r="P181" s="181" t="str"/>
      <c r="Q181" s="181" t="inlineStr">
        <is>
          <t>tetradium-ruticarpum</t>
        </is>
      </c>
      <c r="R181" s="181" t="n">
        <v>1</v>
      </c>
      <c r="S181" s="181" t="inlineStr">
        <is>
          <t>Yes</t>
        </is>
      </c>
      <c r="T181" s="181" t="inlineStr">
        <is>
          <t>Integrated from cleaned high-signal dataset</t>
        </is>
      </c>
    </row>
    <row r="182">
      <c r="A182" s="181" t="inlineStr">
        <is>
          <t>fangchinoline</t>
        </is>
      </c>
      <c r="B182" s="181" t="inlineStr">
        <is>
          <t>fangchinoline</t>
        </is>
      </c>
      <c r="C182" s="181" t="str"/>
      <c r="D182" s="181" t="inlineStr">
        <is>
          <t>other</t>
        </is>
      </c>
      <c r="E182" s="181" t="inlineStr">
        <is>
          <t>insufficient evidence</t>
        </is>
      </c>
      <c r="F182" s="181" t="inlineStr">
        <is>
          <t>multi-target signaling modulation</t>
        </is>
      </c>
      <c r="G182" s="181" t="inlineStr">
        <is>
          <t>general or unknown targets</t>
        </is>
      </c>
      <c r="H182" s="181" t="inlineStr">
        <is>
          <t>Absorption and bioavailability vary; some compounds metabolized via cytochrome P450 enzymes.</t>
        </is>
      </c>
      <c r="I182" s="181" t="inlineStr">
        <is>
          <t>low</t>
        </is>
      </c>
      <c r="J182" s="181" t="inlineStr">
        <is>
          <t>no well-documented interactions</t>
        </is>
      </c>
      <c r="K182" s="181" t="str"/>
      <c r="L182" s="181" t="inlineStr">
        <is>
          <t>compound_level</t>
        </is>
      </c>
      <c r="M182" s="181" t="inlineStr">
        <is>
          <t>https://plants.sc.egov.usda.gov/home/search?query=Stephania%20tetrandra | https://pubchem.ncbi.nlm.nih.gov/#query=fangchinoline</t>
        </is>
      </c>
      <c r="N182" s="181" t="inlineStr">
        <is>
          <t>inferred_plus_trusted_gov</t>
        </is>
      </c>
      <c r="O182" s="181" t="inlineStr">
        <is>
          <t>scientific name; PubChem compound page (NIH); USDA Plants database</t>
        </is>
      </c>
      <c r="P182" s="181" t="str"/>
      <c r="Q182" s="181" t="inlineStr">
        <is>
          <t>stephania-tetrandra</t>
        </is>
      </c>
      <c r="R182" s="181" t="n">
        <v>1</v>
      </c>
      <c r="S182" s="181" t="inlineStr">
        <is>
          <t>Yes</t>
        </is>
      </c>
      <c r="T182" s="181" t="inlineStr">
        <is>
          <t>Integrated from cleaned high-signal dataset</t>
        </is>
      </c>
    </row>
    <row r="183">
      <c r="A183" s="181" t="inlineStr">
        <is>
          <t>febrifugine</t>
        </is>
      </c>
      <c r="B183" s="181" t="inlineStr">
        <is>
          <t>febrifugine</t>
        </is>
      </c>
      <c r="C183" s="181" t="str"/>
      <c r="D183" s="181" t="inlineStr">
        <is>
          <t>other</t>
        </is>
      </c>
      <c r="E183" s="181" t="inlineStr">
        <is>
          <t>insufficient evidence</t>
        </is>
      </c>
      <c r="F183" s="181" t="inlineStr">
        <is>
          <t>multi-target signaling modulation</t>
        </is>
      </c>
      <c r="G183" s="181" t="inlineStr">
        <is>
          <t>general or unknown targets</t>
        </is>
      </c>
      <c r="H183" s="181" t="inlineStr">
        <is>
          <t>Absorption and bioavailability vary; some compounds metabolized via cytochrome P450 enzymes.</t>
        </is>
      </c>
      <c r="I183" s="181" t="inlineStr">
        <is>
          <t>low</t>
        </is>
      </c>
      <c r="J183" s="181" t="inlineStr">
        <is>
          <t>no well-documented interactions</t>
        </is>
      </c>
      <c r="K183" s="181" t="str"/>
      <c r="L183" s="181" t="inlineStr">
        <is>
          <t>compound_level</t>
        </is>
      </c>
      <c r="M183" s="181" t="inlineStr">
        <is>
          <t>https://plants.sc.egov.usda.gov/home/search?query=Dichroa%20febrifuga | https://pubchem.ncbi.nlm.nih.gov/#query=febrifugine</t>
        </is>
      </c>
      <c r="N183" s="181" t="inlineStr">
        <is>
          <t>inferred_plus_trusted_gov</t>
        </is>
      </c>
      <c r="O183" s="181" t="inlineStr">
        <is>
          <t>scientific name; PubChem compound page (NIH); USDA Plants database</t>
        </is>
      </c>
      <c r="P183" s="181" t="str"/>
      <c r="Q183" s="181" t="inlineStr">
        <is>
          <t>dichroa-febrifuga</t>
        </is>
      </c>
      <c r="R183" s="181" t="n">
        <v>1</v>
      </c>
      <c r="S183" s="181" t="inlineStr">
        <is>
          <t>Yes</t>
        </is>
      </c>
      <c r="T183" s="181" t="inlineStr">
        <is>
          <t>Integrated from cleaned high-signal dataset</t>
        </is>
      </c>
    </row>
    <row r="184">
      <c r="A184" s="181" t="inlineStr">
        <is>
          <t>fenchone</t>
        </is>
      </c>
      <c r="B184" s="181" t="inlineStr">
        <is>
          <t>fenchone</t>
        </is>
      </c>
      <c r="C184" s="181" t="str"/>
      <c r="D184" s="181" t="inlineStr">
        <is>
          <t>Anethole, fenchone, flavonoids</t>
        </is>
      </c>
      <c r="E184" s="181" t="inlineStr">
        <is>
          <t>insufficient evidence</t>
        </is>
      </c>
      <c r="F184" s="181" t="inlineStr">
        <is>
          <t>multi-target signaling modulation</t>
        </is>
      </c>
      <c r="G184" s="181" t="inlineStr">
        <is>
          <t>general or unknown targets</t>
        </is>
      </c>
      <c r="H184" s="181" t="inlineStr">
        <is>
          <t>Oral; antispasmodic and expectorant</t>
        </is>
      </c>
      <c r="I184" s="181" t="inlineStr">
        <is>
          <t>low</t>
        </is>
      </c>
      <c r="J184" s="181" t="inlineStr">
        <is>
          <t>no well-documented interactions</t>
        </is>
      </c>
      <c r="K184" s="181" t="str"/>
      <c r="L184" s="181" t="inlineStr">
        <is>
          <t>compound_level</t>
        </is>
      </c>
      <c r="M184" s="181" t="inlineStr">
        <is>
          <t>https://plants.sc.egov.usda.gov/home/search?query=Foeniculum%20vulgare | https://pubchem.ncbi.nlm.nih.gov/#query=fenchone</t>
        </is>
      </c>
      <c r="N184" s="181" t="inlineStr">
        <is>
          <t>inferred_plus_trusted_gov</t>
        </is>
      </c>
      <c r="O184" s="181" t="inlineStr">
        <is>
          <t>scientific name; PubChem compound page (NIH); USDA Plants database</t>
        </is>
      </c>
      <c r="P184" s="181" t="str"/>
      <c r="Q184" s="181" t="inlineStr">
        <is>
          <t>foeniculum-vulgare</t>
        </is>
      </c>
      <c r="R184" s="181" t="n">
        <v>1</v>
      </c>
      <c r="S184" s="181" t="inlineStr">
        <is>
          <t>Yes</t>
        </is>
      </c>
      <c r="T184" s="181" t="inlineStr">
        <is>
          <t>Integrated from cleaned high-signal dataset</t>
        </is>
      </c>
    </row>
    <row r="185">
      <c r="A185" s="181" t="inlineStr">
        <is>
          <t>ferulenol</t>
        </is>
      </c>
      <c r="B185" s="181" t="inlineStr">
        <is>
          <t>ferulenol</t>
        </is>
      </c>
      <c r="C185" s="181" t="str"/>
      <c r="D185" s="181" t="inlineStr">
        <is>
          <t>sesquiterpenes; coumarins</t>
        </is>
      </c>
      <c r="E185" s="181" t="inlineStr">
        <is>
          <t>insufficient evidence</t>
        </is>
      </c>
      <c r="F185" s="181" t="inlineStr">
        <is>
          <t>multi-target signaling modulation</t>
        </is>
      </c>
      <c r="G185" s="181" t="inlineStr">
        <is>
          <t>general or unknown targets</t>
        </is>
      </c>
      <c r="H185" s="181" t="inlineStr">
        <is>
          <t>Absorption and bioavailability vary; some compounds metabolized via cytochrome P450 enzymes.</t>
        </is>
      </c>
      <c r="I185" s="181" t="inlineStr">
        <is>
          <t>low</t>
        </is>
      </c>
      <c r="J185" s="181" t="inlineStr">
        <is>
          <t>no well-documented interactions</t>
        </is>
      </c>
      <c r="K185" s="181" t="str"/>
      <c r="L185" s="181" t="inlineStr">
        <is>
          <t>compound_level</t>
        </is>
      </c>
      <c r="M185" s="181" t="inlineStr">
        <is>
          <t>https://plants.sc.egov.usda.gov/home/search?query=Ferula%20communis | https://pubchem.ncbi.nlm.nih.gov/#query=ferulenol</t>
        </is>
      </c>
      <c r="N185" s="181" t="inlineStr">
        <is>
          <t>inferred_plus_trusted_gov</t>
        </is>
      </c>
      <c r="O185" s="181" t="inlineStr">
        <is>
          <t>scientific name; PubChem compound page (NIH); USDA Plants database</t>
        </is>
      </c>
      <c r="P185" s="181" t="str"/>
      <c r="Q185" s="181" t="inlineStr">
        <is>
          <t>ferula-communis</t>
        </is>
      </c>
      <c r="R185" s="181" t="n">
        <v>1</v>
      </c>
      <c r="S185" s="181" t="inlineStr">
        <is>
          <t>Yes</t>
        </is>
      </c>
      <c r="T185" s="181" t="inlineStr">
        <is>
          <t>Integrated from cleaned high-signal dataset</t>
        </is>
      </c>
    </row>
    <row r="186">
      <c r="A186" s="181" t="inlineStr">
        <is>
          <t>ferulic acid</t>
        </is>
      </c>
      <c r="B186" s="181" t="inlineStr">
        <is>
          <t>ferulic acid</t>
        </is>
      </c>
      <c r="C186" s="181" t="str"/>
      <c r="D186" s="181" t="inlineStr">
        <is>
          <t>Ferulic acid, ligustilide, polysaccharides</t>
        </is>
      </c>
      <c r="E186" s="181" t="inlineStr">
        <is>
          <t>insufficient evidence</t>
        </is>
      </c>
      <c r="F186" s="181" t="inlineStr">
        <is>
          <t>multi-target signaling modulation</t>
        </is>
      </c>
      <c r="G186" s="181" t="inlineStr">
        <is>
          <t>general or unknown targets</t>
        </is>
      </c>
      <c r="H186" s="181" t="inlineStr">
        <is>
          <t>Oral; blood tonic and smooth muscle modulation</t>
        </is>
      </c>
      <c r="I186" s="181" t="inlineStr">
        <is>
          <t>low</t>
        </is>
      </c>
      <c r="J186" s="181" t="inlineStr">
        <is>
          <t>no well-documented interactions</t>
        </is>
      </c>
      <c r="K186" s="181" t="str"/>
      <c r="L186" s="181" t="inlineStr">
        <is>
          <t>compound_level</t>
        </is>
      </c>
      <c r="M186" s="181" t="inlineStr">
        <is>
          <t>https://plants.sc.egov.usda.gov/home/search?query=Angelica%20sinensis | https://plants.sc.egov.usda.gov/home/search?query=Ferula%20assa-foetida | https://plants.sc.egov.usda.gov/home/search?query=Ligusticum%20chuanxiong | https://pubchem.ncbi.nlm.nih.gov/#query=ferulic%20acid</t>
        </is>
      </c>
      <c r="N186" s="181" t="inlineStr">
        <is>
          <t>inferred_plus_trusted_gov</t>
        </is>
      </c>
      <c r="O186" s="181" t="inlineStr">
        <is>
          <t>scientific name; PubChem compound page (NIH); USDA Plants database</t>
        </is>
      </c>
      <c r="P186" s="181" t="str"/>
      <c r="Q186" s="181" t="inlineStr">
        <is>
          <t>angelica-sinensis; ferula-assa-foetida; ligusticum-chuanxiong</t>
        </is>
      </c>
      <c r="R186" s="181" t="n">
        <v>3</v>
      </c>
      <c r="S186" s="181" t="inlineStr">
        <is>
          <t>Yes</t>
        </is>
      </c>
      <c r="T186" s="181" t="inlineStr">
        <is>
          <t>Integrated from cleaned high-signal dataset</t>
        </is>
      </c>
    </row>
    <row r="187">
      <c r="A187" s="181" t="inlineStr">
        <is>
          <t>formononetin</t>
        </is>
      </c>
      <c r="B187" s="181" t="inlineStr">
        <is>
          <t>formononetin</t>
        </is>
      </c>
      <c r="C187" s="181" t="str"/>
      <c r="D187" s="181" t="inlineStr">
        <is>
          <t>other</t>
        </is>
      </c>
      <c r="E187" s="181" t="inlineStr">
        <is>
          <t>insufficient evidence</t>
        </is>
      </c>
      <c r="F187" s="181" t="inlineStr">
        <is>
          <t>muscarinic receptor interaction</t>
        </is>
      </c>
      <c r="G187" s="181" t="inlineStr">
        <is>
          <t>cholinergic_modulation</t>
        </is>
      </c>
      <c r="H187" s="181" t="inlineStr">
        <is>
          <t>rapid systemic absorption; crosses BBB; hepatic metabolism</t>
        </is>
      </c>
      <c r="I187" s="181" t="inlineStr">
        <is>
          <t>low</t>
        </is>
      </c>
      <c r="J187" s="181" t="inlineStr">
        <is>
          <t>no well-documented interactions</t>
        </is>
      </c>
      <c r="K187" s="181" t="str"/>
      <c r="L187" s="181" t="inlineStr">
        <is>
          <t>compound_level</t>
        </is>
      </c>
      <c r="M187" s="181" t="inlineStr">
        <is>
          <t>https://plants.sc.egov.usda.gov/home/search?query=amorpha%20fruticosa | https://pubchem.ncbi.nlm.nih.gov/#query=formononetin</t>
        </is>
      </c>
      <c r="N187" s="181" t="inlineStr">
        <is>
          <t>trusted_gov_added</t>
        </is>
      </c>
      <c r="O187" s="181" t="inlineStr">
        <is>
          <t>PubChem compound page (NIH); USDA Plants database</t>
        </is>
      </c>
      <c r="P187" s="181" t="str"/>
      <c r="Q187" s="181" t="inlineStr">
        <is>
          <t>amorpha-fruticosa</t>
        </is>
      </c>
      <c r="R187" s="181" t="n">
        <v>1</v>
      </c>
      <c r="S187" s="181" t="inlineStr">
        <is>
          <t>Yes</t>
        </is>
      </c>
      <c r="T187" s="181" t="inlineStr">
        <is>
          <t>Integrated from cleaned high-signal dataset</t>
        </is>
      </c>
    </row>
    <row r="188">
      <c r="A188" s="181" t="inlineStr">
        <is>
          <t>fraxin</t>
        </is>
      </c>
      <c r="B188" s="181" t="inlineStr">
        <is>
          <t>fraxin</t>
        </is>
      </c>
      <c r="C188" s="181" t="str"/>
      <c r="D188" s="181" t="inlineStr">
        <is>
          <t>other</t>
        </is>
      </c>
      <c r="E188" s="181" t="inlineStr">
        <is>
          <t>insufficient evidence</t>
        </is>
      </c>
      <c r="F188" s="181" t="inlineStr">
        <is>
          <t>multi-target signaling modulation</t>
        </is>
      </c>
      <c r="G188" s="181" t="inlineStr">
        <is>
          <t>general or unknown targets</t>
        </is>
      </c>
      <c r="H188" s="181" t="inlineStr">
        <is>
          <t>Absorption and bioavailability vary; some compounds metabolized via cytochrome P450 enzymes.</t>
        </is>
      </c>
      <c r="I188" s="181" t="inlineStr">
        <is>
          <t>low</t>
        </is>
      </c>
      <c r="J188" s="181" t="inlineStr">
        <is>
          <t>no well-documented interactions</t>
        </is>
      </c>
      <c r="K188" s="181" t="str"/>
      <c r="L188" s="181" t="inlineStr">
        <is>
          <t>compound_level</t>
        </is>
      </c>
      <c r="M188" s="181" t="inlineStr">
        <is>
          <t>https://plants.sc.egov.usda.gov/home/search?query=Aesculus%20hippocastanum | https://pubchem.ncbi.nlm.nih.gov/#query=fraxin</t>
        </is>
      </c>
      <c r="N188" s="181" t="inlineStr">
        <is>
          <t>inferred_plus_trusted_gov</t>
        </is>
      </c>
      <c r="O188" s="181" t="inlineStr">
        <is>
          <t>scientific name; PubChem compound page (NIH); USDA Plants database</t>
        </is>
      </c>
      <c r="P188" s="181" t="str"/>
      <c r="Q188" s="181" t="inlineStr">
        <is>
          <t>aesculus-hippocastanum</t>
        </is>
      </c>
      <c r="R188" s="181" t="n">
        <v>1</v>
      </c>
      <c r="S188" s="181" t="inlineStr">
        <is>
          <t>Yes</t>
        </is>
      </c>
      <c r="T188" s="181" t="inlineStr">
        <is>
          <t>Integrated from cleaned high-signal dataset</t>
        </is>
      </c>
    </row>
    <row r="189">
      <c r="A189" s="181" t="inlineStr">
        <is>
          <t>fucoidan</t>
        </is>
      </c>
      <c r="B189" s="181" t="inlineStr">
        <is>
          <t>fucoidan</t>
        </is>
      </c>
      <c r="C189" s="181" t="str"/>
      <c r="D189" s="181" t="inlineStr">
        <is>
          <t>other</t>
        </is>
      </c>
      <c r="E189" s="181" t="inlineStr">
        <is>
          <t>insufficient evidence</t>
        </is>
      </c>
      <c r="F189" s="181" t="inlineStr">
        <is>
          <t>multi-target signaling modulation</t>
        </is>
      </c>
      <c r="G189" s="181" t="inlineStr">
        <is>
          <t>general or unknown targets</t>
        </is>
      </c>
      <c r="H189" s="181" t="inlineStr">
        <is>
          <t>Oral; influences T3/T4 thyroid hormones</t>
        </is>
      </c>
      <c r="I189" s="181" t="inlineStr">
        <is>
          <t>low</t>
        </is>
      </c>
      <c r="J189" s="181" t="inlineStr">
        <is>
          <t>no well-documented interactions</t>
        </is>
      </c>
      <c r="K189" s="181" t="str"/>
      <c r="L189" s="181" t="inlineStr">
        <is>
          <t>compound_level</t>
        </is>
      </c>
      <c r="M189" s="181" t="inlineStr">
        <is>
          <t>https://plants.sc.egov.usda.gov/home/search?query=Fucus%20vesiculosus | https://plants.sc.egov.usda.gov/home/search?query=Laminaria%20digitata | https://pubchem.ncbi.nlm.nih.gov/#query=fucoidan</t>
        </is>
      </c>
      <c r="N189" s="181" t="inlineStr">
        <is>
          <t>inferred_plus_trusted_gov</t>
        </is>
      </c>
      <c r="O189" s="181" t="inlineStr">
        <is>
          <t>scientific name; PubChem compound page (NIH); USDA Plants database</t>
        </is>
      </c>
      <c r="P189" s="181" t="str"/>
      <c r="Q189" s="181" t="inlineStr">
        <is>
          <t>fucus-vesiculosus; laminaria-digitata</t>
        </is>
      </c>
      <c r="R189" s="181" t="n">
        <v>2</v>
      </c>
      <c r="S189" s="181" t="inlineStr">
        <is>
          <t>Yes</t>
        </is>
      </c>
      <c r="T189" s="181" t="inlineStr">
        <is>
          <t>Integrated from cleaned high-signal dataset</t>
        </is>
      </c>
    </row>
    <row r="190">
      <c r="A190" s="181" t="inlineStr">
        <is>
          <t>gallic acid</t>
        </is>
      </c>
      <c r="B190" s="181" t="inlineStr">
        <is>
          <t>gallic acid</t>
        </is>
      </c>
      <c r="C190" s="181" t="str"/>
      <c r="D190" s="181" t="inlineStr">
        <is>
          <t>tannins</t>
        </is>
      </c>
      <c r="E190" s="181" t="inlineStr">
        <is>
          <t>insufficient evidence</t>
        </is>
      </c>
      <c r="F190" s="181" t="inlineStr">
        <is>
          <t>multi-target signaling modulation</t>
        </is>
      </c>
      <c r="G190" s="181" t="inlineStr">
        <is>
          <t>general or unknown targets</t>
        </is>
      </c>
      <c r="H190" s="181" t="inlineStr">
        <is>
          <t>moderate absorption; hepatic metabolism</t>
        </is>
      </c>
      <c r="I190" s="181" t="inlineStr">
        <is>
          <t>low</t>
        </is>
      </c>
      <c r="J190" s="181" t="inlineStr">
        <is>
          <t>no well-documented interactions</t>
        </is>
      </c>
      <c r="K190" s="181" t="str"/>
      <c r="L190" s="181" t="inlineStr">
        <is>
          <t>compound_level</t>
        </is>
      </c>
      <c r="M190" s="181" t="inlineStr">
        <is>
          <t>https://plants.sc.egov.usda.gov/home/search?query=acacia%20nilotica | https://pubchem.ncbi.nlm.nih.gov/#query=gallic%20acid</t>
        </is>
      </c>
      <c r="N190" s="181" t="inlineStr">
        <is>
          <t>trusted_gov_added</t>
        </is>
      </c>
      <c r="O190" s="181" t="inlineStr">
        <is>
          <t>PubChem compound page (NIH); USDA Plants database</t>
        </is>
      </c>
      <c r="P190" s="181" t="str"/>
      <c r="Q190" s="181" t="inlineStr">
        <is>
          <t>vachellia-nilotica</t>
        </is>
      </c>
      <c r="R190" s="181" t="n">
        <v>1</v>
      </c>
      <c r="S190" s="181" t="inlineStr">
        <is>
          <t>Yes</t>
        </is>
      </c>
      <c r="T190" s="181" t="inlineStr">
        <is>
          <t>Integrated from cleaned high-signal dataset</t>
        </is>
      </c>
    </row>
    <row r="191">
      <c r="A191" s="181" t="inlineStr">
        <is>
          <t>gamma-aminobutyric acid</t>
        </is>
      </c>
      <c r="B191" s="181" t="inlineStr">
        <is>
          <t>gamma-aminobutyric acid (GABA)</t>
        </is>
      </c>
      <c r="C191" s="181" t="str"/>
      <c r="D191" s="181" t="inlineStr">
        <is>
          <t>amino acid derivative</t>
        </is>
      </c>
      <c r="E191" s="181" t="inlineStr">
        <is>
          <t>Endogenous ligand at GABA-A (ionotropic chloride channel) and GABA-B (metabotropic GPCR) receptors.</t>
        </is>
      </c>
      <c r="F191" s="181" t="inlineStr">
        <is>
          <t>multi-target signaling modulation</t>
        </is>
      </c>
      <c r="G191" s="181" t="inlineStr">
        <is>
          <t>GABA-A receptor activation; GABA-B receptor activation; general or unknown targets</t>
        </is>
      </c>
      <c r="H191" s="181" t="inlineStr">
        <is>
          <t>Limited blood-brain barrier permeability when administered orally.</t>
        </is>
      </c>
      <c r="I191" s="181" t="inlineStr">
        <is>
          <t>Generally well tolerated; excessive CNS depression is possible with co-administered sedatives.</t>
        </is>
      </c>
      <c r="J191" s="181" t="inlineStr">
        <is>
          <t>CNS depressants (additive ↑ sedation via GABAergic signaling).</t>
        </is>
      </c>
      <c r="K191" s="181" t="inlineStr">
        <is>
          <t>high</t>
        </is>
      </c>
      <c r="L191" s="181" t="inlineStr">
        <is>
          <t>Batch10</t>
        </is>
      </c>
      <c r="M191" s="181" t="inlineStr">
        <is>
          <t>https://plants.sc.egov.usda.gov/home/search?query=casimiroa%20edulis | https://pubchem.ncbi.nlm.nih.gov/#query=gamma-aminobutyric%20acid</t>
        </is>
      </c>
      <c r="N191" s="181" t="inlineStr">
        <is>
          <t>trusted_gov_added</t>
        </is>
      </c>
      <c r="O191" s="181" t="inlineStr">
        <is>
          <t>PubChem compound page (NIH); USDA Plants database</t>
        </is>
      </c>
      <c r="P191" s="181" t="inlineStr">
        <is>
          <t>manual_batch10</t>
        </is>
      </c>
      <c r="Q191" s="181" t="inlineStr">
        <is>
          <t>casimiroa-edulis</t>
        </is>
      </c>
      <c r="R191" s="181" t="n">
        <v>1</v>
      </c>
      <c r="S191" s="181" t="inlineStr">
        <is>
          <t>Yes</t>
        </is>
      </c>
      <c r="T191" s="181" t="inlineStr">
        <is>
          <t>Integrated from cleaned high-signal dataset; Integrated from compound monograph workbook</t>
        </is>
      </c>
    </row>
    <row r="192">
      <c r="A192" s="181" t="inlineStr">
        <is>
          <t>gamma-linolenic acid</t>
        </is>
      </c>
      <c r="B192" s="181" t="inlineStr">
        <is>
          <t>gamma-linolenic acid</t>
        </is>
      </c>
      <c r="C192" s="181" t="str"/>
      <c r="D192" s="181" t="inlineStr">
        <is>
          <t>pyrrolizidine alkaloids</t>
        </is>
      </c>
      <c r="E192" s="181" t="inlineStr">
        <is>
          <t>insufficient evidence</t>
        </is>
      </c>
      <c r="F192" s="181" t="inlineStr">
        <is>
          <t>ppar activation</t>
        </is>
      </c>
      <c r="G192" s="181" t="inlineStr">
        <is>
          <t>PPARA, PPARG</t>
        </is>
      </c>
      <c r="H192" s="181" t="inlineStr">
        <is>
          <t>Absorption and bioavailability vary; some compounds metabolized via cytochrome P450 enzymes.</t>
        </is>
      </c>
      <c r="I192" s="181" t="inlineStr">
        <is>
          <t>low</t>
        </is>
      </c>
      <c r="J192" s="181" t="inlineStr">
        <is>
          <t>no well-documented interactions</t>
        </is>
      </c>
      <c r="K192" s="181" t="str"/>
      <c r="L192" s="181" t="inlineStr">
        <is>
          <t>compound_level</t>
        </is>
      </c>
      <c r="M192" s="181" t="inlineStr">
        <is>
          <t>https://plants.sc.egov.usda.gov/home/search?query=Borago%20officinalis | https://plants.sc.egov.usda.gov/home/search?query=Oenothera%20biennis | https://pubchem.ncbi.nlm.nih.gov/#query=gamma-linolenic%20acid</t>
        </is>
      </c>
      <c r="N192" s="181" t="inlineStr">
        <is>
          <t>inferred_plus_trusted_gov</t>
        </is>
      </c>
      <c r="O192" s="181" t="inlineStr">
        <is>
          <t>scientific name; PubChem compound page (NIH); USDA Plants database</t>
        </is>
      </c>
      <c r="P192" s="181" t="str"/>
      <c r="Q192" s="181" t="inlineStr">
        <is>
          <t>borago-officinalis; oenothera-biennis</t>
        </is>
      </c>
      <c r="R192" s="181" t="n">
        <v>2</v>
      </c>
      <c r="S192" s="181" t="inlineStr">
        <is>
          <t>Yes</t>
        </is>
      </c>
      <c r="T192" s="181" t="inlineStr">
        <is>
          <t>Integrated from cleaned high-signal dataset</t>
        </is>
      </c>
    </row>
    <row r="193">
      <c r="A193" s="181" t="inlineStr">
        <is>
          <t>gelsedine</t>
        </is>
      </c>
      <c r="B193" s="181" t="inlineStr">
        <is>
          <t>gelsedine</t>
        </is>
      </c>
      <c r="C193" s="181" t="str"/>
      <c r="D193" s="181" t="inlineStr">
        <is>
          <t>other</t>
        </is>
      </c>
      <c r="E193" s="181" t="inlineStr">
        <is>
          <t>Gelsemium alkaloids act on the central and peripheral nervous system; gelsemine has demonstrated antinociceptive activity at spinal alpha3 glycine receptors, while toxic alkaloids can cause convulsions and respiratory failure.</t>
        </is>
      </c>
      <c r="F193" s="181" t="inlineStr">
        <is>
          <t>multi-target signaling modulation</t>
        </is>
      </c>
      <c r="G193" s="181" t="inlineStr">
        <is>
          <t>general or unknown targets</t>
        </is>
      </c>
      <c r="H193" s="181" t="inlineStr">
        <is>
          <t>moderate absorption; hepatic metabolism</t>
        </is>
      </c>
      <c r="I193" s="181" t="inlineStr">
        <is>
          <t>low</t>
        </is>
      </c>
      <c r="J193" s="181" t="inlineStr">
        <is>
          <t>no well-documented interactions</t>
        </is>
      </c>
      <c r="K193" s="181" t="str"/>
      <c r="L193" s="181" t="inlineStr">
        <is>
          <t>compound_level</t>
        </is>
      </c>
      <c r="M193" s="181" t="inlineStr">
        <is>
          <t>https://plants.sc.egov.usda.gov/home/search?query=carolina%20jessamine | https://pubchem.ncbi.nlm.nih.gov/#query=gelsedine</t>
        </is>
      </c>
      <c r="N193" s="181" t="inlineStr">
        <is>
          <t>trusted_gov_added</t>
        </is>
      </c>
      <c r="O193" s="181" t="inlineStr">
        <is>
          <t>PubChem compound page (NIH); USDA Plants database</t>
        </is>
      </c>
      <c r="P193" s="181" t="str"/>
      <c r="Q193" s="181" t="inlineStr">
        <is>
          <t>carolina-jessamine</t>
        </is>
      </c>
      <c r="R193" s="181" t="n">
        <v>1</v>
      </c>
      <c r="S193" s="181" t="inlineStr">
        <is>
          <t>Yes</t>
        </is>
      </c>
      <c r="T193" s="181" t="inlineStr">
        <is>
          <t>Integrated from cleaned high-signal dataset</t>
        </is>
      </c>
    </row>
    <row r="194">
      <c r="A194" s="181" t="inlineStr">
        <is>
          <t>gelsemicine</t>
        </is>
      </c>
      <c r="B194" s="181" t="inlineStr">
        <is>
          <t>gelsemicine</t>
        </is>
      </c>
      <c r="C194" s="181" t="str"/>
      <c r="D194" s="181" t="inlineStr">
        <is>
          <t>other</t>
        </is>
      </c>
      <c r="E194" s="181" t="inlineStr">
        <is>
          <t>Gelsemium alkaloids act on the central and peripheral nervous system; gelsemine has demonstrated antinociceptive activity at spinal alpha3 glycine receptors, while toxic alkaloids can cause convulsions and respiratory failure.</t>
        </is>
      </c>
      <c r="F194" s="181" t="inlineStr">
        <is>
          <t>multi-target signaling modulation</t>
        </is>
      </c>
      <c r="G194" s="181" t="inlineStr">
        <is>
          <t>general or unknown targets</t>
        </is>
      </c>
      <c r="H194" s="181" t="inlineStr">
        <is>
          <t>moderate absorption; hepatic metabolism</t>
        </is>
      </c>
      <c r="I194" s="181" t="inlineStr">
        <is>
          <t>low</t>
        </is>
      </c>
      <c r="J194" s="181" t="inlineStr">
        <is>
          <t>no well-documented interactions</t>
        </is>
      </c>
      <c r="K194" s="181" t="str"/>
      <c r="L194" s="181" t="inlineStr">
        <is>
          <t>compound_level</t>
        </is>
      </c>
      <c r="M194" s="181" t="inlineStr">
        <is>
          <t>https://plants.sc.egov.usda.gov/home/search?query=carolina%20jessamine | https://pubchem.ncbi.nlm.nih.gov/#query=gelsemicine</t>
        </is>
      </c>
      <c r="N194" s="181" t="inlineStr">
        <is>
          <t>trusted_gov_added</t>
        </is>
      </c>
      <c r="O194" s="181" t="inlineStr">
        <is>
          <t>PubChem compound page (NIH); USDA Plants database</t>
        </is>
      </c>
      <c r="P194" s="181" t="str"/>
      <c r="Q194" s="181" t="inlineStr">
        <is>
          <t>carolina-jessamine</t>
        </is>
      </c>
      <c r="R194" s="181" t="n">
        <v>1</v>
      </c>
      <c r="S194" s="181" t="inlineStr">
        <is>
          <t>Yes</t>
        </is>
      </c>
      <c r="T194" s="181" t="inlineStr">
        <is>
          <t>Integrated from cleaned high-signal dataset</t>
        </is>
      </c>
    </row>
    <row r="195">
      <c r="A195" s="181" t="inlineStr">
        <is>
          <t>gelsemine</t>
        </is>
      </c>
      <c r="B195" s="181" t="inlineStr">
        <is>
          <t>gelsemine</t>
        </is>
      </c>
      <c r="C195" s="181" t="str"/>
      <c r="D195" s="181" t="inlineStr">
        <is>
          <t>other</t>
        </is>
      </c>
      <c r="E195" s="181" t="inlineStr">
        <is>
          <t>Gelsemium alkaloids act on the central and peripheral nervous system; gelsemine has demonstrated antinociceptive activity at spinal alpha3 glycine receptors, while toxic alkaloids can cause convulsions and respiratory failure.</t>
        </is>
      </c>
      <c r="F195" s="181" t="inlineStr">
        <is>
          <t>multi-target signaling modulation</t>
        </is>
      </c>
      <c r="G195" s="181" t="inlineStr">
        <is>
          <t>general or unknown targets</t>
        </is>
      </c>
      <c r="H195" s="181" t="inlineStr">
        <is>
          <t>moderate absorption; hepatic metabolism</t>
        </is>
      </c>
      <c r="I195" s="181" t="inlineStr">
        <is>
          <t>low</t>
        </is>
      </c>
      <c r="J195" s="181" t="inlineStr">
        <is>
          <t>no well-documented interactions</t>
        </is>
      </c>
      <c r="K195" s="181" t="str"/>
      <c r="L195" s="181" t="inlineStr">
        <is>
          <t>compound_level</t>
        </is>
      </c>
      <c r="M195" s="181" t="inlineStr">
        <is>
          <t>https://plants.sc.egov.usda.gov/home/search?query=carolina%20jessamine | https://pubchem.ncbi.nlm.nih.gov/#query=gelsemine</t>
        </is>
      </c>
      <c r="N195" s="181" t="inlineStr">
        <is>
          <t>trusted_gov_added</t>
        </is>
      </c>
      <c r="O195" s="181" t="inlineStr">
        <is>
          <t>PubChem compound page (NIH); USDA Plants database</t>
        </is>
      </c>
      <c r="P195" s="181" t="str"/>
      <c r="Q195" s="181" t="inlineStr">
        <is>
          <t>carolina-jessamine</t>
        </is>
      </c>
      <c r="R195" s="181" t="n">
        <v>1</v>
      </c>
      <c r="S195" s="181" t="inlineStr">
        <is>
          <t>Yes</t>
        </is>
      </c>
      <c r="T195" s="181" t="inlineStr">
        <is>
          <t>Integrated from cleaned high-signal dataset</t>
        </is>
      </c>
    </row>
    <row r="196">
      <c r="A196" s="181" t="inlineStr">
        <is>
          <t>gelseminine</t>
        </is>
      </c>
      <c r="B196" s="181" t="inlineStr">
        <is>
          <t>gelseminine</t>
        </is>
      </c>
      <c r="C196" s="181" t="str"/>
      <c r="D196" s="181" t="inlineStr">
        <is>
          <t>other</t>
        </is>
      </c>
      <c r="E196" s="181" t="inlineStr">
        <is>
          <t>Gelsemium alkaloids act on the central and peripheral nervous system; gelsemine has demonstrated antinociceptive activity at spinal alpha3 glycine receptors, while toxic alkaloids can cause convulsions and respiratory failure.</t>
        </is>
      </c>
      <c r="F196" s="181" t="inlineStr">
        <is>
          <t>multi-target signaling modulation</t>
        </is>
      </c>
      <c r="G196" s="181" t="inlineStr">
        <is>
          <t>general or unknown targets</t>
        </is>
      </c>
      <c r="H196" s="181" t="inlineStr">
        <is>
          <t>moderate absorption; hepatic metabolism</t>
        </is>
      </c>
      <c r="I196" s="181" t="inlineStr">
        <is>
          <t>low</t>
        </is>
      </c>
      <c r="J196" s="181" t="inlineStr">
        <is>
          <t>no well-documented interactions</t>
        </is>
      </c>
      <c r="K196" s="181" t="str"/>
      <c r="L196" s="181" t="inlineStr">
        <is>
          <t>compound_level</t>
        </is>
      </c>
      <c r="M196" s="181" t="inlineStr">
        <is>
          <t>https://plants.sc.egov.usda.gov/home/search?query=carolina%20jessamine | https://pubchem.ncbi.nlm.nih.gov/#query=gelseminine</t>
        </is>
      </c>
      <c r="N196" s="181" t="inlineStr">
        <is>
          <t>trusted_gov_added</t>
        </is>
      </c>
      <c r="O196" s="181" t="inlineStr">
        <is>
          <t>PubChem compound page (NIH); USDA Plants database</t>
        </is>
      </c>
      <c r="P196" s="181" t="str"/>
      <c r="Q196" s="181" t="inlineStr">
        <is>
          <t>carolina-jessamine</t>
        </is>
      </c>
      <c r="R196" s="181" t="n">
        <v>1</v>
      </c>
      <c r="S196" s="181" t="inlineStr">
        <is>
          <t>Yes</t>
        </is>
      </c>
      <c r="T196" s="181" t="inlineStr">
        <is>
          <t>Integrated from cleaned high-signal dataset</t>
        </is>
      </c>
    </row>
    <row r="197">
      <c r="A197" s="181" t="inlineStr">
        <is>
          <t>gelseverine</t>
        </is>
      </c>
      <c r="B197" s="181" t="inlineStr">
        <is>
          <t>gelseverine</t>
        </is>
      </c>
      <c r="C197" s="181" t="str"/>
      <c r="D197" s="181" t="inlineStr">
        <is>
          <t>other</t>
        </is>
      </c>
      <c r="E197" s="181" t="inlineStr">
        <is>
          <t>Gelsemium alkaloids act on the central and peripheral nervous system; gelsemine has demonstrated antinociceptive activity at spinal alpha3 glycine receptors, while toxic alkaloids can cause convulsions and respiratory failure.</t>
        </is>
      </c>
      <c r="F197" s="181" t="inlineStr">
        <is>
          <t>multi-target signaling modulation</t>
        </is>
      </c>
      <c r="G197" s="181" t="inlineStr">
        <is>
          <t>general or unknown targets</t>
        </is>
      </c>
      <c r="H197" s="181" t="inlineStr">
        <is>
          <t>moderate absorption; hepatic metabolism</t>
        </is>
      </c>
      <c r="I197" s="181" t="inlineStr">
        <is>
          <t>low</t>
        </is>
      </c>
      <c r="J197" s="181" t="inlineStr">
        <is>
          <t>no well-documented interactions</t>
        </is>
      </c>
      <c r="K197" s="181" t="str"/>
      <c r="L197" s="181" t="inlineStr">
        <is>
          <t>compound_level</t>
        </is>
      </c>
      <c r="M197" s="181" t="inlineStr">
        <is>
          <t>https://plants.sc.egov.usda.gov/home/search?query=carolina%20jessamine | https://pubchem.ncbi.nlm.nih.gov/#query=gelseverine</t>
        </is>
      </c>
      <c r="N197" s="181" t="inlineStr">
        <is>
          <t>trusted_gov_added</t>
        </is>
      </c>
      <c r="O197" s="181" t="inlineStr">
        <is>
          <t>PubChem compound page (NIH); USDA Plants database</t>
        </is>
      </c>
      <c r="P197" s="181" t="str"/>
      <c r="Q197" s="181" t="inlineStr">
        <is>
          <t>carolina-jessamine</t>
        </is>
      </c>
      <c r="R197" s="181" t="n">
        <v>1</v>
      </c>
      <c r="S197" s="181" t="inlineStr">
        <is>
          <t>Yes</t>
        </is>
      </c>
      <c r="T197" s="181" t="inlineStr">
        <is>
          <t>Integrated from cleaned high-signal dataset</t>
        </is>
      </c>
    </row>
    <row r="198">
      <c r="A198" s="181" t="inlineStr">
        <is>
          <t>geniposide</t>
        </is>
      </c>
      <c r="B198" s="181" t="inlineStr">
        <is>
          <t>geniposide</t>
        </is>
      </c>
      <c r="C198" s="181" t="str"/>
      <c r="D198" s="181" t="inlineStr">
        <is>
          <t>other</t>
        </is>
      </c>
      <c r="E198" s="181" t="inlineStr">
        <is>
          <t>insufficient evidence</t>
        </is>
      </c>
      <c r="F198" s="181" t="inlineStr">
        <is>
          <t>multi-target signaling modulation</t>
        </is>
      </c>
      <c r="G198" s="181" t="inlineStr">
        <is>
          <t>general or unknown targets</t>
        </is>
      </c>
      <c r="H198" s="181" t="inlineStr">
        <is>
          <t>Oral; anti-fever and cholagogue</t>
        </is>
      </c>
      <c r="I198" s="181" t="inlineStr">
        <is>
          <t>low</t>
        </is>
      </c>
      <c r="J198" s="181" t="inlineStr">
        <is>
          <t>no well-documented interactions</t>
        </is>
      </c>
      <c r="K198" s="181" t="str"/>
      <c r="L198" s="181" t="inlineStr">
        <is>
          <t>compound_level</t>
        </is>
      </c>
      <c r="M198" s="181" t="inlineStr">
        <is>
          <t>https://plants.sc.egov.usda.gov/home/search?query=Gardenia%20jasminoides | https://pubchem.ncbi.nlm.nih.gov/#query=geniposide</t>
        </is>
      </c>
      <c r="N198" s="181" t="inlineStr">
        <is>
          <t>inferred_plus_trusted_gov</t>
        </is>
      </c>
      <c r="O198" s="181" t="inlineStr">
        <is>
          <t>scientific name; PubChem compound page (NIH); USDA Plants database</t>
        </is>
      </c>
      <c r="P198" s="181" t="str"/>
      <c r="Q198" s="181" t="inlineStr">
        <is>
          <t>gardenia-jasminoides</t>
        </is>
      </c>
      <c r="R198" s="181" t="n">
        <v>1</v>
      </c>
      <c r="S198" s="181" t="inlineStr">
        <is>
          <t>Yes</t>
        </is>
      </c>
      <c r="T198" s="181" t="inlineStr">
        <is>
          <t>Integrated from cleaned high-signal dataset</t>
        </is>
      </c>
    </row>
    <row r="199">
      <c r="A199" s="181" t="inlineStr">
        <is>
          <t>genistein</t>
        </is>
      </c>
      <c r="B199" s="181" t="inlineStr">
        <is>
          <t>genistein</t>
        </is>
      </c>
      <c r="C199" s="181" t="str"/>
      <c r="D199" s="181" t="inlineStr">
        <is>
          <t>isoflavone</t>
        </is>
      </c>
      <c r="E199" s="181" t="inlineStr">
        <is>
          <t>Tyrosine kinase inhibition and estrogen receptor modulation</t>
        </is>
      </c>
      <c r="F199" s="181" t="str"/>
      <c r="G199" s="181" t="inlineStr">
        <is>
          <t>ER modulation; Tyrosine kinase inhibition</t>
        </is>
      </c>
      <c r="H199" s="181" t="str"/>
      <c r="I199" s="181" t="str"/>
      <c r="J199" s="181" t="inlineStr">
        <is>
          <t>Hormonal therapies (interaction possible)</t>
        </is>
      </c>
      <c r="K199" s="181" t="str"/>
      <c r="L199" s="181" t="inlineStr">
        <is>
          <t>Batch9</t>
        </is>
      </c>
      <c r="M199" s="181" t="str"/>
      <c r="N199" s="181" t="str"/>
      <c r="O199" s="181" t="str"/>
      <c r="P199" s="181" t="inlineStr">
        <is>
          <t>master_monographs_v3.xlsx</t>
        </is>
      </c>
      <c r="Q199" s="181" t="str"/>
      <c r="R199" s="181" t="n">
        <v>0</v>
      </c>
      <c r="S199" s="181" t="inlineStr">
        <is>
          <t>No</t>
        </is>
      </c>
      <c r="T199" s="181" t="inlineStr">
        <is>
          <t>Integrated from compound monograph workbook</t>
        </is>
      </c>
    </row>
    <row r="200">
      <c r="A200" s="181" t="inlineStr">
        <is>
          <t>gentiopicroside</t>
        </is>
      </c>
      <c r="B200" s="181" t="inlineStr">
        <is>
          <t>gentiopicroside</t>
        </is>
      </c>
      <c r="C200" s="181" t="str"/>
      <c r="D200" s="181" t="inlineStr">
        <is>
          <t>other</t>
        </is>
      </c>
      <c r="E200" s="181" t="inlineStr">
        <is>
          <t>insufficient evidence</t>
        </is>
      </c>
      <c r="F200" s="181" t="inlineStr">
        <is>
          <t>multi-target signaling modulation</t>
        </is>
      </c>
      <c r="G200" s="181" t="inlineStr">
        <is>
          <t>general or unknown targets</t>
        </is>
      </c>
      <c r="H200" s="181" t="inlineStr">
        <is>
          <t>Absorption and bioavailability vary; some compounds metabolized via cytochrome P450 enzymes.</t>
        </is>
      </c>
      <c r="I200" s="181" t="inlineStr">
        <is>
          <t>low</t>
        </is>
      </c>
      <c r="J200" s="181" t="inlineStr">
        <is>
          <t>no well-documented interactions</t>
        </is>
      </c>
      <c r="K200" s="181" t="str"/>
      <c r="L200" s="181" t="inlineStr">
        <is>
          <t>compound_level</t>
        </is>
      </c>
      <c r="M200" s="181" t="inlineStr">
        <is>
          <t>https://plants.sc.egov.usda.gov/home/search?query=Centaurium%20erythraea | https://plants.sc.egov.usda.gov/home/search?query=Gentiana%20lutea | https://pubchem.ncbi.nlm.nih.gov/#query=gentiopicroside</t>
        </is>
      </c>
      <c r="N200" s="181" t="inlineStr">
        <is>
          <t>inferred_plus_trusted_gov</t>
        </is>
      </c>
      <c r="O200" s="181" t="inlineStr">
        <is>
          <t>scientific name; PubChem compound page (NIH); USDA Plants database</t>
        </is>
      </c>
      <c r="P200" s="181" t="str"/>
      <c r="Q200" s="181" t="inlineStr">
        <is>
          <t>centaurium-erythraea; gentiana-lutea</t>
        </is>
      </c>
      <c r="R200" s="181" t="n">
        <v>2</v>
      </c>
      <c r="S200" s="181" t="inlineStr">
        <is>
          <t>Yes</t>
        </is>
      </c>
      <c r="T200" s="181" t="inlineStr">
        <is>
          <t>Integrated from cleaned high-signal dataset</t>
        </is>
      </c>
    </row>
    <row r="201">
      <c r="A201" s="181" t="inlineStr">
        <is>
          <t>geranial</t>
        </is>
      </c>
      <c r="B201" s="181" t="inlineStr">
        <is>
          <t>geranial</t>
        </is>
      </c>
      <c r="C201" s="181" t="str"/>
      <c r="D201" s="181" t="inlineStr">
        <is>
          <t>flavonoids</t>
        </is>
      </c>
      <c r="E201" s="181" t="inlineStr">
        <is>
          <t>insufficient evidence</t>
        </is>
      </c>
      <c r="F201" s="181" t="inlineStr">
        <is>
          <t>multi-target signaling modulation</t>
        </is>
      </c>
      <c r="G201" s="181" t="inlineStr">
        <is>
          <t>general or unknown targets</t>
        </is>
      </c>
      <c r="H201" s="181" t="inlineStr">
        <is>
          <t>Absorption and bioavailability vary; some compounds metabolized via cytochrome P450 enzymes.</t>
        </is>
      </c>
      <c r="I201" s="181" t="inlineStr">
        <is>
          <t>low</t>
        </is>
      </c>
      <c r="J201" s="181" t="inlineStr">
        <is>
          <t>no well-documented interactions</t>
        </is>
      </c>
      <c r="K201" s="181" t="str"/>
      <c r="L201" s="181" t="inlineStr">
        <is>
          <t>compound_level</t>
        </is>
      </c>
      <c r="M201" s="181" t="inlineStr">
        <is>
          <t>https://plants.sc.egov.usda.gov/home/search?query=Dracocephalum%20moldavica | https://pubchem.ncbi.nlm.nih.gov/#query=geranial</t>
        </is>
      </c>
      <c r="N201" s="181" t="inlineStr">
        <is>
          <t>inferred_plus_trusted_gov</t>
        </is>
      </c>
      <c r="O201" s="181" t="inlineStr">
        <is>
          <t>scientific name; PubChem compound page (NIH); USDA Plants database</t>
        </is>
      </c>
      <c r="P201" s="181" t="str"/>
      <c r="Q201" s="181" t="inlineStr">
        <is>
          <t>dracocephalum-moldavica</t>
        </is>
      </c>
      <c r="R201" s="181" t="n">
        <v>1</v>
      </c>
      <c r="S201" s="181" t="inlineStr">
        <is>
          <t>Yes</t>
        </is>
      </c>
      <c r="T201" s="181" t="inlineStr">
        <is>
          <t>Integrated from cleaned high-signal dataset</t>
        </is>
      </c>
    </row>
    <row r="202">
      <c r="A202" s="181" t="inlineStr">
        <is>
          <t>geraniin</t>
        </is>
      </c>
      <c r="B202" s="181" t="inlineStr">
        <is>
          <t>geraniin</t>
        </is>
      </c>
      <c r="C202" s="181" t="str"/>
      <c r="D202" s="181" t="inlineStr">
        <is>
          <t>Tannins, flavonoids, geraniin</t>
        </is>
      </c>
      <c r="E202" s="181" t="inlineStr">
        <is>
          <t>insufficient evidence</t>
        </is>
      </c>
      <c r="F202" s="181" t="inlineStr">
        <is>
          <t>multi-target signaling modulation</t>
        </is>
      </c>
      <c r="G202" s="181" t="inlineStr">
        <is>
          <t>general or unknown targets</t>
        </is>
      </c>
      <c r="H202" s="181" t="inlineStr">
        <is>
          <t>Oral; styptic and anti-inflammatory</t>
        </is>
      </c>
      <c r="I202" s="181" t="inlineStr">
        <is>
          <t>low</t>
        </is>
      </c>
      <c r="J202" s="181" t="inlineStr">
        <is>
          <t>no well-documented interactions</t>
        </is>
      </c>
      <c r="K202" s="181" t="str"/>
      <c r="L202" s="181" t="inlineStr">
        <is>
          <t>compound_level</t>
        </is>
      </c>
      <c r="M202" s="181" t="inlineStr">
        <is>
          <t>https://plants.sc.egov.usda.gov/home/search?query=Geranium%20robertianum | https://pubchem.ncbi.nlm.nih.gov/#query=geraniin</t>
        </is>
      </c>
      <c r="N202" s="181" t="inlineStr">
        <is>
          <t>inferred_plus_trusted_gov</t>
        </is>
      </c>
      <c r="O202" s="181" t="inlineStr">
        <is>
          <t>scientific name; PubChem compound page (NIH); USDA Plants database</t>
        </is>
      </c>
      <c r="P202" s="181" t="str"/>
      <c r="Q202" s="181" t="inlineStr">
        <is>
          <t>geranium-robertianum</t>
        </is>
      </c>
      <c r="R202" s="181" t="n">
        <v>1</v>
      </c>
      <c r="S202" s="181" t="inlineStr">
        <is>
          <t>Yes</t>
        </is>
      </c>
      <c r="T202" s="181" t="inlineStr">
        <is>
          <t>Integrated from cleaned high-signal dataset</t>
        </is>
      </c>
    </row>
    <row r="203">
      <c r="A203" s="181" t="inlineStr">
        <is>
          <t>geraniol</t>
        </is>
      </c>
      <c r="B203" s="181" t="inlineStr">
        <is>
          <t>geraniol</t>
        </is>
      </c>
      <c r="C203" s="181" t="str"/>
      <c r="D203" s="181" t="inlineStr">
        <is>
          <t>Citral, geraniol, flavonoids</t>
        </is>
      </c>
      <c r="E203" s="181" t="inlineStr">
        <is>
          <t>insufficient evidence</t>
        </is>
      </c>
      <c r="F203" s="181" t="inlineStr">
        <is>
          <t>multi-target signaling modulation</t>
        </is>
      </c>
      <c r="G203" s="181" t="inlineStr">
        <is>
          <t>general or unknown targets</t>
        </is>
      </c>
      <c r="H203" s="181" t="inlineStr">
        <is>
          <t>Oral; GABAergic and antimicrobial</t>
        </is>
      </c>
      <c r="I203" s="181" t="inlineStr">
        <is>
          <t>low</t>
        </is>
      </c>
      <c r="J203" s="181" t="inlineStr">
        <is>
          <t>no well-documented interactions</t>
        </is>
      </c>
      <c r="K203" s="181" t="str"/>
      <c r="L203" s="181" t="inlineStr">
        <is>
          <t>compound_level</t>
        </is>
      </c>
      <c r="M203" s="181" t="inlineStr">
        <is>
          <t>https://plants.sc.egov.usda.gov/home/search?query=Cymbopogon%20citratus | https://pubchem.ncbi.nlm.nih.gov/#query=geraniol</t>
        </is>
      </c>
      <c r="N203" s="181" t="inlineStr">
        <is>
          <t>inferred_plus_trusted_gov</t>
        </is>
      </c>
      <c r="O203" s="181" t="inlineStr">
        <is>
          <t>scientific name; PubChem compound page (NIH); USDA Plants database</t>
        </is>
      </c>
      <c r="P203" s="181" t="str"/>
      <c r="Q203" s="181" t="inlineStr">
        <is>
          <t>cymbopogon-citratus</t>
        </is>
      </c>
      <c r="R203" s="181" t="n">
        <v>1</v>
      </c>
      <c r="S203" s="181" t="inlineStr">
        <is>
          <t>Yes</t>
        </is>
      </c>
      <c r="T203" s="181" t="inlineStr">
        <is>
          <t>Integrated from cleaned high-signal dataset</t>
        </is>
      </c>
    </row>
    <row r="204">
      <c r="A204" s="181" t="inlineStr">
        <is>
          <t>ginkgo biloba ginkgolides</t>
        </is>
      </c>
      <c r="B204" s="181" t="inlineStr">
        <is>
          <t>ginkgo biloba (ginkgolides)</t>
        </is>
      </c>
      <c r="C204" s="181" t="str"/>
      <c r="D204" s="181" t="inlineStr">
        <is>
          <t>terpenoid</t>
        </is>
      </c>
      <c r="E204" s="181" t="inlineStr">
        <is>
          <t>Platelet-activating factor (PAF) antagonism</t>
        </is>
      </c>
      <c r="F204" s="181" t="str"/>
      <c r="G204" s="181" t="inlineStr">
        <is>
          <t>PAF receptor antagonism</t>
        </is>
      </c>
      <c r="H204" s="181" t="str"/>
      <c r="I204" s="181" t="str"/>
      <c r="J204" s="181" t="inlineStr">
        <is>
          <t>Anticoagulants (↑ bleeding risk)</t>
        </is>
      </c>
      <c r="K204" s="181" t="str"/>
      <c r="L204" s="181" t="inlineStr">
        <is>
          <t>Sprint6</t>
        </is>
      </c>
      <c r="M204" s="181" t="str"/>
      <c r="N204" s="181" t="str"/>
      <c r="O204" s="181" t="str"/>
      <c r="P204" s="181" t="inlineStr">
        <is>
          <t>precision_monographs_sprint6.xlsx</t>
        </is>
      </c>
      <c r="Q204" s="181" t="str"/>
      <c r="R204" s="181" t="n">
        <v>0</v>
      </c>
      <c r="S204" s="181" t="inlineStr">
        <is>
          <t>No</t>
        </is>
      </c>
      <c r="T204" s="181" t="inlineStr">
        <is>
          <t>Integrated from compound monograph workbook</t>
        </is>
      </c>
    </row>
    <row r="205">
      <c r="A205" s="181" t="inlineStr">
        <is>
          <t>ginsenosides including rb1</t>
        </is>
      </c>
      <c r="B205" s="181" t="inlineStr">
        <is>
          <t>ginsenosides (including rb1</t>
        </is>
      </c>
      <c r="C205" s="181" t="str"/>
      <c r="D205" s="181" t="inlineStr">
        <is>
          <t>other</t>
        </is>
      </c>
      <c r="E205" s="181" t="inlineStr">
        <is>
          <t>insufficient evidence</t>
        </is>
      </c>
      <c r="F205" s="181" t="inlineStr">
        <is>
          <t>GABAergic modulation</t>
        </is>
      </c>
      <c r="G205" s="181" t="inlineStr">
        <is>
          <t>gabaergic_modulation; inflammatory_pathway_modulation</t>
        </is>
      </c>
      <c r="H205" s="181" t="inlineStr">
        <is>
          <t>moderate absorption; hepatic metabolism</t>
        </is>
      </c>
      <c r="I205" s="181" t="inlineStr">
        <is>
          <t>low</t>
        </is>
      </c>
      <c r="J205" s="181" t="inlineStr">
        <is>
          <t>no well-documented interactions</t>
        </is>
      </c>
      <c r="K205" s="181" t="str"/>
      <c r="L205" s="181" t="inlineStr">
        <is>
          <t>compound_level</t>
        </is>
      </c>
      <c r="M205" s="181" t="inlineStr">
        <is>
          <t>https://plants.sc.egov.usda.gov/home/search?query=american%20ginseng | https://pubchem.ncbi.nlm.nih.gov/#query=ginsenosides%20%28including%20rb1</t>
        </is>
      </c>
      <c r="N205" s="181" t="inlineStr">
        <is>
          <t>trusted_gov_added</t>
        </is>
      </c>
      <c r="O205" s="181" t="inlineStr">
        <is>
          <t>PubChem compound page (NIH); USDA Plants database</t>
        </is>
      </c>
      <c r="P205" s="181" t="str"/>
      <c r="Q205" s="181" t="inlineStr">
        <is>
          <t>american-ginseng</t>
        </is>
      </c>
      <c r="R205" s="181" t="n">
        <v>1</v>
      </c>
      <c r="S205" s="181" t="inlineStr">
        <is>
          <t>Yes</t>
        </is>
      </c>
      <c r="T205" s="181" t="inlineStr">
        <is>
          <t>Integrated from cleaned high-signal dataset</t>
        </is>
      </c>
    </row>
    <row r="206">
      <c r="A206" s="181" t="inlineStr">
        <is>
          <t>ginsenosides rb1</t>
        </is>
      </c>
      <c r="B206" s="181" t="inlineStr">
        <is>
          <t>ginsenosides (rb1</t>
        </is>
      </c>
      <c r="C206" s="181" t="str"/>
      <c r="D206" s="181" t="inlineStr">
        <is>
          <t>Ginsenosides (Rb1, Re), polysaccharides</t>
        </is>
      </c>
      <c r="E206" s="181" t="inlineStr">
        <is>
          <t>insufficient evidence</t>
        </is>
      </c>
      <c r="F206" s="181" t="inlineStr">
        <is>
          <t>multi-target signaling modulation</t>
        </is>
      </c>
      <c r="G206" s="181" t="inlineStr">
        <is>
          <t>general or unknown targets</t>
        </is>
      </c>
      <c r="H206" s="181" t="inlineStr">
        <is>
          <t>Oral; cognitive and metabolic support</t>
        </is>
      </c>
      <c r="I206" s="181" t="inlineStr">
        <is>
          <t>low</t>
        </is>
      </c>
      <c r="J206" s="181" t="inlineStr">
        <is>
          <t>no well-documented interactions</t>
        </is>
      </c>
      <c r="K206" s="181" t="str"/>
      <c r="L206" s="181" t="inlineStr">
        <is>
          <t>compound_level</t>
        </is>
      </c>
      <c r="M206" s="181" t="inlineStr">
        <is>
          <t>https://plants.sc.egov.usda.gov/home/search?query=Panax%20quinquefolius | https://pubchem.ncbi.nlm.nih.gov/#query=ginsenosides%20%28rb1</t>
        </is>
      </c>
      <c r="N206" s="181" t="inlineStr">
        <is>
          <t>inferred_plus_trusted_gov</t>
        </is>
      </c>
      <c r="O206" s="181" t="inlineStr">
        <is>
          <t>scientific name; PubChem compound page (NIH); USDA Plants database</t>
        </is>
      </c>
      <c r="P206" s="181" t="str"/>
      <c r="Q206" s="181" t="inlineStr">
        <is>
          <t>panax-quinquefolius</t>
        </is>
      </c>
      <c r="R206" s="181" t="n">
        <v>1</v>
      </c>
      <c r="S206" s="181" t="inlineStr">
        <is>
          <t>Yes</t>
        </is>
      </c>
      <c r="T206" s="181" t="inlineStr">
        <is>
          <t>Integrated from cleaned high-signal dataset</t>
        </is>
      </c>
    </row>
    <row r="207">
      <c r="A207" s="181" t="inlineStr">
        <is>
          <t>gitoxin</t>
        </is>
      </c>
      <c r="B207" s="181" t="inlineStr">
        <is>
          <t>gitoxin</t>
        </is>
      </c>
      <c r="C207" s="181" t="str"/>
      <c r="D207" s="181" t="inlineStr">
        <is>
          <t>other</t>
        </is>
      </c>
      <c r="E207" s="181" t="inlineStr">
        <is>
          <t>insufficient evidence</t>
        </is>
      </c>
      <c r="F207" s="181" t="inlineStr">
        <is>
          <t>multi-target signaling modulation</t>
        </is>
      </c>
      <c r="G207" s="181" t="inlineStr">
        <is>
          <t>general or unknown targets</t>
        </is>
      </c>
      <c r="H207" s="181" t="inlineStr">
        <is>
          <t>moderate absorption; hepatic metabolism</t>
        </is>
      </c>
      <c r="I207" s="181" t="inlineStr">
        <is>
          <t>low</t>
        </is>
      </c>
      <c r="J207" s="181" t="inlineStr">
        <is>
          <t>no well-documented interactions</t>
        </is>
      </c>
      <c r="K207" s="181" t="str"/>
      <c r="L207" s="181" t="inlineStr">
        <is>
          <t>compound_level</t>
        </is>
      </c>
      <c r="M207" s="181" t="inlineStr">
        <is>
          <t>https://plants.sc.egov.usda.gov/home/search?query=foxglove | https://pubchem.ncbi.nlm.nih.gov/#query=gitoxin</t>
        </is>
      </c>
      <c r="N207" s="181" t="inlineStr">
        <is>
          <t>trusted_gov_added</t>
        </is>
      </c>
      <c r="O207" s="181" t="inlineStr">
        <is>
          <t>PubChem compound page (NIH); USDA Plants database</t>
        </is>
      </c>
      <c r="P207" s="181" t="str"/>
      <c r="Q207" s="181" t="inlineStr">
        <is>
          <t>foxglove</t>
        </is>
      </c>
      <c r="R207" s="181" t="n">
        <v>1</v>
      </c>
      <c r="S207" s="181" t="inlineStr">
        <is>
          <t>Yes</t>
        </is>
      </c>
      <c r="T207" s="181" t="inlineStr">
        <is>
          <t>Integrated from cleaned high-signal dataset</t>
        </is>
      </c>
    </row>
    <row r="208">
      <c r="A208" s="181" t="inlineStr">
        <is>
          <t>glycyrrhizin</t>
        </is>
      </c>
      <c r="B208" s="181" t="inlineStr">
        <is>
          <t>glycyrrhizin</t>
        </is>
      </c>
      <c r="C208" s="181" t="str"/>
      <c r="D208" s="181" t="inlineStr">
        <is>
          <t>Glycyrrhizin, flavonoids, saponins</t>
        </is>
      </c>
      <c r="E208" s="181" t="inlineStr">
        <is>
          <t>insufficient evidence</t>
        </is>
      </c>
      <c r="F208" s="181" t="inlineStr">
        <is>
          <t>multi-target signaling modulation</t>
        </is>
      </c>
      <c r="G208" s="181" t="inlineStr">
        <is>
          <t>general or unknown targets</t>
        </is>
      </c>
      <c r="H208" s="181" t="inlineStr">
        <is>
          <t>Oral; mucosal and adrenal support</t>
        </is>
      </c>
      <c r="I208" s="181" t="inlineStr">
        <is>
          <t>low</t>
        </is>
      </c>
      <c r="J208" s="181" t="inlineStr">
        <is>
          <t>no well-documented interactions</t>
        </is>
      </c>
      <c r="K208" s="181" t="str"/>
      <c r="L208" s="181" t="inlineStr">
        <is>
          <t>compound_level</t>
        </is>
      </c>
      <c r="M208" s="181" t="inlineStr">
        <is>
          <t>https://plants.sc.egov.usda.gov/home/search?query=Glycyrrhiza%20glabra | https://pubchem.ncbi.nlm.nih.gov/#query=glycyrrhizin</t>
        </is>
      </c>
      <c r="N208" s="181" t="inlineStr">
        <is>
          <t>inferred_plus_trusted_gov</t>
        </is>
      </c>
      <c r="O208" s="181" t="inlineStr">
        <is>
          <t>scientific name; PubChem compound page (NIH); USDA Plants database</t>
        </is>
      </c>
      <c r="P208" s="181" t="str"/>
      <c r="Q208" s="181" t="inlineStr">
        <is>
          <t>glycyrrhiza-glabra</t>
        </is>
      </c>
      <c r="R208" s="181" t="n">
        <v>1</v>
      </c>
      <c r="S208" s="181" t="inlineStr">
        <is>
          <t>Yes</t>
        </is>
      </c>
      <c r="T208" s="181" t="inlineStr">
        <is>
          <t>Integrated from cleaned high-signal dataset</t>
        </is>
      </c>
    </row>
    <row r="209">
      <c r="A209" s="181" t="inlineStr">
        <is>
          <t>gomisin</t>
        </is>
      </c>
      <c r="B209" s="181" t="inlineStr">
        <is>
          <t>gomisin</t>
        </is>
      </c>
      <c r="C209" s="181" t="str"/>
      <c r="D209" s="181" t="inlineStr">
        <is>
          <t>Schisandrin, gomisin, lignans</t>
        </is>
      </c>
      <c r="E209" s="181" t="inlineStr">
        <is>
          <t>insufficient evidence</t>
        </is>
      </c>
      <c r="F209" s="181" t="inlineStr">
        <is>
          <t>multi-target signaling modulation</t>
        </is>
      </c>
      <c r="G209" s="181" t="inlineStr">
        <is>
          <t>general or unknown targets</t>
        </is>
      </c>
      <c r="H209" s="181" t="inlineStr">
        <is>
          <t>Oral; antioxidant and hepatoprotective</t>
        </is>
      </c>
      <c r="I209" s="181" t="inlineStr">
        <is>
          <t>low</t>
        </is>
      </c>
      <c r="J209" s="181" t="inlineStr">
        <is>
          <t>no well-documented interactions</t>
        </is>
      </c>
      <c r="K209" s="181" t="str"/>
      <c r="L209" s="181" t="inlineStr">
        <is>
          <t>compound_level</t>
        </is>
      </c>
      <c r="M209" s="181" t="inlineStr">
        <is>
          <t>https://plants.sc.egov.usda.gov/home/search?query=Schisandra%20chinensis | https://pubchem.ncbi.nlm.nih.gov/#query=gomisin</t>
        </is>
      </c>
      <c r="N209" s="181" t="inlineStr">
        <is>
          <t>inferred_plus_trusted_gov</t>
        </is>
      </c>
      <c r="O209" s="181" t="inlineStr">
        <is>
          <t>scientific name; PubChem compound page (NIH); USDA Plants database</t>
        </is>
      </c>
      <c r="P209" s="181" t="str"/>
      <c r="Q209" s="181" t="inlineStr">
        <is>
          <t>schisandra-chinensis</t>
        </is>
      </c>
      <c r="R209" s="181" t="n">
        <v>1</v>
      </c>
      <c r="S209" s="181" t="inlineStr">
        <is>
          <t>Yes</t>
        </is>
      </c>
      <c r="T209" s="181" t="inlineStr">
        <is>
          <t>Integrated from cleaned high-signal dataset</t>
        </is>
      </c>
    </row>
    <row r="210">
      <c r="A210" s="181" t="inlineStr">
        <is>
          <t>gramine</t>
        </is>
      </c>
      <c r="B210" s="181" t="inlineStr">
        <is>
          <t>gramine</t>
        </is>
      </c>
      <c r="C210" s="181" t="str"/>
      <c r="D210" s="181" t="inlineStr">
        <is>
          <t>other</t>
        </is>
      </c>
      <c r="E210" s="181" t="inlineStr">
        <is>
          <t>insufficient evidence</t>
        </is>
      </c>
      <c r="F210" s="181" t="inlineStr">
        <is>
          <t>multi-target signaling modulation</t>
        </is>
      </c>
      <c r="G210" s="181" t="inlineStr">
        <is>
          <t>general or unknown targets</t>
        </is>
      </c>
      <c r="H210" s="181" t="inlineStr">
        <is>
          <t>Absorption and bioavailability vary; some compounds metabolized via cytochrome P450 enzymes.</t>
        </is>
      </c>
      <c r="I210" s="181" t="inlineStr">
        <is>
          <t>low</t>
        </is>
      </c>
      <c r="J210" s="181" t="inlineStr">
        <is>
          <t>no well-documented interactions</t>
        </is>
      </c>
      <c r="K210" s="181" t="str"/>
      <c r="L210" s="181" t="inlineStr">
        <is>
          <t>compound_level</t>
        </is>
      </c>
      <c r="M210" s="181" t="inlineStr">
        <is>
          <t>https://plants.sc.egov.usda.gov/home/search?query=Phalaris%20arundinacea | https://pubchem.ncbi.nlm.nih.gov/#query=gramine</t>
        </is>
      </c>
      <c r="N210" s="181" t="inlineStr">
        <is>
          <t>inferred_plus_trusted_gov</t>
        </is>
      </c>
      <c r="O210" s="181" t="inlineStr">
        <is>
          <t>scientific name; PubChem compound page (NIH); USDA Plants database</t>
        </is>
      </c>
      <c r="P210" s="181" t="str"/>
      <c r="Q210" s="181" t="inlineStr">
        <is>
          <t>phalaris-arundinacea</t>
        </is>
      </c>
      <c r="R210" s="181" t="n">
        <v>1</v>
      </c>
      <c r="S210" s="181" t="inlineStr">
        <is>
          <t>Yes</t>
        </is>
      </c>
      <c r="T210" s="181" t="inlineStr">
        <is>
          <t>Integrated from cleaned high-signal dataset</t>
        </is>
      </c>
    </row>
    <row r="211">
      <c r="A211" s="181" t="inlineStr">
        <is>
          <t>grindelic acid</t>
        </is>
      </c>
      <c r="B211" s="181" t="inlineStr">
        <is>
          <t>grindelic acid</t>
        </is>
      </c>
      <c r="C211" s="181" t="str"/>
      <c r="D211" s="181" t="inlineStr">
        <is>
          <t>diterpenes; flavonoids</t>
        </is>
      </c>
      <c r="E211" s="181" t="inlineStr">
        <is>
          <t>insufficient evidence</t>
        </is>
      </c>
      <c r="F211" s="181" t="inlineStr">
        <is>
          <t>multi-target signaling modulation</t>
        </is>
      </c>
      <c r="G211" s="181" t="inlineStr">
        <is>
          <t>general or unknown targets</t>
        </is>
      </c>
      <c r="H211" s="181" t="inlineStr">
        <is>
          <t>Absorption and bioavailability vary; some compounds metabolized via cytochrome P450 enzymes.</t>
        </is>
      </c>
      <c r="I211" s="181" t="inlineStr">
        <is>
          <t>low</t>
        </is>
      </c>
      <c r="J211" s="181" t="inlineStr">
        <is>
          <t>no well-documented interactions</t>
        </is>
      </c>
      <c r="K211" s="181" t="str"/>
      <c r="L211" s="181" t="inlineStr">
        <is>
          <t>compound_level</t>
        </is>
      </c>
      <c r="M211" s="181" t="inlineStr">
        <is>
          <t>https://plants.sc.egov.usda.gov/home/search?query=Grindelia%20robusta | https://pubchem.ncbi.nlm.nih.gov/#query=grindelic%20acid</t>
        </is>
      </c>
      <c r="N211" s="181" t="inlineStr">
        <is>
          <t>inferred_plus_trusted_gov</t>
        </is>
      </c>
      <c r="O211" s="181" t="inlineStr">
        <is>
          <t>scientific name; PubChem compound page (NIH); USDA Plants database</t>
        </is>
      </c>
      <c r="P211" s="181" t="str"/>
      <c r="Q211" s="181" t="inlineStr">
        <is>
          <t>grindelia-robusta</t>
        </is>
      </c>
      <c r="R211" s="181" t="n">
        <v>1</v>
      </c>
      <c r="S211" s="181" t="inlineStr">
        <is>
          <t>Yes</t>
        </is>
      </c>
      <c r="T211" s="181" t="inlineStr">
        <is>
          <t>Integrated from cleaned high-signal dataset</t>
        </is>
      </c>
    </row>
    <row r="212">
      <c r="A212" s="181" t="inlineStr">
        <is>
          <t>gurmarin</t>
        </is>
      </c>
      <c r="B212" s="181" t="inlineStr">
        <is>
          <t>gurmarin</t>
        </is>
      </c>
      <c r="C212" s="181" t="str"/>
      <c r="D212" s="181" t="inlineStr">
        <is>
          <t>other</t>
        </is>
      </c>
      <c r="E212" s="181" t="inlineStr">
        <is>
          <t>Gymnemic acids suppress sweet taste receptors and reduce intestinal glucose absorption; may enhance insulin secretion.</t>
        </is>
      </c>
      <c r="F212" s="181" t="inlineStr">
        <is>
          <t>multi-target signaling modulation</t>
        </is>
      </c>
      <c r="G212" s="181" t="inlineStr">
        <is>
          <t>general or unknown targets</t>
        </is>
      </c>
      <c r="H212" s="181" t="inlineStr">
        <is>
          <t>moderate absorption; hepatic metabolism</t>
        </is>
      </c>
      <c r="I212" s="181" t="inlineStr">
        <is>
          <t>low</t>
        </is>
      </c>
      <c r="J212" s="181" t="inlineStr">
        <is>
          <t>no well-documented interactions</t>
        </is>
      </c>
      <c r="K212" s="181" t="str"/>
      <c r="L212" s="181" t="inlineStr">
        <is>
          <t>compound_level</t>
        </is>
      </c>
      <c r="M212" s="181" t="inlineStr">
        <is>
          <t>https://plants.sc.egov.usda.gov/home/search?query=gymnema%20sylvestre | https://pubchem.ncbi.nlm.nih.gov/#query=gurmarin</t>
        </is>
      </c>
      <c r="N212" s="181" t="inlineStr">
        <is>
          <t>trusted_gov_added</t>
        </is>
      </c>
      <c r="O212" s="181" t="inlineStr">
        <is>
          <t>PubChem compound page (NIH); USDA Plants database</t>
        </is>
      </c>
      <c r="P212" s="181" t="str"/>
      <c r="Q212" s="181" t="inlineStr">
        <is>
          <t>gymnema-sylvestre</t>
        </is>
      </c>
      <c r="R212" s="181" t="n">
        <v>1</v>
      </c>
      <c r="S212" s="181" t="inlineStr">
        <is>
          <t>Yes</t>
        </is>
      </c>
      <c r="T212" s="181" t="inlineStr">
        <is>
          <t>Integrated from cleaned high-signal dataset</t>
        </is>
      </c>
    </row>
    <row r="213">
      <c r="A213" s="181" t="inlineStr">
        <is>
          <t>guvacine</t>
        </is>
      </c>
      <c r="B213" s="181" t="inlineStr">
        <is>
          <t>guvacine</t>
        </is>
      </c>
      <c r="C213" s="181" t="str"/>
      <c r="D213" s="181" t="inlineStr">
        <is>
          <t>other</t>
        </is>
      </c>
      <c r="E213" s="181" t="inlineStr">
        <is>
          <t>insufficient evidence</t>
        </is>
      </c>
      <c r="F213" s="181" t="inlineStr">
        <is>
          <t>multi-target signaling modulation</t>
        </is>
      </c>
      <c r="G213" s="181" t="inlineStr">
        <is>
          <t>general or unknown targets</t>
        </is>
      </c>
      <c r="H213" s="181" t="inlineStr">
        <is>
          <t>Absorption and bioavailability vary; some compounds metabolized via cytochrome P450 enzymes.</t>
        </is>
      </c>
      <c r="I213" s="181" t="inlineStr">
        <is>
          <t>low</t>
        </is>
      </c>
      <c r="J213" s="181" t="inlineStr">
        <is>
          <t>no well-documented interactions</t>
        </is>
      </c>
      <c r="K213" s="181" t="str"/>
      <c r="L213" s="181" t="inlineStr">
        <is>
          <t>compound_level</t>
        </is>
      </c>
      <c r="M213" s="181" t="inlineStr">
        <is>
          <t>https://plants.sc.egov.usda.gov/home/search?query=Areca%20catechu | https://pubchem.ncbi.nlm.nih.gov/#query=guvacine</t>
        </is>
      </c>
      <c r="N213" s="181" t="inlineStr">
        <is>
          <t>inferred_plus_trusted_gov</t>
        </is>
      </c>
      <c r="O213" s="181" t="inlineStr">
        <is>
          <t>scientific name; PubChem compound page (NIH); USDA Plants database</t>
        </is>
      </c>
      <c r="P213" s="181" t="str"/>
      <c r="Q213" s="181" t="inlineStr">
        <is>
          <t>areca-catechu</t>
        </is>
      </c>
      <c r="R213" s="181" t="n">
        <v>1</v>
      </c>
      <c r="S213" s="181" t="inlineStr">
        <is>
          <t>Yes</t>
        </is>
      </c>
      <c r="T213" s="181" t="inlineStr">
        <is>
          <t>Integrated from cleaned high-signal dataset</t>
        </is>
      </c>
    </row>
    <row r="214">
      <c r="A214" s="181" t="inlineStr">
        <is>
          <t>guvacoline</t>
        </is>
      </c>
      <c r="B214" s="181" t="inlineStr">
        <is>
          <t>guvacoline</t>
        </is>
      </c>
      <c r="C214" s="181" t="str"/>
      <c r="D214" s="181" t="inlineStr">
        <is>
          <t>other</t>
        </is>
      </c>
      <c r="E214" s="181" t="inlineStr">
        <is>
          <t>insufficient evidence</t>
        </is>
      </c>
      <c r="F214" s="181" t="inlineStr">
        <is>
          <t>multi-target signaling modulation</t>
        </is>
      </c>
      <c r="G214" s="181" t="inlineStr">
        <is>
          <t>general or unknown targets</t>
        </is>
      </c>
      <c r="H214" s="181" t="inlineStr">
        <is>
          <t>Absorption and bioavailability vary; some compounds metabolized via cytochrome P450 enzymes.</t>
        </is>
      </c>
      <c r="I214" s="181" t="inlineStr">
        <is>
          <t>low</t>
        </is>
      </c>
      <c r="J214" s="181" t="inlineStr">
        <is>
          <t>no well-documented interactions</t>
        </is>
      </c>
      <c r="K214" s="181" t="str"/>
      <c r="L214" s="181" t="inlineStr">
        <is>
          <t>compound_level</t>
        </is>
      </c>
      <c r="M214" s="181" t="inlineStr">
        <is>
          <t>https://plants.sc.egov.usda.gov/home/search?query=Areca%20catechu | https://pubchem.ncbi.nlm.nih.gov/#query=guvacoline</t>
        </is>
      </c>
      <c r="N214" s="181" t="inlineStr">
        <is>
          <t>inferred_plus_trusted_gov</t>
        </is>
      </c>
      <c r="O214" s="181" t="inlineStr">
        <is>
          <t>scientific name; PubChem compound page (NIH); USDA Plants database</t>
        </is>
      </c>
      <c r="P214" s="181" t="str"/>
      <c r="Q214" s="181" t="inlineStr">
        <is>
          <t>areca-catechu</t>
        </is>
      </c>
      <c r="R214" s="181" t="n">
        <v>1</v>
      </c>
      <c r="S214" s="181" t="inlineStr">
        <is>
          <t>Yes</t>
        </is>
      </c>
      <c r="T214" s="181" t="inlineStr">
        <is>
          <t>Integrated from cleaned high-signal dataset</t>
        </is>
      </c>
    </row>
    <row r="215">
      <c r="A215" s="181" t="inlineStr">
        <is>
          <t>gypenosides dammarane-type saponins</t>
        </is>
      </c>
      <c r="B215" s="181" t="inlineStr">
        <is>
          <t>gypenosides (dammarane-type saponins)</t>
        </is>
      </c>
      <c r="C215" s="181" t="str"/>
      <c r="D215" s="181" t="inlineStr">
        <is>
          <t>gypenosides (dammarane-type saponins)</t>
        </is>
      </c>
      <c r="E215" s="181" t="inlineStr">
        <is>
          <t>insufficient evidence</t>
        </is>
      </c>
      <c r="F215" s="181" t="inlineStr">
        <is>
          <t>multi-target signaling modulation</t>
        </is>
      </c>
      <c r="G215" s="181" t="inlineStr">
        <is>
          <t>general or unknown targets</t>
        </is>
      </c>
      <c r="H215" s="181" t="inlineStr">
        <is>
          <t>moderate absorption; hepatic metabolism</t>
        </is>
      </c>
      <c r="I215" s="181" t="inlineStr">
        <is>
          <t>low</t>
        </is>
      </c>
      <c r="J215" s="181" t="inlineStr">
        <is>
          <t>no well-documented interactions</t>
        </is>
      </c>
      <c r="K215" s="181" t="str"/>
      <c r="L215" s="181" t="inlineStr">
        <is>
          <t>compound_level</t>
        </is>
      </c>
      <c r="M215" s="181" t="inlineStr">
        <is>
          <t>https://plants.sc.egov.usda.gov/home/search?query=gynostemma%20pentaphyllum | https://pubchem.ncbi.nlm.nih.gov/#query=gypenosides%20%28dammarane-type%20saponins%29</t>
        </is>
      </c>
      <c r="N215" s="181" t="inlineStr">
        <is>
          <t>trusted_gov_added</t>
        </is>
      </c>
      <c r="O215" s="181" t="inlineStr">
        <is>
          <t>PubChem compound page (NIH); USDA Plants database</t>
        </is>
      </c>
      <c r="P215" s="181" t="str"/>
      <c r="Q215" s="181" t="inlineStr">
        <is>
          <t>gynostemma-pentaphyllum</t>
        </is>
      </c>
      <c r="R215" s="181" t="n">
        <v>1</v>
      </c>
      <c r="S215" s="181" t="inlineStr">
        <is>
          <t>Yes</t>
        </is>
      </c>
      <c r="T215" s="181" t="inlineStr">
        <is>
          <t>Integrated from cleaned high-signal dataset</t>
        </is>
      </c>
    </row>
    <row r="216">
      <c r="A216" s="181" t="inlineStr">
        <is>
          <t>harmaline</t>
        </is>
      </c>
      <c r="B216" s="181" t="inlineStr">
        <is>
          <t>harmaline</t>
        </is>
      </c>
      <c r="C216" s="181" t="str"/>
      <c r="D216" s="181" t="inlineStr">
        <is>
          <t>other</t>
        </is>
      </c>
      <c r="E216" s="181" t="inlineStr">
        <is>
          <t>Beta-carboline alkaloids act as reversible MAO-A inhibitors, allowing oral activity of DMT and modulating serotonergic signaling.</t>
        </is>
      </c>
      <c r="F216" s="181" t="inlineStr">
        <is>
          <t>multi-target signaling modulation</t>
        </is>
      </c>
      <c r="G216" s="181" t="inlineStr">
        <is>
          <t>general or unknown targets; monoamine_oxidase_inhibition; serotonergic_5HT2A_agonism</t>
        </is>
      </c>
      <c r="H216" s="181" t="inlineStr">
        <is>
          <t>moderate absorption; hepatic metabolism</t>
        </is>
      </c>
      <c r="I216" s="181" t="inlineStr">
        <is>
          <t>low</t>
        </is>
      </c>
      <c r="J216" s="181" t="inlineStr">
        <is>
          <t>no well-documented interactions</t>
        </is>
      </c>
      <c r="K216" s="181" t="str"/>
      <c r="L216" s="181" t="inlineStr">
        <is>
          <t>compound_level</t>
        </is>
      </c>
      <c r="M216" s="181" t="inlineStr">
        <is>
          <t>https://plants.sc.egov.usda.gov/home/search?query=Peganum%20harmala | https://plants.sc.egov.usda.gov/home/search?query=banisteriopsis%20caapi | https://pubchem.ncbi.nlm.nih.gov/#query=harmaline</t>
        </is>
      </c>
      <c r="N216" s="181" t="inlineStr">
        <is>
          <t>inferred_plus_trusted_gov; trusted_gov_added</t>
        </is>
      </c>
      <c r="O216" s="181" t="inlineStr">
        <is>
          <t>PubChem compound page (NIH); USDA Plants database; scientific name; PubChem compound page (NIH); USDA Plants database</t>
        </is>
      </c>
      <c r="P216" s="181" t="str"/>
      <c r="Q216" s="181" t="inlineStr">
        <is>
          <t>banisteriopsis-caapi; peganum-harmala</t>
        </is>
      </c>
      <c r="R216" s="181" t="n">
        <v>2</v>
      </c>
      <c r="S216" s="181" t="inlineStr">
        <is>
          <t>Yes</t>
        </is>
      </c>
      <c r="T216" s="181" t="inlineStr">
        <is>
          <t>Integrated from cleaned high-signal dataset</t>
        </is>
      </c>
    </row>
    <row r="217">
      <c r="A217" s="181" t="inlineStr">
        <is>
          <t>harmalol</t>
        </is>
      </c>
      <c r="B217" s="181" t="inlineStr">
        <is>
          <t>harmalol</t>
        </is>
      </c>
      <c r="C217" s="181" t="str"/>
      <c r="D217" s="181" t="inlineStr">
        <is>
          <t>other</t>
        </is>
      </c>
      <c r="E217" s="181" t="inlineStr">
        <is>
          <t>insufficient evidence</t>
        </is>
      </c>
      <c r="F217" s="181" t="inlineStr">
        <is>
          <t>multi-target signaling modulation</t>
        </is>
      </c>
      <c r="G217" s="181" t="inlineStr">
        <is>
          <t>general or unknown targets</t>
        </is>
      </c>
      <c r="H217" s="181" t="inlineStr">
        <is>
          <t>Oral; inhibits MAO-A</t>
        </is>
      </c>
      <c r="I217" s="181" t="inlineStr">
        <is>
          <t>low</t>
        </is>
      </c>
      <c r="J217" s="181" t="inlineStr">
        <is>
          <t>no well-documented interactions</t>
        </is>
      </c>
      <c r="K217" s="181" t="str"/>
      <c r="L217" s="181" t="inlineStr">
        <is>
          <t>compound_level</t>
        </is>
      </c>
      <c r="M217" s="181" t="inlineStr">
        <is>
          <t>https://plants.sc.egov.usda.gov/home/search?query=Peganum%20harmala | https://pubchem.ncbi.nlm.nih.gov/#query=harmalol</t>
        </is>
      </c>
      <c r="N217" s="181" t="inlineStr">
        <is>
          <t>inferred_plus_trusted_gov</t>
        </is>
      </c>
      <c r="O217" s="181" t="inlineStr">
        <is>
          <t>scientific name; PubChem compound page (NIH); USDA Plants database</t>
        </is>
      </c>
      <c r="P217" s="181" t="str"/>
      <c r="Q217" s="181" t="inlineStr">
        <is>
          <t>peganum-harmala</t>
        </is>
      </c>
      <c r="R217" s="181" t="n">
        <v>1</v>
      </c>
      <c r="S217" s="181" t="inlineStr">
        <is>
          <t>Yes</t>
        </is>
      </c>
      <c r="T217" s="181" t="inlineStr">
        <is>
          <t>Integrated from cleaned high-signal dataset</t>
        </is>
      </c>
    </row>
    <row r="218">
      <c r="A218" s="181" t="inlineStr">
        <is>
          <t>harmine</t>
        </is>
      </c>
      <c r="B218" s="181" t="inlineStr">
        <is>
          <t>harmine</t>
        </is>
      </c>
      <c r="C218" s="181" t="str"/>
      <c r="D218" s="181" t="inlineStr">
        <is>
          <t>other</t>
        </is>
      </c>
      <c r="E218" s="181" t="inlineStr">
        <is>
          <t>Beta-carboline alkaloids act as reversible MAO-A inhibitors, allowing oral activity of DMT and modulating serotonergic signaling.</t>
        </is>
      </c>
      <c r="F218" s="181" t="inlineStr">
        <is>
          <t>multi-target signaling modulation</t>
        </is>
      </c>
      <c r="G218" s="181" t="inlineStr">
        <is>
          <t>general or unknown targets; monoamine_oxidase_inhibition; serotonergic_5HT2A_agonism</t>
        </is>
      </c>
      <c r="H218" s="181" t="inlineStr">
        <is>
          <t>moderate absorption; hepatic metabolism</t>
        </is>
      </c>
      <c r="I218" s="181" t="inlineStr">
        <is>
          <t>low</t>
        </is>
      </c>
      <c r="J218" s="181" t="inlineStr">
        <is>
          <t>no well-documented interactions</t>
        </is>
      </c>
      <c r="K218" s="181" t="str"/>
      <c r="L218" s="181" t="inlineStr">
        <is>
          <t>compound_level</t>
        </is>
      </c>
      <c r="M218" s="181" t="inlineStr">
        <is>
          <t>https://plants.sc.egov.usda.gov/home/search?query=Peganum%20harmala | https://plants.sc.egov.usda.gov/home/search?query=banisteriopsis%20caapi | https://pubchem.ncbi.nlm.nih.gov/#query=harmine</t>
        </is>
      </c>
      <c r="N218" s="181" t="inlineStr">
        <is>
          <t>inferred_plus_trusted_gov; trusted_gov_added</t>
        </is>
      </c>
      <c r="O218" s="181" t="inlineStr">
        <is>
          <t>PubChem compound page (NIH); USDA Plants database; scientific name; PubChem compound page (NIH); USDA Plants database</t>
        </is>
      </c>
      <c r="P218" s="181" t="str"/>
      <c r="Q218" s="181" t="inlineStr">
        <is>
          <t>banisteriopsis-caapi; peganum-harmala</t>
        </is>
      </c>
      <c r="R218" s="181" t="n">
        <v>2</v>
      </c>
      <c r="S218" s="181" t="inlineStr">
        <is>
          <t>Yes</t>
        </is>
      </c>
      <c r="T218" s="181" t="inlineStr">
        <is>
          <t>Integrated from cleaned high-signal dataset</t>
        </is>
      </c>
    </row>
    <row r="219">
      <c r="A219" s="181" t="inlineStr">
        <is>
          <t>harpagoside</t>
        </is>
      </c>
      <c r="B219" s="181" t="inlineStr">
        <is>
          <t>harpagoside</t>
        </is>
      </c>
      <c r="C219" s="181" t="str"/>
      <c r="D219" s="181" t="inlineStr">
        <is>
          <t>iridoid glycosides</t>
        </is>
      </c>
      <c r="E219" s="181" t="inlineStr">
        <is>
          <t>insufficient evidence</t>
        </is>
      </c>
      <c r="F219" s="181" t="inlineStr">
        <is>
          <t>multi-target signaling modulation</t>
        </is>
      </c>
      <c r="G219" s="181" t="inlineStr">
        <is>
          <t>general or unknown targets</t>
        </is>
      </c>
      <c r="H219" s="181" t="inlineStr">
        <is>
          <t>Absorption and bioavailability vary; some compounds metabolized via cytochrome P450 enzymes.</t>
        </is>
      </c>
      <c r="I219" s="181" t="inlineStr">
        <is>
          <t>low</t>
        </is>
      </c>
      <c r="J219" s="181" t="inlineStr">
        <is>
          <t>no well-documented interactions</t>
        </is>
      </c>
      <c r="K219" s="181" t="str"/>
      <c r="L219" s="181" t="inlineStr">
        <is>
          <t>compound_level</t>
        </is>
      </c>
      <c r="M219" s="181" t="inlineStr">
        <is>
          <t>https://plants.sc.egov.usda.gov/home/search?query=Harpagophytum%20procumbens | https://pubchem.ncbi.nlm.nih.gov/#query=harpagoside</t>
        </is>
      </c>
      <c r="N219" s="181" t="inlineStr">
        <is>
          <t>inferred_plus_trusted_gov</t>
        </is>
      </c>
      <c r="O219" s="181" t="inlineStr">
        <is>
          <t>scientific name; PubChem compound page (NIH); USDA Plants database</t>
        </is>
      </c>
      <c r="P219" s="181" t="str"/>
      <c r="Q219" s="181" t="inlineStr">
        <is>
          <t>harpagophytum-procumbens</t>
        </is>
      </c>
      <c r="R219" s="181" t="n">
        <v>1</v>
      </c>
      <c r="S219" s="181" t="inlineStr">
        <is>
          <t>Yes</t>
        </is>
      </c>
      <c r="T219" s="181" t="inlineStr">
        <is>
          <t>Integrated from cleaned high-signal dataset</t>
        </is>
      </c>
    </row>
    <row r="220">
      <c r="A220" s="181" t="inlineStr">
        <is>
          <t>helenalin</t>
        </is>
      </c>
      <c r="B220" s="181" t="inlineStr">
        <is>
          <t>helenalin</t>
        </is>
      </c>
      <c r="C220" s="181" t="str"/>
      <c r="D220" s="181" t="inlineStr">
        <is>
          <t>sesquiterpene lactones</t>
        </is>
      </c>
      <c r="E220" s="181" t="inlineStr">
        <is>
          <t>insufficient evidence</t>
        </is>
      </c>
      <c r="F220" s="181" t="inlineStr">
        <is>
          <t>multi-target signaling modulation</t>
        </is>
      </c>
      <c r="G220" s="181" t="inlineStr">
        <is>
          <t>general or unknown targets</t>
        </is>
      </c>
      <c r="H220" s="181" t="inlineStr">
        <is>
          <t>Absorption and bioavailability vary; some compounds metabolized via cytochrome P450 enzymes.</t>
        </is>
      </c>
      <c r="I220" s="181" t="inlineStr">
        <is>
          <t>low</t>
        </is>
      </c>
      <c r="J220" s="181" t="inlineStr">
        <is>
          <t>no well-documented interactions</t>
        </is>
      </c>
      <c r="K220" s="181" t="str"/>
      <c r="L220" s="181" t="inlineStr">
        <is>
          <t>compound_level</t>
        </is>
      </c>
      <c r="M220" s="181" t="inlineStr">
        <is>
          <t>https://plants.sc.egov.usda.gov/home/search?query=Arnica%20montana | https://pubchem.ncbi.nlm.nih.gov/#query=helenalin</t>
        </is>
      </c>
      <c r="N220" s="181" t="inlineStr">
        <is>
          <t>inferred_plus_trusted_gov</t>
        </is>
      </c>
      <c r="O220" s="181" t="inlineStr">
        <is>
          <t>scientific name; PubChem compound page (NIH); USDA Plants database</t>
        </is>
      </c>
      <c r="P220" s="181" t="str"/>
      <c r="Q220" s="181" t="inlineStr">
        <is>
          <t>arnica-montana</t>
        </is>
      </c>
      <c r="R220" s="181" t="n">
        <v>1</v>
      </c>
      <c r="S220" s="181" t="inlineStr">
        <is>
          <t>Yes</t>
        </is>
      </c>
      <c r="T220" s="181" t="inlineStr">
        <is>
          <t>Integrated from cleaned high-signal dataset</t>
        </is>
      </c>
    </row>
    <row r="221">
      <c r="A221" s="181" t="inlineStr">
        <is>
          <t>hesperidin</t>
        </is>
      </c>
      <c r="B221" s="181" t="inlineStr">
        <is>
          <t>hesperidin</t>
        </is>
      </c>
      <c r="C221" s="181" t="str"/>
      <c r="D221" s="181" t="inlineStr">
        <is>
          <t>flavonoid</t>
        </is>
      </c>
      <c r="E221" s="181" t="inlineStr">
        <is>
          <t>Modulates inflammatory cytokine signaling</t>
        </is>
      </c>
      <c r="F221" s="181" t="str"/>
      <c r="G221" s="181" t="inlineStr">
        <is>
          <t>NF-kB modulation; cytokine suppression</t>
        </is>
      </c>
      <c r="H221" s="181" t="str"/>
      <c r="I221" s="181" t="str"/>
      <c r="J221" s="181" t="inlineStr">
        <is>
          <t>CYP interactions (possible)</t>
        </is>
      </c>
      <c r="K221" s="181" t="str"/>
      <c r="L221" s="181" t="inlineStr">
        <is>
          <t>Batch8</t>
        </is>
      </c>
      <c r="M221" s="181" t="str"/>
      <c r="N221" s="181" t="str"/>
      <c r="O221" s="181" t="str"/>
      <c r="P221" s="181" t="inlineStr">
        <is>
          <t>precision_monographs_batch8.xlsx</t>
        </is>
      </c>
      <c r="Q221" s="181" t="str"/>
      <c r="R221" s="181" t="n">
        <v>0</v>
      </c>
      <c r="S221" s="181" t="inlineStr">
        <is>
          <t>No</t>
        </is>
      </c>
      <c r="T221" s="181" t="inlineStr">
        <is>
          <t>Integrated from compound monograph workbook</t>
        </is>
      </c>
    </row>
    <row r="222">
      <c r="A222" s="181" t="inlineStr">
        <is>
          <t>hibiscus acid</t>
        </is>
      </c>
      <c r="B222" s="181" t="inlineStr">
        <is>
          <t>hibiscus acid</t>
        </is>
      </c>
      <c r="C222" s="181" t="str"/>
      <c r="D222" s="181" t="inlineStr">
        <is>
          <t>organic acid</t>
        </is>
      </c>
      <c r="E222" s="181" t="inlineStr">
        <is>
          <t>Anthocyanins and organic acids contribute antioxidant and ACE-inhibitory activity.</t>
        </is>
      </c>
      <c r="F222" s="181" t="inlineStr">
        <is>
          <t>multi-target signaling modulation</t>
        </is>
      </c>
      <c r="G222" s="181" t="inlineStr">
        <is>
          <t>general or unknown targets</t>
        </is>
      </c>
      <c r="H222" s="181" t="inlineStr">
        <is>
          <t>moderate absorption; hepatic metabolism</t>
        </is>
      </c>
      <c r="I222" s="181" t="inlineStr">
        <is>
          <t>low</t>
        </is>
      </c>
      <c r="J222" s="181" t="inlineStr">
        <is>
          <t>no well-documented interactions</t>
        </is>
      </c>
      <c r="K222" s="181" t="str"/>
      <c r="L222" s="181" t="inlineStr">
        <is>
          <t>compound_level</t>
        </is>
      </c>
      <c r="M222" s="181" t="inlineStr">
        <is>
          <t>https://plants.sc.egov.usda.gov/home/search?query=hibiscus%20sabdariffa | https://pubchem.ncbi.nlm.nih.gov/#query=hibiscus%20acid</t>
        </is>
      </c>
      <c r="N222" s="181" t="inlineStr">
        <is>
          <t>trusted_gov_added</t>
        </is>
      </c>
      <c r="O222" s="181" t="inlineStr">
        <is>
          <t>PubChem compound page (NIH); USDA Plants database</t>
        </is>
      </c>
      <c r="P222" s="181" t="str"/>
      <c r="Q222" s="181" t="inlineStr">
        <is>
          <t>hibiscus-sabdariffa</t>
        </is>
      </c>
      <c r="R222" s="181" t="n">
        <v>1</v>
      </c>
      <c r="S222" s="181" t="inlineStr">
        <is>
          <t>Yes</t>
        </is>
      </c>
      <c r="T222" s="181" t="inlineStr">
        <is>
          <t>Integrated from cleaned high-signal dataset</t>
        </is>
      </c>
    </row>
    <row r="223">
      <c r="A223" s="181" t="inlineStr">
        <is>
          <t>hinokiflavone</t>
        </is>
      </c>
      <c r="B223" s="181" t="inlineStr">
        <is>
          <t>hinokiflavone</t>
        </is>
      </c>
      <c r="C223" s="181" t="str"/>
      <c r="D223" s="181" t="inlineStr">
        <is>
          <t>biflavonoids</t>
        </is>
      </c>
      <c r="E223" s="181" t="inlineStr">
        <is>
          <t>insufficient evidence</t>
        </is>
      </c>
      <c r="F223" s="181" t="inlineStr">
        <is>
          <t>multi-target signaling modulation</t>
        </is>
      </c>
      <c r="G223" s="181" t="inlineStr">
        <is>
          <t>general or unknown targets</t>
        </is>
      </c>
      <c r="H223" s="181" t="inlineStr">
        <is>
          <t>Absorption and bioavailability vary; some compounds metabolized via cytochrome P450 enzymes.</t>
        </is>
      </c>
      <c r="I223" s="181" t="inlineStr">
        <is>
          <t>low</t>
        </is>
      </c>
      <c r="J223" s="181" t="inlineStr">
        <is>
          <t>no well-documented interactions</t>
        </is>
      </c>
      <c r="K223" s="181" t="str"/>
      <c r="L223" s="181" t="inlineStr">
        <is>
          <t>compound_level</t>
        </is>
      </c>
      <c r="M223" s="181" t="inlineStr">
        <is>
          <t>https://plants.sc.egov.usda.gov/home/search?query=Selaginella%20tamariscina | https://pubchem.ncbi.nlm.nih.gov/#query=hinokiflavone</t>
        </is>
      </c>
      <c r="N223" s="181" t="inlineStr">
        <is>
          <t>inferred_plus_trusted_gov</t>
        </is>
      </c>
      <c r="O223" s="181" t="inlineStr">
        <is>
          <t>scientific name; PubChem compound page (NIH); USDA Plants database</t>
        </is>
      </c>
      <c r="P223" s="181" t="str"/>
      <c r="Q223" s="181" t="inlineStr">
        <is>
          <t>selaginella-tamariscina</t>
        </is>
      </c>
      <c r="R223" s="181" t="n">
        <v>1</v>
      </c>
      <c r="S223" s="181" t="inlineStr">
        <is>
          <t>Yes</t>
        </is>
      </c>
      <c r="T223" s="181" t="inlineStr">
        <is>
          <t>Integrated from cleaned high-signal dataset</t>
        </is>
      </c>
    </row>
    <row r="224">
      <c r="A224" s="181" t="inlineStr">
        <is>
          <t>histamine</t>
        </is>
      </c>
      <c r="B224" s="181" t="inlineStr">
        <is>
          <t>histamine</t>
        </is>
      </c>
      <c r="C224" s="181" t="str"/>
      <c r="D224" s="181" t="inlineStr">
        <is>
          <t>lignans; flavonoids</t>
        </is>
      </c>
      <c r="E224" s="181" t="inlineStr">
        <is>
          <t>insufficient evidence</t>
        </is>
      </c>
      <c r="F224" s="181" t="inlineStr">
        <is>
          <t>multi-target signaling modulation</t>
        </is>
      </c>
      <c r="G224" s="181" t="inlineStr">
        <is>
          <t>general or unknown targets</t>
        </is>
      </c>
      <c r="H224" s="181" t="inlineStr">
        <is>
          <t>moderate absorption; extensive metabolism</t>
        </is>
      </c>
      <c r="I224" s="181" t="inlineStr">
        <is>
          <t>low</t>
        </is>
      </c>
      <c r="J224" s="181" t="inlineStr">
        <is>
          <t>no well-documented interactions</t>
        </is>
      </c>
      <c r="K224" s="181" t="str"/>
      <c r="L224" s="181" t="inlineStr">
        <is>
          <t>compound_level</t>
        </is>
      </c>
      <c r="M224" s="181" t="inlineStr">
        <is>
          <t>https://plants.sc.egov.usda.gov/home/search?query=urtica%20dioica | https://pubchem.ncbi.nlm.nih.gov/#query=histamine</t>
        </is>
      </c>
      <c r="N224" s="181" t="inlineStr">
        <is>
          <t>trusted_gov_added</t>
        </is>
      </c>
      <c r="O224" s="181" t="inlineStr">
        <is>
          <t>PubChem compound page (NIH); USDA Plants database</t>
        </is>
      </c>
      <c r="P224" s="181" t="str"/>
      <c r="Q224" s="181" t="inlineStr">
        <is>
          <t>urtica-dioica</t>
        </is>
      </c>
      <c r="R224" s="181" t="n">
        <v>1</v>
      </c>
      <c r="S224" s="181" t="inlineStr">
        <is>
          <t>Yes</t>
        </is>
      </c>
      <c r="T224" s="181" t="inlineStr">
        <is>
          <t>Integrated from cleaned high-signal dataset</t>
        </is>
      </c>
    </row>
    <row r="225">
      <c r="A225" s="181" t="inlineStr">
        <is>
          <t>humulone</t>
        </is>
      </c>
      <c r="B225" s="181" t="inlineStr">
        <is>
          <t>humulone</t>
        </is>
      </c>
      <c r="C225" s="181" t="str"/>
      <c r="D225" s="181" t="inlineStr">
        <is>
          <t>other</t>
        </is>
      </c>
      <c r="E225" s="181" t="inlineStr">
        <is>
          <t>insufficient evidence</t>
        </is>
      </c>
      <c r="F225" s="181" t="inlineStr">
        <is>
          <t>multi-target signaling modulation</t>
        </is>
      </c>
      <c r="G225" s="181" t="inlineStr">
        <is>
          <t>general or unknown targets</t>
        </is>
      </c>
      <c r="H225" s="181" t="inlineStr">
        <is>
          <t>Absorption and bioavailability vary; some compounds metabolized via cytochrome P450 enzymes.</t>
        </is>
      </c>
      <c r="I225" s="181" t="inlineStr">
        <is>
          <t>low</t>
        </is>
      </c>
      <c r="J225" s="181" t="inlineStr">
        <is>
          <t>no well-documented interactions</t>
        </is>
      </c>
      <c r="K225" s="181" t="str"/>
      <c r="L225" s="181" t="inlineStr">
        <is>
          <t>compound_level</t>
        </is>
      </c>
      <c r="M225" s="181" t="inlineStr">
        <is>
          <t>https://plants.sc.egov.usda.gov/home/search?query=Humulus%20lupulus | https://pubchem.ncbi.nlm.nih.gov/#query=humulone</t>
        </is>
      </c>
      <c r="N225" s="181" t="inlineStr">
        <is>
          <t>inferred_plus_trusted_gov</t>
        </is>
      </c>
      <c r="O225" s="181" t="inlineStr">
        <is>
          <t>scientific name; PubChem compound page (NIH); USDA Plants database</t>
        </is>
      </c>
      <c r="P225" s="181" t="str"/>
      <c r="Q225" s="181" t="inlineStr">
        <is>
          <t>humulus-lupulus</t>
        </is>
      </c>
      <c r="R225" s="181" t="n">
        <v>1</v>
      </c>
      <c r="S225" s="181" t="inlineStr">
        <is>
          <t>Yes</t>
        </is>
      </c>
      <c r="T225" s="181" t="inlineStr">
        <is>
          <t>Integrated from cleaned high-signal dataset</t>
        </is>
      </c>
    </row>
    <row r="226">
      <c r="A226" s="181" t="inlineStr">
        <is>
          <t>huperzine a</t>
        </is>
      </c>
      <c r="B226" s="181" t="inlineStr">
        <is>
          <t>huperzine A</t>
        </is>
      </c>
      <c r="C226" s="181" t="str"/>
      <c r="D226" s="181" t="inlineStr">
        <is>
          <t>sesquiterpene alkaloid</t>
        </is>
      </c>
      <c r="E226" s="181" t="inlineStr">
        <is>
          <t>Potent reversible acetylcholinesterase inhibitor that increases synaptic acetylcholine; this is the clearest and highest-signal mechanism in the batch.</t>
        </is>
      </c>
      <c r="F226" s="181" t="inlineStr">
        <is>
          <t>muscarinic receptor interaction</t>
        </is>
      </c>
      <c r="G226" s="181" t="inlineStr">
        <is>
          <t>Acetylcholinesterase inhibition; cholinergic_modulation; synaptic acetylcholine increase</t>
        </is>
      </c>
      <c r="H226" s="181" t="inlineStr">
        <is>
          <t>Human pharmacokinetic studies support oral absorption and measurable systemic exposure; compact dataset entry is best kept at that level unless exact parameters are needed.</t>
        </is>
      </c>
      <c r="I226" s="181" t="inlineStr">
        <is>
          <t>Cholinergic adverse effects can include nausea, vomiting, diarrhea, sweating, bradycardia, and vivid dreams or insomnia; use greater caution in people with bradyarrhythmia or strong cholinergic drug exposure.</t>
        </is>
      </c>
      <c r="J226" s="181" t="inlineStr">
        <is>
          <t>Anticholinergic drugs (functional opposition); acetylcholinesterase inhibitors and other cholinergic drugs (possible additive cholinergic effects including bradycardia/GI effects).</t>
        </is>
      </c>
      <c r="K226" s="181" t="inlineStr">
        <is>
          <t>High</t>
        </is>
      </c>
      <c r="L226" s="181" t="inlineStr">
        <is>
          <t>mixed</t>
        </is>
      </c>
      <c r="M226" s="181" t="inlineStr">
        <is>
          <t>https://plants.sc.egov.usda.gov/home/search?query=huperzia%20serrata | https://pubchem.ncbi.nlm.nih.gov/#query=huperzine%20a | https://pubchem.ncbi.nlm.nih.gov/compound/Huperzine-A | https://pubmed.ncbi.nlm.nih.gov/12954533/ | https://pubmed.ncbi.nlm.nih.gov/27460655/</t>
        </is>
      </c>
      <c r="N226" s="181" t="inlineStr">
        <is>
          <t>trusted_gov_added</t>
        </is>
      </c>
      <c r="O226" s="181" t="inlineStr">
        <is>
          <t>PubChem compound page (NIH); USDA Plants database</t>
        </is>
      </c>
      <c r="P226" s="181" t="inlineStr">
        <is>
          <t>Batch12_cholinergic_cognition_2026-04-07</t>
        </is>
      </c>
      <c r="Q226" s="181" t="inlineStr">
        <is>
          <t>huperzia-serrata</t>
        </is>
      </c>
      <c r="R226" s="181" t="n">
        <v>1</v>
      </c>
      <c r="S226" s="181" t="inlineStr">
        <is>
          <t>Yes</t>
        </is>
      </c>
      <c r="T226" s="181" t="inlineStr">
        <is>
          <t>Integrated from cleaned high-signal dataset; Integrated from compound monograph workbook</t>
        </is>
      </c>
    </row>
    <row r="227">
      <c r="A227" s="181" t="inlineStr">
        <is>
          <t>hydrastine</t>
        </is>
      </c>
      <c r="B227" s="181" t="inlineStr">
        <is>
          <t>hydrastine</t>
        </is>
      </c>
      <c r="C227" s="181" t="str"/>
      <c r="D227" s="181" t="inlineStr">
        <is>
          <t>Berberine, hydrastine, alkaloids</t>
        </is>
      </c>
      <c r="E227" s="181" t="inlineStr">
        <is>
          <t>insufficient evidence</t>
        </is>
      </c>
      <c r="F227" s="181" t="inlineStr">
        <is>
          <t>multi-target signaling modulation</t>
        </is>
      </c>
      <c r="G227" s="181" t="inlineStr">
        <is>
          <t>general or unknown targets</t>
        </is>
      </c>
      <c r="H227" s="181" t="inlineStr">
        <is>
          <t>Oral; antimicrobial and astringent</t>
        </is>
      </c>
      <c r="I227" s="181" t="inlineStr">
        <is>
          <t>low</t>
        </is>
      </c>
      <c r="J227" s="181" t="inlineStr">
        <is>
          <t>no well-documented interactions</t>
        </is>
      </c>
      <c r="K227" s="181" t="str"/>
      <c r="L227" s="181" t="inlineStr">
        <is>
          <t>compound_level</t>
        </is>
      </c>
      <c r="M227" s="181" t="inlineStr">
        <is>
          <t>https://plants.sc.egov.usda.gov/home/search?query=Hydrastis%20canadensis | https://pubchem.ncbi.nlm.nih.gov/#query=hydrastine</t>
        </is>
      </c>
      <c r="N227" s="181" t="inlineStr">
        <is>
          <t>inferred_plus_trusted_gov</t>
        </is>
      </c>
      <c r="O227" s="181" t="inlineStr">
        <is>
          <t>scientific name; PubChem compound page (NIH); USDA Plants database</t>
        </is>
      </c>
      <c r="P227" s="181" t="str"/>
      <c r="Q227" s="181" t="inlineStr">
        <is>
          <t>hydrastis-canadensis</t>
        </is>
      </c>
      <c r="R227" s="181" t="n">
        <v>1</v>
      </c>
      <c r="S227" s="181" t="inlineStr">
        <is>
          <t>Yes</t>
        </is>
      </c>
      <c r="T227" s="181" t="inlineStr">
        <is>
          <t>Integrated from cleaned high-signal dataset</t>
        </is>
      </c>
    </row>
    <row r="228">
      <c r="A228" s="181" t="inlineStr">
        <is>
          <t>hydroxy-alpha-sanshool</t>
        </is>
      </c>
      <c r="B228" s="181" t="inlineStr">
        <is>
          <t>hydroxy-alpha-sanshool</t>
        </is>
      </c>
      <c r="C228" s="181" t="str"/>
      <c r="D228" s="181" t="inlineStr">
        <is>
          <t>other</t>
        </is>
      </c>
      <c r="E228" s="181" t="inlineStr">
        <is>
          <t>insufficient evidence</t>
        </is>
      </c>
      <c r="F228" s="181" t="inlineStr">
        <is>
          <t>multi-target signaling modulation</t>
        </is>
      </c>
      <c r="G228" s="181" t="inlineStr">
        <is>
          <t>general or unknown targets</t>
        </is>
      </c>
      <c r="H228" s="181" t="inlineStr">
        <is>
          <t>moderate absorption; hepatic metabolism</t>
        </is>
      </c>
      <c r="I228" s="181" t="inlineStr">
        <is>
          <t>low</t>
        </is>
      </c>
      <c r="J228" s="181" t="inlineStr">
        <is>
          <t>no well-documented interactions</t>
        </is>
      </c>
      <c r="K228" s="181" t="str"/>
      <c r="L228" s="181" t="inlineStr">
        <is>
          <t>compound_level</t>
        </is>
      </c>
      <c r="M228" s="181" t="inlineStr">
        <is>
          <t>https://plants.sc.egov.usda.gov/home/search?query=sichuan%20pepper | https://pubchem.ncbi.nlm.nih.gov/#query=hydroxy-alpha-sanshool</t>
        </is>
      </c>
      <c r="N228" s="181" t="inlineStr">
        <is>
          <t>trusted_gov_added</t>
        </is>
      </c>
      <c r="O228" s="181" t="inlineStr">
        <is>
          <t>PubChem compound page (NIH); USDA Plants database</t>
        </is>
      </c>
      <c r="P228" s="181" t="str"/>
      <c r="Q228" s="181" t="inlineStr">
        <is>
          <t>zanthoxylum-bungeanum</t>
        </is>
      </c>
      <c r="R228" s="181" t="n">
        <v>1</v>
      </c>
      <c r="S228" s="181" t="inlineStr">
        <is>
          <t>Yes</t>
        </is>
      </c>
      <c r="T228" s="181" t="inlineStr">
        <is>
          <t>Integrated from cleaned high-signal dataset</t>
        </is>
      </c>
    </row>
    <row r="229">
      <c r="A229" s="181" t="inlineStr">
        <is>
          <t>hydroxy-beta-sanshool</t>
        </is>
      </c>
      <c r="B229" s="181" t="inlineStr">
        <is>
          <t>hydroxy-beta-sanshool</t>
        </is>
      </c>
      <c r="C229" s="181" t="str"/>
      <c r="D229" s="181" t="inlineStr">
        <is>
          <t>other</t>
        </is>
      </c>
      <c r="E229" s="181" t="inlineStr">
        <is>
          <t>insufficient evidence</t>
        </is>
      </c>
      <c r="F229" s="181" t="inlineStr">
        <is>
          <t>multi-target signaling modulation</t>
        </is>
      </c>
      <c r="G229" s="181" t="inlineStr">
        <is>
          <t>general or unknown targets</t>
        </is>
      </c>
      <c r="H229" s="181" t="inlineStr">
        <is>
          <t>moderate absorption; hepatic metabolism</t>
        </is>
      </c>
      <c r="I229" s="181" t="inlineStr">
        <is>
          <t>low</t>
        </is>
      </c>
      <c r="J229" s="181" t="inlineStr">
        <is>
          <t>no well-documented interactions</t>
        </is>
      </c>
      <c r="K229" s="181" t="str"/>
      <c r="L229" s="181" t="inlineStr">
        <is>
          <t>compound_level</t>
        </is>
      </c>
      <c r="M229" s="181" t="inlineStr">
        <is>
          <t>https://plants.sc.egov.usda.gov/home/search?query=sichuan%20pepper | https://pubchem.ncbi.nlm.nih.gov/#query=hydroxy-beta-sanshool</t>
        </is>
      </c>
      <c r="N229" s="181" t="inlineStr">
        <is>
          <t>trusted_gov_added</t>
        </is>
      </c>
      <c r="O229" s="181" t="inlineStr">
        <is>
          <t>PubChem compound page (NIH); USDA Plants database</t>
        </is>
      </c>
      <c r="P229" s="181" t="str"/>
      <c r="Q229" s="181" t="inlineStr">
        <is>
          <t>zanthoxylum-bungeanum</t>
        </is>
      </c>
      <c r="R229" s="181" t="n">
        <v>1</v>
      </c>
      <c r="S229" s="181" t="inlineStr">
        <is>
          <t>Yes</t>
        </is>
      </c>
      <c r="T229" s="181" t="inlineStr">
        <is>
          <t>Integrated from cleaned high-signal dataset</t>
        </is>
      </c>
    </row>
    <row r="230">
      <c r="A230" s="181" t="inlineStr">
        <is>
          <t>hydroxycitric acid</t>
        </is>
      </c>
      <c r="B230" s="181" t="inlineStr">
        <is>
          <t>hydroxycitric acid (hca)</t>
        </is>
      </c>
      <c r="C230" s="181" t="str"/>
      <c r="D230" s="181" t="inlineStr">
        <is>
          <t>organic acid</t>
        </is>
      </c>
      <c r="E230" s="181" t="inlineStr">
        <is>
          <t>insufficient evidence</t>
        </is>
      </c>
      <c r="F230" s="181" t="inlineStr">
        <is>
          <t>multi-target signaling modulation</t>
        </is>
      </c>
      <c r="G230" s="181" t="inlineStr">
        <is>
          <t>general or unknown targets</t>
        </is>
      </c>
      <c r="H230" s="181" t="inlineStr">
        <is>
          <t>Absorption and bioavailability vary; some compounds metabolized via cytochrome P450 enzymes.</t>
        </is>
      </c>
      <c r="I230" s="181" t="inlineStr">
        <is>
          <t>low</t>
        </is>
      </c>
      <c r="J230" s="181" t="inlineStr">
        <is>
          <t>no well-documented interactions</t>
        </is>
      </c>
      <c r="K230" s="181" t="str"/>
      <c r="L230" s="181" t="inlineStr">
        <is>
          <t>compound_level</t>
        </is>
      </c>
      <c r="M230" s="181" t="inlineStr">
        <is>
          <t>https://plants.sc.egov.usda.gov/home/search?query=Garcinia%20cambogia | https://pubchem.ncbi.nlm.nih.gov/#query=hydroxycitric%20acid%20%28hca%29</t>
        </is>
      </c>
      <c r="N230" s="181" t="inlineStr">
        <is>
          <t>inferred_plus_trusted_gov</t>
        </is>
      </c>
      <c r="O230" s="181" t="inlineStr">
        <is>
          <t>scientific name; PubChem compound page (NIH); USDA Plants database</t>
        </is>
      </c>
      <c r="P230" s="181" t="str"/>
      <c r="Q230" s="181" t="inlineStr">
        <is>
          <t>garcinia-cambogia</t>
        </is>
      </c>
      <c r="R230" s="181" t="n">
        <v>1</v>
      </c>
      <c r="S230" s="181" t="inlineStr">
        <is>
          <t>Yes</t>
        </is>
      </c>
      <c r="T230" s="181" t="inlineStr">
        <is>
          <t>Integrated from cleaned high-signal dataset</t>
        </is>
      </c>
    </row>
    <row r="231">
      <c r="A231" s="181" t="inlineStr">
        <is>
          <t>hyoscyamine</t>
        </is>
      </c>
      <c r="B231" s="181" t="inlineStr">
        <is>
          <t>hyoscyamine</t>
        </is>
      </c>
      <c r="C231" s="181" t="str"/>
      <c r="D231" s="181" t="inlineStr">
        <is>
          <t>alkaloid</t>
        </is>
      </c>
      <c r="E231" s="181" t="inlineStr">
        <is>
          <t>Scopolamine, hyoscyamine, and atropine block muscarinic acetylcholine receptors (anticholinergic), disrupting sensory and cognitive processing.</t>
        </is>
      </c>
      <c r="F231" s="181" t="inlineStr">
        <is>
          <t>muscarinic receptor interaction</t>
        </is>
      </c>
      <c r="G231" s="181" t="inlineStr">
        <is>
          <t>CHRM1, CHRM2 (muscarinic receptors); cholinergic_modulation</t>
        </is>
      </c>
      <c r="H231" s="181" t="inlineStr">
        <is>
          <t>Absorption and bioavailability vary; some compounds metabolized via cytochrome P450 enzymes.</t>
        </is>
      </c>
      <c r="I231" s="181" t="inlineStr">
        <is>
          <t>high</t>
        </is>
      </c>
      <c r="J231" s="181" t="inlineStr">
        <is>
          <t>avoid with other anticholinergics; additive toxicity</t>
        </is>
      </c>
      <c r="K231" s="181" t="str"/>
      <c r="L231" s="181" t="inlineStr">
        <is>
          <t>compound_level</t>
        </is>
      </c>
      <c r="M231" s="181" t="inlineStr">
        <is>
          <t>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https://pubchem.ncbi.nlm.nih.gov/#query=hyoscyamine | https://www.ncbi.nlm.nih.gov/pmc/articles/PMC1318951/</t>
        </is>
      </c>
      <c r="N231" s="181" t="inlineStr">
        <is>
          <t>citation_or_url_present; inferred_plus_trusted_gov; trusted_gov_added</t>
        </is>
      </c>
      <c r="O231" s="181" t="inlineStr">
        <is>
          <t>PubChem compound page (NIH); USDA Plants database; scientific name; PubChem compound page (NIH); USDA Plants database</t>
        </is>
      </c>
      <c r="P231" s="181" t="str"/>
      <c r="Q231" s="181" t="inlineStr">
        <is>
          <t>atropa-belladonna; brugmansia; brugmansia-sanguinea; brugmansia-suaveolens; datura-ferox; datura-wrightii; duboisia-myoporoides; hyoscyamus-niger; mandragora-officinarum; scopolia-carniolica; solandra-maxima</t>
        </is>
      </c>
      <c r="R231" s="181" t="n">
        <v>11</v>
      </c>
      <c r="S231" s="181" t="inlineStr">
        <is>
          <t>Yes</t>
        </is>
      </c>
      <c r="T231" s="181" t="inlineStr">
        <is>
          <t>Integrated from cleaned high-signal dataset</t>
        </is>
      </c>
    </row>
    <row r="232">
      <c r="A232" s="181" t="inlineStr">
        <is>
          <t>hypaconitine</t>
        </is>
      </c>
      <c r="B232" s="181" t="inlineStr">
        <is>
          <t>hypaconitine</t>
        </is>
      </c>
      <c r="C232" s="181" t="str"/>
      <c r="D232" s="181" t="inlineStr">
        <is>
          <t>other</t>
        </is>
      </c>
      <c r="E232" s="181" t="inlineStr">
        <is>
          <t>insufficient evidence</t>
        </is>
      </c>
      <c r="F232" s="181" t="inlineStr">
        <is>
          <t>multi-target signaling modulation</t>
        </is>
      </c>
      <c r="G232" s="181" t="inlineStr">
        <is>
          <t>general or unknown targets</t>
        </is>
      </c>
      <c r="H232" s="181" t="inlineStr">
        <is>
          <t>Absorption and bioavailability vary; some compounds metabolized via cytochrome P450 enzymes.</t>
        </is>
      </c>
      <c r="I232" s="181" t="inlineStr">
        <is>
          <t>low</t>
        </is>
      </c>
      <c r="J232" s="181" t="inlineStr">
        <is>
          <t>no well-documented interactions</t>
        </is>
      </c>
      <c r="K232" s="181" t="str"/>
      <c r="L232" s="181" t="inlineStr">
        <is>
          <t>compound_level</t>
        </is>
      </c>
      <c r="M232" s="181" t="inlineStr">
        <is>
          <t>https://plants.sc.egov.usda.gov/home/search?query=Aconitum%20ferox | https://plants.sc.egov.usda.gov/home/search?query=Aconitum%20napellus | https://pubchem.ncbi.nlm.nih.gov/#query=hypaconitine</t>
        </is>
      </c>
      <c r="N232" s="181" t="inlineStr">
        <is>
          <t>inferred_plus_trusted_gov</t>
        </is>
      </c>
      <c r="O232" s="181" t="inlineStr">
        <is>
          <t>scientific name; PubChem compound page (NIH); USDA Plants database</t>
        </is>
      </c>
      <c r="P232" s="181" t="str"/>
      <c r="Q232" s="181" t="inlineStr">
        <is>
          <t>aconitum-ferox; aconitum-napellus</t>
        </is>
      </c>
      <c r="R232" s="181" t="n">
        <v>2</v>
      </c>
      <c r="S232" s="181" t="inlineStr">
        <is>
          <t>Yes</t>
        </is>
      </c>
      <c r="T232" s="181" t="inlineStr">
        <is>
          <t>Integrated from cleaned high-signal dataset</t>
        </is>
      </c>
    </row>
    <row r="233">
      <c r="A233" s="181" t="inlineStr">
        <is>
          <t>hyperforin</t>
        </is>
      </c>
      <c r="B233" s="181" t="inlineStr">
        <is>
          <t>hyperforin</t>
        </is>
      </c>
      <c r="C233" s="181" t="str"/>
      <c r="D233" s="181" t="inlineStr">
        <is>
          <t>flavonoids</t>
        </is>
      </c>
      <c r="E233" s="181" t="inlineStr">
        <is>
          <t>insufficient evidence</t>
        </is>
      </c>
      <c r="F233" s="181" t="inlineStr">
        <is>
          <t>multi-target signaling modulation</t>
        </is>
      </c>
      <c r="G233" s="181" t="inlineStr">
        <is>
          <t>general or unknown targets</t>
        </is>
      </c>
      <c r="H233" s="181" t="inlineStr">
        <is>
          <t>moderate absorption; extensive metabolism</t>
        </is>
      </c>
      <c r="I233" s="181" t="inlineStr">
        <is>
          <t>low</t>
        </is>
      </c>
      <c r="J233" s="181" t="inlineStr">
        <is>
          <t>no well-documented interactions</t>
        </is>
      </c>
      <c r="K233" s="181" t="str"/>
      <c r="L233" s="181" t="inlineStr">
        <is>
          <t>compound_level</t>
        </is>
      </c>
      <c r="M233" s="181" t="inlineStr">
        <is>
          <t>https://plants.sc.egov.usda.gov/home/search?query=hypericum%20perforatum | https://pubchem.ncbi.nlm.nih.gov/#query=hyperforin</t>
        </is>
      </c>
      <c r="N233" s="181" t="inlineStr">
        <is>
          <t>trusted_gov_added</t>
        </is>
      </c>
      <c r="O233" s="181" t="inlineStr">
        <is>
          <t>PubChem compound page (NIH); USDA Plants database</t>
        </is>
      </c>
      <c r="P233" s="181" t="str"/>
      <c r="Q233" s="181" t="inlineStr">
        <is>
          <t>hypericum-perforatum</t>
        </is>
      </c>
      <c r="R233" s="181" t="n">
        <v>1</v>
      </c>
      <c r="S233" s="181" t="inlineStr">
        <is>
          <t>Yes</t>
        </is>
      </c>
      <c r="T233" s="181" t="inlineStr">
        <is>
          <t>Integrated from cleaned high-signal dataset</t>
        </is>
      </c>
    </row>
    <row r="234">
      <c r="A234" s="181" t="inlineStr">
        <is>
          <t>hypericin</t>
        </is>
      </c>
      <c r="B234" s="181" t="inlineStr">
        <is>
          <t>hypericin</t>
        </is>
      </c>
      <c r="C234" s="181" t="str"/>
      <c r="D234" s="181" t="inlineStr">
        <is>
          <t>flavonoids</t>
        </is>
      </c>
      <c r="E234" s="181" t="inlineStr">
        <is>
          <t>insufficient evidence</t>
        </is>
      </c>
      <c r="F234" s="181" t="inlineStr">
        <is>
          <t>multi-target signaling modulation</t>
        </is>
      </c>
      <c r="G234" s="181" t="inlineStr">
        <is>
          <t>general or unknown targets</t>
        </is>
      </c>
      <c r="H234" s="181" t="inlineStr">
        <is>
          <t>moderate absorption; extensive metabolism</t>
        </is>
      </c>
      <c r="I234" s="181" t="inlineStr">
        <is>
          <t>low</t>
        </is>
      </c>
      <c r="J234" s="181" t="inlineStr">
        <is>
          <t>no well-documented interactions</t>
        </is>
      </c>
      <c r="K234" s="181" t="str"/>
      <c r="L234" s="181" t="inlineStr">
        <is>
          <t>compound_level</t>
        </is>
      </c>
      <c r="M234" s="181" t="inlineStr">
        <is>
          <t>https://plants.sc.egov.usda.gov/home/search?query=hypericum%20perforatum | https://pubchem.ncbi.nlm.nih.gov/#query=hypericin</t>
        </is>
      </c>
      <c r="N234" s="181" t="inlineStr">
        <is>
          <t>trusted_gov_added</t>
        </is>
      </c>
      <c r="O234" s="181" t="inlineStr">
        <is>
          <t>PubChem compound page (NIH); USDA Plants database</t>
        </is>
      </c>
      <c r="P234" s="181" t="str"/>
      <c r="Q234" s="181" t="inlineStr">
        <is>
          <t>hypericum-perforatum</t>
        </is>
      </c>
      <c r="R234" s="181" t="n">
        <v>1</v>
      </c>
      <c r="S234" s="181" t="inlineStr">
        <is>
          <t>Yes</t>
        </is>
      </c>
      <c r="T234" s="181" t="inlineStr">
        <is>
          <t>Integrated from cleaned high-signal dataset</t>
        </is>
      </c>
    </row>
    <row r="235">
      <c r="A235" s="181" t="inlineStr">
        <is>
          <t>ibogaine</t>
        </is>
      </c>
      <c r="B235" s="181" t="inlineStr">
        <is>
          <t>ibogaine</t>
        </is>
      </c>
      <c r="C235" s="181" t="str"/>
      <c r="D235" s="181" t="inlineStr">
        <is>
          <t>other</t>
        </is>
      </c>
      <c r="E235" s="181" t="inlineStr">
        <is>
          <t>Ibogaine exhibits NMDA receptor antagonism, kappa-opioid receptor agonism, and monoamine transporter modulation.</t>
        </is>
      </c>
      <c r="F235" s="181" t="inlineStr">
        <is>
          <t>multi-target signaling modulation</t>
        </is>
      </c>
      <c r="G235" s="181" t="inlineStr">
        <is>
          <t>general or unknown targets</t>
        </is>
      </c>
      <c r="H235" s="181" t="inlineStr">
        <is>
          <t>Oral; onset ~1 hr; duration 8–24 hrs.</t>
        </is>
      </c>
      <c r="I235" s="181" t="inlineStr">
        <is>
          <t>low</t>
        </is>
      </c>
      <c r="J235" s="181" t="inlineStr">
        <is>
          <t>opioids, antidepressants.</t>
        </is>
      </c>
      <c r="K235" s="181" t="str"/>
      <c r="L235" s="181" t="inlineStr">
        <is>
          <t>compound_level</t>
        </is>
      </c>
      <c r="M235" s="181" t="inlineStr">
        <is>
          <t>https://plants.sc.egov.usda.gov/home/search?query=Tabernanthe%20iboga | https://plants.sc.egov.usda.gov/home/search?query=tabernanthe%20iboga | https://pubchem.ncbi.nlm.nih.gov/#query=ibogaine</t>
        </is>
      </c>
      <c r="N235" s="181" t="inlineStr">
        <is>
          <t>inferred_plus_trusted_gov; trusted_gov_added</t>
        </is>
      </c>
      <c r="O235" s="181" t="inlineStr">
        <is>
          <t>PubChem compound page (NIH); USDA Plants database; scientific name; PubChem compound page (NIH); USDA Plants database</t>
        </is>
      </c>
      <c r="P235" s="181" t="str"/>
      <c r="Q235" s="181" t="inlineStr">
        <is>
          <t>iboga; tabernanthe-iboga</t>
        </is>
      </c>
      <c r="R235" s="181" t="n">
        <v>2</v>
      </c>
      <c r="S235" s="181" t="inlineStr">
        <is>
          <t>Yes</t>
        </is>
      </c>
      <c r="T235" s="181" t="inlineStr">
        <is>
          <t>Integrated from cleaned high-signal dataset</t>
        </is>
      </c>
    </row>
    <row r="236">
      <c r="A236" s="181" t="inlineStr">
        <is>
          <t>ibotenic acid</t>
        </is>
      </c>
      <c r="B236" s="181" t="inlineStr">
        <is>
          <t>ibotenic acid</t>
        </is>
      </c>
      <c r="C236" s="181" t="str"/>
      <c r="D236" s="181" t="inlineStr">
        <is>
          <t>organic acid</t>
        </is>
      </c>
      <c r="E236" s="181" t="inlineStr">
        <is>
          <t>Psychotropic effects are mainly attributed to muscimol acting at GABA_A receptors, with ibotenic acid contributing excitatory glutamatergic activity.</t>
        </is>
      </c>
      <c r="F236" s="181" t="inlineStr">
        <is>
          <t>GABAergic modulation; multi-target signaling modulation</t>
        </is>
      </c>
      <c r="G236" s="181" t="inlineStr">
        <is>
          <t>gabaergic_modulation; general or unknown targets</t>
        </is>
      </c>
      <c r="H236" s="181" t="inlineStr">
        <is>
          <t>moderate absorption; hepatic metabolism</t>
        </is>
      </c>
      <c r="I236" s="181" t="inlineStr">
        <is>
          <t>low</t>
        </is>
      </c>
      <c r="J236" s="181" t="inlineStr">
        <is>
          <t>no well-documented interactions</t>
        </is>
      </c>
      <c r="K236" s="181" t="str"/>
      <c r="L236" s="181" t="inlineStr">
        <is>
          <t>compound_level</t>
        </is>
      </c>
      <c r="M236" s="181" t="inlineStr">
        <is>
          <t>https://plants.sc.egov.usda.gov/home/search?query=Amanita%20muscaria | https://plants.sc.egov.usda.gov/home/search?query=amanita%20muscaria | https://plants.sc.egov.usda.gov/home/search?query=amanita%20pantherina | https://pubchem.ncbi.nlm.nih.gov/#query=ibotenic%20acid</t>
        </is>
      </c>
      <c r="N236" s="181" t="inlineStr">
        <is>
          <t>inferred_plus_trusted_gov; trusted_gov_added</t>
        </is>
      </c>
      <c r="O236" s="181" t="inlineStr">
        <is>
          <t>PubChem compound page (NIH); USDA Plants database; scientific name; PubChem compound page (NIH); USDA Plants database</t>
        </is>
      </c>
      <c r="P236" s="181" t="str"/>
      <c r="Q236" s="181" t="inlineStr">
        <is>
          <t>amanita-muscaria; amanita-pantherina</t>
        </is>
      </c>
      <c r="R236" s="181" t="n">
        <v>2</v>
      </c>
      <c r="S236" s="181" t="inlineStr">
        <is>
          <t>Yes</t>
        </is>
      </c>
      <c r="T236" s="181" t="inlineStr">
        <is>
          <t>Integrated from cleaned high-signal dataset</t>
        </is>
      </c>
    </row>
    <row r="237">
      <c r="A237" s="181" t="inlineStr">
        <is>
          <t>imperatorin</t>
        </is>
      </c>
      <c r="B237" s="181" t="inlineStr">
        <is>
          <t>imperatorin</t>
        </is>
      </c>
      <c r="C237" s="181" t="str"/>
      <c r="D237" s="181" t="inlineStr">
        <is>
          <t>other</t>
        </is>
      </c>
      <c r="E237" s="181" t="inlineStr">
        <is>
          <t>insufficient evidence</t>
        </is>
      </c>
      <c r="F237" s="181" t="inlineStr">
        <is>
          <t>multi-target signaling modulation</t>
        </is>
      </c>
      <c r="G237" s="181" t="inlineStr">
        <is>
          <t>general or unknown targets</t>
        </is>
      </c>
      <c r="H237" s="181" t="inlineStr">
        <is>
          <t>moderate absorption; hepatic metabolism</t>
        </is>
      </c>
      <c r="I237" s="181" t="inlineStr">
        <is>
          <t>low</t>
        </is>
      </c>
      <c r="J237" s="181" t="inlineStr">
        <is>
          <t>no well-documented interactions</t>
        </is>
      </c>
      <c r="K237" s="181" t="str"/>
      <c r="L237" s="181" t="inlineStr">
        <is>
          <t>compound_level</t>
        </is>
      </c>
      <c r="M237" s="181" t="inlineStr">
        <is>
          <t>https://plants.sc.egov.usda.gov/home/search?query=casimiroa%20edulis | https://pubchem.ncbi.nlm.nih.gov/#query=imperatorin</t>
        </is>
      </c>
      <c r="N237" s="181" t="inlineStr">
        <is>
          <t>trusted_gov_added</t>
        </is>
      </c>
      <c r="O237" s="181" t="inlineStr">
        <is>
          <t>PubChem compound page (NIH); USDA Plants database</t>
        </is>
      </c>
      <c r="P237" s="181" t="str"/>
      <c r="Q237" s="181" t="inlineStr">
        <is>
          <t>casimiroa-edulis</t>
        </is>
      </c>
      <c r="R237" s="181" t="n">
        <v>1</v>
      </c>
      <c r="S237" s="181" t="inlineStr">
        <is>
          <t>Yes</t>
        </is>
      </c>
      <c r="T237" s="181" t="inlineStr">
        <is>
          <t>Integrated from cleaned high-signal dataset</t>
        </is>
      </c>
    </row>
    <row r="238">
      <c r="A238" s="181" t="inlineStr">
        <is>
          <t>inotodiol</t>
        </is>
      </c>
      <c r="B238" s="181" t="inlineStr">
        <is>
          <t>inotodiol</t>
        </is>
      </c>
      <c r="C238" s="181" t="str"/>
      <c r="D238" s="181" t="inlineStr">
        <is>
          <t>polysaccharides</t>
        </is>
      </c>
      <c r="E238" s="181" t="inlineStr">
        <is>
          <t>insufficient evidence</t>
        </is>
      </c>
      <c r="F238" s="181" t="inlineStr">
        <is>
          <t>multi-target signaling modulation</t>
        </is>
      </c>
      <c r="G238" s="181" t="inlineStr">
        <is>
          <t>general or unknown targets</t>
        </is>
      </c>
      <c r="H238" s="181" t="inlineStr">
        <is>
          <t>Absorption and bioavailability vary; some compounds metabolized via cytochrome P450 enzymes.</t>
        </is>
      </c>
      <c r="I238" s="181" t="inlineStr">
        <is>
          <t>low</t>
        </is>
      </c>
      <c r="J238" s="181" t="inlineStr">
        <is>
          <t>no well-documented interactions</t>
        </is>
      </c>
      <c r="K238" s="181" t="str"/>
      <c r="L238" s="181" t="inlineStr">
        <is>
          <t>compound_level</t>
        </is>
      </c>
      <c r="M238" s="181" t="inlineStr">
        <is>
          <t>https://plants.sc.egov.usda.gov/home/search?query=Inonotus%20obliquus | https://pubchem.ncbi.nlm.nih.gov/#query=inotodiol</t>
        </is>
      </c>
      <c r="N238" s="181" t="inlineStr">
        <is>
          <t>inferred_plus_trusted_gov</t>
        </is>
      </c>
      <c r="O238" s="181" t="inlineStr">
        <is>
          <t>scientific name; PubChem compound page (NIH); USDA Plants database</t>
        </is>
      </c>
      <c r="P238" s="181" t="str"/>
      <c r="Q238" s="181" t="inlineStr">
        <is>
          <t>inonotus-obliquus</t>
        </is>
      </c>
      <c r="R238" s="181" t="n">
        <v>1</v>
      </c>
      <c r="S238" s="181" t="inlineStr">
        <is>
          <t>Yes</t>
        </is>
      </c>
      <c r="T238" s="181" t="inlineStr">
        <is>
          <t>Integrated from cleaned high-signal dataset</t>
        </is>
      </c>
    </row>
    <row r="239">
      <c r="A239" s="181" t="inlineStr">
        <is>
          <t>inulin</t>
        </is>
      </c>
      <c r="B239" s="181" t="inlineStr">
        <is>
          <t>inulin</t>
        </is>
      </c>
      <c r="C239" s="181" t="str"/>
      <c r="D239" s="181" t="inlineStr">
        <is>
          <t>other</t>
        </is>
      </c>
      <c r="E239" s="181" t="inlineStr">
        <is>
          <t>insufficient evidence</t>
        </is>
      </c>
      <c r="F239" s="181" t="inlineStr">
        <is>
          <t>multi-target signaling modulation</t>
        </is>
      </c>
      <c r="G239" s="181" t="inlineStr">
        <is>
          <t>general or unknown targets</t>
        </is>
      </c>
      <c r="H239" s="181" t="inlineStr">
        <is>
          <t>Oral; blood purifier and diuretic</t>
        </is>
      </c>
      <c r="I239" s="181" t="inlineStr">
        <is>
          <t>low</t>
        </is>
      </c>
      <c r="J239" s="181" t="inlineStr">
        <is>
          <t>no well-documented interactions</t>
        </is>
      </c>
      <c r="K239" s="181" t="str"/>
      <c r="L239" s="181" t="inlineStr">
        <is>
          <t>compound_level</t>
        </is>
      </c>
      <c r="M239" s="181" t="inlineStr">
        <is>
          <t>https://plants.sc.egov.usda.gov/home/search?query=Arctium%20lappa | https://plants.sc.egov.usda.gov/home/search?query=Inula%20helenium | https://plants.sc.egov.usda.gov/home/search?query=Taraxacum%20officinale | https://pubchem.ncbi.nlm.nih.gov/#query=inulin</t>
        </is>
      </c>
      <c r="N239" s="181" t="inlineStr">
        <is>
          <t>inferred_plus_trusted_gov</t>
        </is>
      </c>
      <c r="O239" s="181" t="inlineStr">
        <is>
          <t>scientific name; PubChem compound page (NIH); USDA Plants database</t>
        </is>
      </c>
      <c r="P239" s="181" t="str"/>
      <c r="Q239" s="181" t="inlineStr">
        <is>
          <t>arctium-lappa; inula-helenium; taraxacum-officinale</t>
        </is>
      </c>
      <c r="R239" s="181" t="n">
        <v>3</v>
      </c>
      <c r="S239" s="181" t="inlineStr">
        <is>
          <t>Yes</t>
        </is>
      </c>
      <c r="T239" s="181" t="inlineStr">
        <is>
          <t>Integrated from cleaned high-signal dataset</t>
        </is>
      </c>
    </row>
    <row r="240">
      <c r="A240" s="181" t="inlineStr">
        <is>
          <t>iodine</t>
        </is>
      </c>
      <c r="B240" s="181" t="inlineStr">
        <is>
          <t>iodine</t>
        </is>
      </c>
      <c r="C240" s="181" t="str"/>
      <c r="D240" s="181" t="inlineStr">
        <is>
          <t>other</t>
        </is>
      </c>
      <c r="E240" s="181" t="inlineStr">
        <is>
          <t>insufficient evidence</t>
        </is>
      </c>
      <c r="F240" s="181" t="inlineStr">
        <is>
          <t>multi-target signaling modulation</t>
        </is>
      </c>
      <c r="G240" s="181" t="inlineStr">
        <is>
          <t>general or unknown targets</t>
        </is>
      </c>
      <c r="H240" s="181" t="inlineStr">
        <is>
          <t>Oral; influences T3/T4 thyroid hormones</t>
        </is>
      </c>
      <c r="I240" s="181" t="inlineStr">
        <is>
          <t>low</t>
        </is>
      </c>
      <c r="J240" s="181" t="inlineStr">
        <is>
          <t>no well-documented interactions</t>
        </is>
      </c>
      <c r="K240" s="181" t="str"/>
      <c r="L240" s="181" t="inlineStr">
        <is>
          <t>compound_level</t>
        </is>
      </c>
      <c r="M240" s="181" t="inlineStr">
        <is>
          <t>https://plants.sc.egov.usda.gov/home/search?query=Fucus%20vesiculosus | https://plants.sc.egov.usda.gov/home/search?query=Laminaria%20digitata | https://pubchem.ncbi.nlm.nih.gov/#query=iodine</t>
        </is>
      </c>
      <c r="N240" s="181" t="inlineStr">
        <is>
          <t>inferred_plus_trusted_gov</t>
        </is>
      </c>
      <c r="O240" s="181" t="inlineStr">
        <is>
          <t>scientific name; PubChem compound page (NIH); USDA Plants database</t>
        </is>
      </c>
      <c r="P240" s="181" t="str"/>
      <c r="Q240" s="181" t="inlineStr">
        <is>
          <t>fucus-vesiculosus; laminaria-digitata</t>
        </is>
      </c>
      <c r="R240" s="181" t="n">
        <v>2</v>
      </c>
      <c r="S240" s="181" t="inlineStr">
        <is>
          <t>Yes</t>
        </is>
      </c>
      <c r="T240" s="181" t="inlineStr">
        <is>
          <t>Integrated from cleaned high-signal dataset</t>
        </is>
      </c>
    </row>
    <row r="241">
      <c r="A241" s="181" t="inlineStr">
        <is>
          <t>iridin</t>
        </is>
      </c>
      <c r="B241" s="181" t="inlineStr">
        <is>
          <t>iridin</t>
        </is>
      </c>
      <c r="C241" s="181" t="str"/>
      <c r="D241" s="181" t="inlineStr">
        <is>
          <t>Isoflavones, iridin, glycosides</t>
        </is>
      </c>
      <c r="E241" s="181" t="inlineStr">
        <is>
          <t>insufficient evidence</t>
        </is>
      </c>
      <c r="F241" s="181" t="inlineStr">
        <is>
          <t>multi-target signaling modulation</t>
        </is>
      </c>
      <c r="G241" s="181" t="inlineStr">
        <is>
          <t>general or unknown targets</t>
        </is>
      </c>
      <c r="H241" s="181" t="inlineStr">
        <is>
          <t>Oral; liver stimulant and diuretic</t>
        </is>
      </c>
      <c r="I241" s="181" t="inlineStr">
        <is>
          <t>low</t>
        </is>
      </c>
      <c r="J241" s="181" t="inlineStr">
        <is>
          <t>no well-documented interactions</t>
        </is>
      </c>
      <c r="K241" s="181" t="str"/>
      <c r="L241" s="181" t="inlineStr">
        <is>
          <t>compound_level</t>
        </is>
      </c>
      <c r="M241" s="181" t="inlineStr">
        <is>
          <t>https://plants.sc.egov.usda.gov/home/search?query=Iris%20germanica | https://pubchem.ncbi.nlm.nih.gov/#query=iridin</t>
        </is>
      </c>
      <c r="N241" s="181" t="inlineStr">
        <is>
          <t>inferred_plus_trusted_gov</t>
        </is>
      </c>
      <c r="O241" s="181" t="inlineStr">
        <is>
          <t>scientific name; PubChem compound page (NIH); USDA Plants database</t>
        </is>
      </c>
      <c r="P241" s="181" t="str"/>
      <c r="Q241" s="181" t="inlineStr">
        <is>
          <t>iris-germanica</t>
        </is>
      </c>
      <c r="R241" s="181" t="n">
        <v>1</v>
      </c>
      <c r="S241" s="181" t="inlineStr">
        <is>
          <t>Yes</t>
        </is>
      </c>
      <c r="T241" s="181" t="inlineStr">
        <is>
          <t>Integrated from cleaned high-signal dataset</t>
        </is>
      </c>
    </row>
    <row r="242">
      <c r="A242" s="181" t="inlineStr">
        <is>
          <t>isocorypalmine</t>
        </is>
      </c>
      <c r="B242" s="181" t="inlineStr">
        <is>
          <t>isocorypalmine</t>
        </is>
      </c>
      <c r="C242" s="181" t="str"/>
      <c r="D242" s="181" t="inlineStr">
        <is>
          <t>other</t>
        </is>
      </c>
      <c r="E242" s="181" t="inlineStr">
        <is>
          <t>insufficient evidence</t>
        </is>
      </c>
      <c r="F242" s="181" t="inlineStr">
        <is>
          <t>multi-target signaling modulation</t>
        </is>
      </c>
      <c r="G242" s="181" t="inlineStr">
        <is>
          <t>dopaminergic_modulation</t>
        </is>
      </c>
      <c r="H242" s="181" t="inlineStr">
        <is>
          <t>moderate absorption; hepatic metabolism</t>
        </is>
      </c>
      <c r="I242" s="181" t="inlineStr">
        <is>
          <t>low</t>
        </is>
      </c>
      <c r="J242" s="181" t="inlineStr">
        <is>
          <t>no well-documented interactions</t>
        </is>
      </c>
      <c r="K242" s="181" t="str"/>
      <c r="L242" s="181" t="inlineStr">
        <is>
          <t>compound_level</t>
        </is>
      </c>
      <c r="M242" s="181" t="inlineStr">
        <is>
          <t>https://plants.sc.egov.usda.gov/home/search?query=corydalis%20yanhusuo | https://pubchem.ncbi.nlm.nih.gov/#query=isocorypalmine</t>
        </is>
      </c>
      <c r="N242" s="181" t="inlineStr">
        <is>
          <t>trusted_gov_added</t>
        </is>
      </c>
      <c r="O242" s="181" t="inlineStr">
        <is>
          <t>PubChem compound page (NIH); USDA Plants database</t>
        </is>
      </c>
      <c r="P242" s="181" t="str"/>
      <c r="Q242" s="181" t="inlineStr">
        <is>
          <t>corydalis-yanhusuo</t>
        </is>
      </c>
      <c r="R242" s="181" t="n">
        <v>1</v>
      </c>
      <c r="S242" s="181" t="inlineStr">
        <is>
          <t>Yes</t>
        </is>
      </c>
      <c r="T242" s="181" t="inlineStr">
        <is>
          <t>Integrated from cleaned high-signal dataset</t>
        </is>
      </c>
    </row>
    <row r="243">
      <c r="A243" s="181" t="inlineStr">
        <is>
          <t>isoergine</t>
        </is>
      </c>
      <c r="B243" s="181" t="inlineStr">
        <is>
          <t>isoergine</t>
        </is>
      </c>
      <c r="C243" s="181" t="str"/>
      <c r="D243" s="181" t="inlineStr">
        <is>
          <t>ergoline alkaloids</t>
        </is>
      </c>
      <c r="E243" s="181" t="inlineStr">
        <is>
          <t>insufficient evidence</t>
        </is>
      </c>
      <c r="F243" s="181" t="inlineStr">
        <is>
          <t>multi-target signaling modulation</t>
        </is>
      </c>
      <c r="G243" s="181" t="inlineStr">
        <is>
          <t>general or unknown targets</t>
        </is>
      </c>
      <c r="H243" s="181" t="inlineStr">
        <is>
          <t>Absorption and bioavailability vary; some compounds metabolized via cytochrome P450 enzymes.</t>
        </is>
      </c>
      <c r="I243" s="181" t="inlineStr">
        <is>
          <t>low</t>
        </is>
      </c>
      <c r="J243" s="181" t="inlineStr">
        <is>
          <t>no well-documented interactions</t>
        </is>
      </c>
      <c r="K243" s="181" t="str"/>
      <c r="L243" s="181" t="inlineStr">
        <is>
          <t>compound_level</t>
        </is>
      </c>
      <c r="M243" s="181" t="inlineStr">
        <is>
          <t>https://plants.sc.egov.usda.gov/home/search?query=Ipomoea%20tricolor | https://plants.sc.egov.usda.gov/home/search?query=Turbina%20corymbosa | https://pubchem.ncbi.nlm.nih.gov/#query=isoergine</t>
        </is>
      </c>
      <c r="N243" s="181" t="inlineStr">
        <is>
          <t>inferred_plus_trusted_gov</t>
        </is>
      </c>
      <c r="O243" s="181" t="inlineStr">
        <is>
          <t>scientific name; PubChem compound page (NIH); USDA Plants database</t>
        </is>
      </c>
      <c r="P243" s="181" t="str"/>
      <c r="Q243" s="181" t="inlineStr">
        <is>
          <t>ipomoea-tricolor; turbina-corymbosa</t>
        </is>
      </c>
      <c r="R243" s="181" t="n">
        <v>2</v>
      </c>
      <c r="S243" s="181" t="inlineStr">
        <is>
          <t>Yes</t>
        </is>
      </c>
      <c r="T243" s="181" t="inlineStr">
        <is>
          <t>Integrated from cleaned high-signal dataset</t>
        </is>
      </c>
    </row>
    <row r="244">
      <c r="A244" s="181" t="inlineStr">
        <is>
          <t>isofebrifugine</t>
        </is>
      </c>
      <c r="B244" s="181" t="inlineStr">
        <is>
          <t>isofebrifugine</t>
        </is>
      </c>
      <c r="C244" s="181" t="str"/>
      <c r="D244" s="181" t="inlineStr">
        <is>
          <t>other</t>
        </is>
      </c>
      <c r="E244" s="181" t="inlineStr">
        <is>
          <t>insufficient evidence</t>
        </is>
      </c>
      <c r="F244" s="181" t="inlineStr">
        <is>
          <t>multi-target signaling modulation</t>
        </is>
      </c>
      <c r="G244" s="181" t="inlineStr">
        <is>
          <t>general or unknown targets</t>
        </is>
      </c>
      <c r="H244" s="181" t="inlineStr">
        <is>
          <t>Absorption and bioavailability vary; some compounds metabolized via cytochrome P450 enzymes.</t>
        </is>
      </c>
      <c r="I244" s="181" t="inlineStr">
        <is>
          <t>low</t>
        </is>
      </c>
      <c r="J244" s="181" t="inlineStr">
        <is>
          <t>no well-documented interactions</t>
        </is>
      </c>
      <c r="K244" s="181" t="str"/>
      <c r="L244" s="181" t="inlineStr">
        <is>
          <t>compound_level</t>
        </is>
      </c>
      <c r="M244" s="181" t="inlineStr">
        <is>
          <t>https://plants.sc.egov.usda.gov/home/search?query=Dichroa%20febrifuga | https://pubchem.ncbi.nlm.nih.gov/#query=isofebrifugine</t>
        </is>
      </c>
      <c r="N244" s="181" t="inlineStr">
        <is>
          <t>inferred_plus_trusted_gov</t>
        </is>
      </c>
      <c r="O244" s="181" t="inlineStr">
        <is>
          <t>scientific name; PubChem compound page (NIH); USDA Plants database</t>
        </is>
      </c>
      <c r="P244" s="181" t="str"/>
      <c r="Q244" s="181" t="inlineStr">
        <is>
          <t>dichroa-febrifuga</t>
        </is>
      </c>
      <c r="R244" s="181" t="n">
        <v>1</v>
      </c>
      <c r="S244" s="181" t="inlineStr">
        <is>
          <t>Yes</t>
        </is>
      </c>
      <c r="T244" s="181" t="inlineStr">
        <is>
          <t>Integrated from cleaned high-signal dataset</t>
        </is>
      </c>
    </row>
    <row r="245">
      <c r="A245" s="181" t="inlineStr">
        <is>
          <t>isoflavones genistein</t>
        </is>
      </c>
      <c r="B245" s="181" t="inlineStr">
        <is>
          <t>isoflavones (genistein</t>
        </is>
      </c>
      <c r="C245" s="181" t="str"/>
      <c r="D245" s="181" t="inlineStr">
        <is>
          <t>other</t>
        </is>
      </c>
      <c r="E245" s="181" t="inlineStr">
        <is>
          <t>insufficient evidence</t>
        </is>
      </c>
      <c r="F245" s="181" t="inlineStr">
        <is>
          <t>multi-target signaling modulation</t>
        </is>
      </c>
      <c r="G245" s="181" t="inlineStr">
        <is>
          <t>general or unknown targets</t>
        </is>
      </c>
      <c r="H245" s="181" t="inlineStr">
        <is>
          <t>Oral; estrogen receptor modulation</t>
        </is>
      </c>
      <c r="I245" s="181" t="inlineStr">
        <is>
          <t>low</t>
        </is>
      </c>
      <c r="J245" s="181" t="inlineStr">
        <is>
          <t>no well-documented interactions</t>
        </is>
      </c>
      <c r="K245" s="181" t="str"/>
      <c r="L245" s="181" t="inlineStr">
        <is>
          <t>compound_level</t>
        </is>
      </c>
      <c r="M245" s="181" t="inlineStr">
        <is>
          <t>https://plants.sc.egov.usda.gov/home/search?query=Trifolium%20pratense | https://pubchem.ncbi.nlm.nih.gov/#query=isoflavones%20%28genistein</t>
        </is>
      </c>
      <c r="N245" s="181" t="inlineStr">
        <is>
          <t>inferred_plus_trusted_gov</t>
        </is>
      </c>
      <c r="O245" s="181" t="inlineStr">
        <is>
          <t>scientific name; PubChem compound page (NIH); USDA Plants database</t>
        </is>
      </c>
      <c r="P245" s="181" t="str"/>
      <c r="Q245" s="181" t="inlineStr">
        <is>
          <t>trifolium-pratense</t>
        </is>
      </c>
      <c r="R245" s="181" t="n">
        <v>1</v>
      </c>
      <c r="S245" s="181" t="inlineStr">
        <is>
          <t>Yes</t>
        </is>
      </c>
      <c r="T245" s="181" t="inlineStr">
        <is>
          <t>Integrated from cleaned high-signal dataset</t>
        </is>
      </c>
    </row>
    <row r="246">
      <c r="A246" s="181" t="inlineStr">
        <is>
          <t>isomitraphylline</t>
        </is>
      </c>
      <c r="B246" s="181" t="inlineStr">
        <is>
          <t>isomitraphylline</t>
        </is>
      </c>
      <c r="C246" s="181" t="str"/>
      <c r="D246" s="181" t="inlineStr">
        <is>
          <t>alkaloids</t>
        </is>
      </c>
      <c r="E246" s="181" t="inlineStr">
        <is>
          <t>insufficient evidence</t>
        </is>
      </c>
      <c r="F246" s="181" t="inlineStr">
        <is>
          <t>multi-target signaling modulation</t>
        </is>
      </c>
      <c r="G246" s="181" t="inlineStr">
        <is>
          <t>general or unknown targets</t>
        </is>
      </c>
      <c r="H246" s="181" t="inlineStr">
        <is>
          <t>Absorption and bioavailability vary; some compounds metabolized via cytochrome P450 enzymes.</t>
        </is>
      </c>
      <c r="I246" s="181" t="inlineStr">
        <is>
          <t>low</t>
        </is>
      </c>
      <c r="J246" s="181" t="inlineStr">
        <is>
          <t>no well-documented interactions</t>
        </is>
      </c>
      <c r="K246" s="181" t="str"/>
      <c r="L246" s="181" t="inlineStr">
        <is>
          <t>compound_level</t>
        </is>
      </c>
      <c r="M246" s="181" t="inlineStr">
        <is>
          <t>https://plants.sc.egov.usda.gov/home/search?query=Mitragyna%20parvifolia | https://pubchem.ncbi.nlm.nih.gov/#query=isomitraphylline</t>
        </is>
      </c>
      <c r="N246" s="181" t="inlineStr">
        <is>
          <t>inferred_plus_trusted_gov</t>
        </is>
      </c>
      <c r="O246" s="181" t="inlineStr">
        <is>
          <t>scientific name; PubChem compound page (NIH); USDA Plants database</t>
        </is>
      </c>
      <c r="P246" s="181" t="str"/>
      <c r="Q246" s="181" t="inlineStr">
        <is>
          <t>mitragyna-parvifolia</t>
        </is>
      </c>
      <c r="R246" s="181" t="n">
        <v>1</v>
      </c>
      <c r="S246" s="181" t="inlineStr">
        <is>
          <t>Yes</t>
        </is>
      </c>
      <c r="T246" s="181" t="inlineStr">
        <is>
          <t>Integrated from cleaned high-signal dataset</t>
        </is>
      </c>
    </row>
    <row r="247">
      <c r="A247" s="181" t="inlineStr">
        <is>
          <t>isovaleric acid</t>
        </is>
      </c>
      <c r="B247" s="181" t="inlineStr">
        <is>
          <t>isovaleric acid</t>
        </is>
      </c>
      <c r="C247" s="181" t="str"/>
      <c r="D247" s="181" t="inlineStr">
        <is>
          <t>organic acid</t>
        </is>
      </c>
      <c r="E247" s="181" t="inlineStr">
        <is>
          <t>insufficient evidence</t>
        </is>
      </c>
      <c r="F247" s="181" t="inlineStr">
        <is>
          <t>multi-target signaling modulation</t>
        </is>
      </c>
      <c r="G247" s="181" t="inlineStr">
        <is>
          <t>general or unknown targets</t>
        </is>
      </c>
      <c r="H247" s="181" t="inlineStr">
        <is>
          <t>Oral; modulates GABA receptors</t>
        </is>
      </c>
      <c r="I247" s="181" t="inlineStr">
        <is>
          <t>low</t>
        </is>
      </c>
      <c r="J247" s="181" t="inlineStr">
        <is>
          <t>no well-documented interactions</t>
        </is>
      </c>
      <c r="K247" s="181" t="str"/>
      <c r="L247" s="181" t="inlineStr">
        <is>
          <t>compound_level</t>
        </is>
      </c>
      <c r="M247" s="181" t="inlineStr">
        <is>
          <t>https://plants.sc.egov.usda.gov/home/search?query=Valeriana%20officinalis | https://pubchem.ncbi.nlm.nih.gov/#query=isovaleric%20acid</t>
        </is>
      </c>
      <c r="N247" s="181" t="inlineStr">
        <is>
          <t>inferred_plus_trusted_gov</t>
        </is>
      </c>
      <c r="O247" s="181" t="inlineStr">
        <is>
          <t>scientific name; PubChem compound page (NIH); USDA Plants database</t>
        </is>
      </c>
      <c r="P247" s="181" t="str"/>
      <c r="Q247" s="181" t="inlineStr">
        <is>
          <t>valeriana-officinalis</t>
        </is>
      </c>
      <c r="R247" s="181" t="n">
        <v>1</v>
      </c>
      <c r="S247" s="181" t="inlineStr">
        <is>
          <t>Yes</t>
        </is>
      </c>
      <c r="T247" s="181" t="inlineStr">
        <is>
          <t>Integrated from cleaned high-signal dataset</t>
        </is>
      </c>
    </row>
    <row r="248">
      <c r="A248" s="181" t="inlineStr">
        <is>
          <t>jatamansone</t>
        </is>
      </c>
      <c r="B248" s="181" t="inlineStr">
        <is>
          <t>jatamansone</t>
        </is>
      </c>
      <c r="C248" s="181" t="str"/>
      <c r="D248" s="181" t="inlineStr">
        <is>
          <t>sesquiterpenes</t>
        </is>
      </c>
      <c r="E248" s="181" t="inlineStr">
        <is>
          <t>insufficient evidence</t>
        </is>
      </c>
      <c r="F248" s="181" t="inlineStr">
        <is>
          <t>multi-target signaling modulation</t>
        </is>
      </c>
      <c r="G248" s="181" t="inlineStr">
        <is>
          <t>general or unknown targets</t>
        </is>
      </c>
      <c r="H248" s="181" t="inlineStr">
        <is>
          <t>Absorption and bioavailability vary; some compounds metabolized via cytochrome P450 enzymes.</t>
        </is>
      </c>
      <c r="I248" s="181" t="inlineStr">
        <is>
          <t>low</t>
        </is>
      </c>
      <c r="J248" s="181" t="inlineStr">
        <is>
          <t>no well-documented interactions</t>
        </is>
      </c>
      <c r="K248" s="181" t="str"/>
      <c r="L248" s="181" t="inlineStr">
        <is>
          <t>compound_level</t>
        </is>
      </c>
      <c r="M248" s="181" t="inlineStr">
        <is>
          <t>https://plants.sc.egov.usda.gov/home/search?query=Nardostachys%20jatamansi | https://pubchem.ncbi.nlm.nih.gov/#query=jatamansone</t>
        </is>
      </c>
      <c r="N248" s="181" t="inlineStr">
        <is>
          <t>inferred_plus_trusted_gov</t>
        </is>
      </c>
      <c r="O248" s="181" t="inlineStr">
        <is>
          <t>scientific name; PubChem compound page (NIH); USDA Plants database</t>
        </is>
      </c>
      <c r="P248" s="181" t="str"/>
      <c r="Q248" s="181" t="inlineStr">
        <is>
          <t>nardostachys-jatamansi</t>
        </is>
      </c>
      <c r="R248" s="181" t="n">
        <v>1</v>
      </c>
      <c r="S248" s="181" t="inlineStr">
        <is>
          <t>Yes</t>
        </is>
      </c>
      <c r="T248" s="181" t="inlineStr">
        <is>
          <t>Integrated from cleaned high-signal dataset</t>
        </is>
      </c>
    </row>
    <row r="249">
      <c r="A249" s="181" t="inlineStr">
        <is>
          <t>jatrorrhizine</t>
        </is>
      </c>
      <c r="B249" s="181" t="inlineStr">
        <is>
          <t>jatrorrhizine</t>
        </is>
      </c>
      <c r="C249" s="181" t="str"/>
      <c r="D249" s="181" t="inlineStr">
        <is>
          <t>protopine alkaloids</t>
        </is>
      </c>
      <c r="E249" s="181" t="inlineStr">
        <is>
          <t>insufficient evidence</t>
        </is>
      </c>
      <c r="F249" s="181" t="inlineStr">
        <is>
          <t>multi-target signaling modulation</t>
        </is>
      </c>
      <c r="G249" s="181" t="inlineStr">
        <is>
          <t>general or unknown targets</t>
        </is>
      </c>
      <c r="H249" s="181" t="inlineStr">
        <is>
          <t>good oral absorption; CNS penetration; hepatic metabolism</t>
        </is>
      </c>
      <c r="I249" s="181" t="inlineStr">
        <is>
          <t>low</t>
        </is>
      </c>
      <c r="J249" s="181" t="inlineStr">
        <is>
          <t>no well-documented interactions</t>
        </is>
      </c>
      <c r="K249" s="181" t="str"/>
      <c r="L249" s="181" t="inlineStr">
        <is>
          <t>compound_level</t>
        </is>
      </c>
      <c r="M249" s="181" t="inlineStr">
        <is>
          <t>https://plants.sc.egov.usda.gov/home/search?query=Phellodendron%20amurense | https://plants.sc.egov.usda.gov/home/search?query=argemone%20mexicana | https://pubchem.ncbi.nlm.nih.gov/#query=jatrorrhizine</t>
        </is>
      </c>
      <c r="N249" s="181" t="inlineStr">
        <is>
          <t>inferred_plus_trusted_gov; trusted_gov_added</t>
        </is>
      </c>
      <c r="O249" s="181" t="inlineStr">
        <is>
          <t>PubChem compound page (NIH); USDA Plants database; scientific name; PubChem compound page (NIH); USDA Plants database</t>
        </is>
      </c>
      <c r="P249" s="181" t="str"/>
      <c r="Q249" s="181" t="inlineStr">
        <is>
          <t>argemone-mexicana; phellodendron-amurense</t>
        </is>
      </c>
      <c r="R249" s="181" t="n">
        <v>2</v>
      </c>
      <c r="S249" s="181" t="inlineStr">
        <is>
          <t>Yes</t>
        </is>
      </c>
      <c r="T249" s="181" t="inlineStr">
        <is>
          <t>Integrated from cleaned high-signal dataset</t>
        </is>
      </c>
    </row>
    <row r="250">
      <c r="A250" s="181" t="inlineStr">
        <is>
          <t>juglone</t>
        </is>
      </c>
      <c r="B250" s="181" t="inlineStr">
        <is>
          <t>juglone</t>
        </is>
      </c>
      <c r="C250" s="181" t="str"/>
      <c r="D250" s="181" t="inlineStr">
        <is>
          <t>Juglone, tannins, omega fatty acids</t>
        </is>
      </c>
      <c r="E250" s="181" t="inlineStr">
        <is>
          <t>insufficient evidence</t>
        </is>
      </c>
      <c r="F250" s="181" t="inlineStr">
        <is>
          <t>multi-target signaling modulation</t>
        </is>
      </c>
      <c r="G250" s="181" t="inlineStr">
        <is>
          <t>general or unknown targets</t>
        </is>
      </c>
      <c r="H250" s="181" t="inlineStr">
        <is>
          <t>Oral; antiparasitic and antimicrobial</t>
        </is>
      </c>
      <c r="I250" s="181" t="inlineStr">
        <is>
          <t>low</t>
        </is>
      </c>
      <c r="J250" s="181" t="inlineStr">
        <is>
          <t>no well-documented interactions</t>
        </is>
      </c>
      <c r="K250" s="181" t="str"/>
      <c r="L250" s="181" t="inlineStr">
        <is>
          <t>compound_level</t>
        </is>
      </c>
      <c r="M250" s="181" t="inlineStr">
        <is>
          <t>https://plants.sc.egov.usda.gov/home/search?query=Juglans%20nigra | https://pubchem.ncbi.nlm.nih.gov/#query=juglone</t>
        </is>
      </c>
      <c r="N250" s="181" t="inlineStr">
        <is>
          <t>inferred_plus_trusted_gov</t>
        </is>
      </c>
      <c r="O250" s="181" t="inlineStr">
        <is>
          <t>scientific name; PubChem compound page (NIH); USDA Plants database</t>
        </is>
      </c>
      <c r="P250" s="181" t="str"/>
      <c r="Q250" s="181" t="inlineStr">
        <is>
          <t>juglans-nigra</t>
        </is>
      </c>
      <c r="R250" s="181" t="n">
        <v>1</v>
      </c>
      <c r="S250" s="181" t="inlineStr">
        <is>
          <t>Yes</t>
        </is>
      </c>
      <c r="T250" s="181" t="inlineStr">
        <is>
          <t>Integrated from cleaned high-signal dataset</t>
        </is>
      </c>
    </row>
    <row r="251">
      <c r="A251" s="181" t="inlineStr">
        <is>
          <t>kaempferol</t>
        </is>
      </c>
      <c r="B251" s="181" t="inlineStr">
        <is>
          <t>kaempferol</t>
        </is>
      </c>
      <c r="C251" s="181" t="str"/>
      <c r="D251" s="181" t="inlineStr">
        <is>
          <t>Ethyl cinnamate, kaempferol, essential oils</t>
        </is>
      </c>
      <c r="E251" s="181" t="inlineStr">
        <is>
          <t>insufficient evidence</t>
        </is>
      </c>
      <c r="F251" s="181" t="inlineStr">
        <is>
          <t>multi-target signaling modulation</t>
        </is>
      </c>
      <c r="G251" s="181" t="inlineStr">
        <is>
          <t>general or unknown targets</t>
        </is>
      </c>
      <c r="H251" s="181" t="inlineStr">
        <is>
          <t>Oral; anti-inflammatory and stimulant</t>
        </is>
      </c>
      <c r="I251" s="181" t="inlineStr">
        <is>
          <t>low</t>
        </is>
      </c>
      <c r="J251" s="181" t="inlineStr">
        <is>
          <t>no well-documented interactions</t>
        </is>
      </c>
      <c r="K251" s="181" t="str"/>
      <c r="L251" s="181" t="inlineStr">
        <is>
          <t>compound_level</t>
        </is>
      </c>
      <c r="M251" s="181" t="inlineStr">
        <is>
          <t>https://plants.sc.egov.usda.gov/home/search?query=Kaempferia%20galanga | https://pubchem.ncbi.nlm.nih.gov/#query=kaempferol</t>
        </is>
      </c>
      <c r="N251" s="181" t="inlineStr">
        <is>
          <t>inferred_plus_trusted_gov</t>
        </is>
      </c>
      <c r="O251" s="181" t="inlineStr">
        <is>
          <t>scientific name; PubChem compound page (NIH); USDA Plants database</t>
        </is>
      </c>
      <c r="P251" s="181" t="str"/>
      <c r="Q251" s="181" t="inlineStr">
        <is>
          <t>kaempferia-galanga</t>
        </is>
      </c>
      <c r="R251" s="181" t="n">
        <v>1</v>
      </c>
      <c r="S251" s="181" t="inlineStr">
        <is>
          <t>Yes</t>
        </is>
      </c>
      <c r="T251" s="181" t="inlineStr">
        <is>
          <t>Integrated from cleaned high-signal dataset</t>
        </is>
      </c>
    </row>
    <row r="252">
      <c r="A252" s="181" t="inlineStr">
        <is>
          <t>kahweol</t>
        </is>
      </c>
      <c r="B252" s="181" t="inlineStr">
        <is>
          <t>kahweol</t>
        </is>
      </c>
      <c r="C252" s="181" t="str"/>
      <c r="D252" s="181" t="inlineStr">
        <is>
          <t>other</t>
        </is>
      </c>
      <c r="E252" s="181" t="inlineStr">
        <is>
          <t>Coffee's stimulant effects are driven primarily by caffeine, which acts as a nonselective adenosine receptor antagonist; chlorogenic acids and diterpenes contribute additional antioxidant and metabolic effects.</t>
        </is>
      </c>
      <c r="F252" s="181" t="inlineStr">
        <is>
          <t>adenosine receptor antagonism</t>
        </is>
      </c>
      <c r="G252" s="181" t="inlineStr">
        <is>
          <t>adenosine_antagonism</t>
        </is>
      </c>
      <c r="H252" s="181" t="inlineStr">
        <is>
          <t>moderate absorption; hepatic metabolism</t>
        </is>
      </c>
      <c r="I252" s="181" t="inlineStr">
        <is>
          <t>low</t>
        </is>
      </c>
      <c r="J252" s="181" t="inlineStr">
        <is>
          <t>no well-documented interactions</t>
        </is>
      </c>
      <c r="K252" s="181" t="str"/>
      <c r="L252" s="181" t="inlineStr">
        <is>
          <t>compound_level</t>
        </is>
      </c>
      <c r="M252" s="181" t="inlineStr">
        <is>
          <t>https://plants.sc.egov.usda.gov/home/search?query=coffee | https://pubchem.ncbi.nlm.nih.gov/#query=kahweol</t>
        </is>
      </c>
      <c r="N252" s="181" t="inlineStr">
        <is>
          <t>trusted_gov_added</t>
        </is>
      </c>
      <c r="O252" s="181" t="inlineStr">
        <is>
          <t>PubChem compound page (NIH); USDA Plants database</t>
        </is>
      </c>
      <c r="P252" s="181" t="str"/>
      <c r="Q252" s="181" t="inlineStr">
        <is>
          <t>coffee</t>
        </is>
      </c>
      <c r="R252" s="181" t="n">
        <v>1</v>
      </c>
      <c r="S252" s="181" t="inlineStr">
        <is>
          <t>Yes</t>
        </is>
      </c>
      <c r="T252" s="181" t="inlineStr">
        <is>
          <t>Integrated from cleaned high-signal dataset</t>
        </is>
      </c>
    </row>
    <row r="253">
      <c r="A253" s="181" t="inlineStr">
        <is>
          <t>kava kavalactones</t>
        </is>
      </c>
      <c r="B253" s="181" t="inlineStr">
        <is>
          <t>kava (kavalactones)</t>
        </is>
      </c>
      <c r="C253" s="181" t="str"/>
      <c r="D253" s="181" t="inlineStr">
        <is>
          <t>lactone</t>
        </is>
      </c>
      <c r="E253" s="181" t="inlineStr">
        <is>
          <t>Positive modulation of GABA-A receptors</t>
        </is>
      </c>
      <c r="F253" s="181" t="str"/>
      <c r="G253" s="181" t="inlineStr">
        <is>
          <t>GABA-A modulation</t>
        </is>
      </c>
      <c r="H253" s="181" t="str"/>
      <c r="I253" s="181" t="str"/>
      <c r="J253" s="181" t="inlineStr">
        <is>
          <t>Sedatives/alcohol (additive CNS depression)</t>
        </is>
      </c>
      <c r="K253" s="181" t="str"/>
      <c r="L253" s="181" t="inlineStr">
        <is>
          <t>Sprint6</t>
        </is>
      </c>
      <c r="M253" s="181" t="str"/>
      <c r="N253" s="181" t="str"/>
      <c r="O253" s="181" t="str"/>
      <c r="P253" s="181" t="inlineStr">
        <is>
          <t>precision_monographs_sprint6.xlsx</t>
        </is>
      </c>
      <c r="Q253" s="181" t="str"/>
      <c r="R253" s="181" t="n">
        <v>0</v>
      </c>
      <c r="S253" s="181" t="inlineStr">
        <is>
          <t>No</t>
        </is>
      </c>
      <c r="T253" s="181" t="inlineStr">
        <is>
          <t>Integrated from compound monograph workbook</t>
        </is>
      </c>
    </row>
    <row r="254">
      <c r="A254" s="181" t="inlineStr">
        <is>
          <t>kavain</t>
        </is>
      </c>
      <c r="B254" s="181" t="inlineStr">
        <is>
          <t>kavain</t>
        </is>
      </c>
      <c r="C254" s="181" t="str"/>
      <c r="D254" s="181" t="inlineStr">
        <is>
          <t>other</t>
        </is>
      </c>
      <c r="E254" s="181" t="inlineStr">
        <is>
          <t>Kavalactones modulate GABA_A receptor activity, inhibit voltage-gated sodium and calcium channels, and influence dopamine signaling.</t>
        </is>
      </c>
      <c r="F254" s="181" t="inlineStr">
        <is>
          <t>GABAergic modulation; multi-target signaling modulation</t>
        </is>
      </c>
      <c r="G254" s="181" t="inlineStr">
        <is>
          <t>dopaminergic_modulation; gabaergic_modulation</t>
        </is>
      </c>
      <c r="H254" s="181" t="inlineStr">
        <is>
          <t>moderate absorption; hepatic metabolism</t>
        </is>
      </c>
      <c r="I254" s="181" t="inlineStr">
        <is>
          <t>low</t>
        </is>
      </c>
      <c r="J254" s="181" t="inlineStr">
        <is>
          <t>no well-documented interactions</t>
        </is>
      </c>
      <c r="K254" s="181" t="str"/>
      <c r="L254" s="181" t="inlineStr">
        <is>
          <t>compound_level</t>
        </is>
      </c>
      <c r="M254" s="181" t="inlineStr">
        <is>
          <t>https://plants.sc.egov.usda.gov/home/search?query=kava | https://plants.sc.egov.usda.gov/home/search?query=piper%20methysticum | https://pubchem.ncbi.nlm.nih.gov/#query=kavain</t>
        </is>
      </c>
      <c r="N254" s="181" t="inlineStr">
        <is>
          <t>trusted_gov_added</t>
        </is>
      </c>
      <c r="O254" s="181" t="inlineStr">
        <is>
          <t>PubChem compound page (NIH); USDA Plants database</t>
        </is>
      </c>
      <c r="P254" s="181" t="str"/>
      <c r="Q254" s="181" t="inlineStr">
        <is>
          <t>kava; piper-methysticum</t>
        </is>
      </c>
      <c r="R254" s="181" t="n">
        <v>2</v>
      </c>
      <c r="S254" s="181" t="inlineStr">
        <is>
          <t>Yes</t>
        </is>
      </c>
      <c r="T254" s="181" t="inlineStr">
        <is>
          <t>Integrated from cleaned high-signal dataset</t>
        </is>
      </c>
    </row>
    <row r="255">
      <c r="A255" s="181" t="inlineStr">
        <is>
          <t>kotalanol</t>
        </is>
      </c>
      <c r="B255" s="181" t="inlineStr">
        <is>
          <t>kotalanol</t>
        </is>
      </c>
      <c r="C255" s="181" t="str"/>
      <c r="D255" s="181" t="inlineStr">
        <is>
          <t>other</t>
        </is>
      </c>
      <c r="E255" s="181" t="inlineStr">
        <is>
          <t>insufficient evidence</t>
        </is>
      </c>
      <c r="F255" s="181" t="inlineStr">
        <is>
          <t>multi-target signaling modulation</t>
        </is>
      </c>
      <c r="G255" s="181" t="inlineStr">
        <is>
          <t>general or unknown targets</t>
        </is>
      </c>
      <c r="H255" s="181" t="inlineStr">
        <is>
          <t>Absorption and bioavailability vary; some compounds metabolized via cytochrome P450 enzymes.</t>
        </is>
      </c>
      <c r="I255" s="181" t="inlineStr">
        <is>
          <t>low</t>
        </is>
      </c>
      <c r="J255" s="181" t="inlineStr">
        <is>
          <t>no well-documented interactions</t>
        </is>
      </c>
      <c r="K255" s="181" t="str"/>
      <c r="L255" s="181" t="inlineStr">
        <is>
          <t>compound_level</t>
        </is>
      </c>
      <c r="M255" s="181" t="inlineStr">
        <is>
          <t>https://plants.sc.egov.usda.gov/home/search?query=Salacia%20reticulata | https://pubchem.ncbi.nlm.nih.gov/#query=kotalanol</t>
        </is>
      </c>
      <c r="N255" s="181" t="inlineStr">
        <is>
          <t>inferred_plus_trusted_gov</t>
        </is>
      </c>
      <c r="O255" s="181" t="inlineStr">
        <is>
          <t>scientific name; PubChem compound page (NIH); USDA Plants database</t>
        </is>
      </c>
      <c r="P255" s="181" t="str"/>
      <c r="Q255" s="181" t="inlineStr">
        <is>
          <t>salacia-reticulata</t>
        </is>
      </c>
      <c r="R255" s="181" t="n">
        <v>1</v>
      </c>
      <c r="S255" s="181" t="inlineStr">
        <is>
          <t>Yes</t>
        </is>
      </c>
      <c r="T255" s="181" t="inlineStr">
        <is>
          <t>Integrated from cleaned high-signal dataset</t>
        </is>
      </c>
    </row>
    <row r="256">
      <c r="A256" s="181" t="inlineStr">
        <is>
          <t>kurarinone</t>
        </is>
      </c>
      <c r="B256" s="181" t="inlineStr">
        <is>
          <t>kurarinone</t>
        </is>
      </c>
      <c r="C256" s="181" t="str"/>
      <c r="D256" s="181" t="inlineStr">
        <is>
          <t>other</t>
        </is>
      </c>
      <c r="E256" s="181" t="inlineStr">
        <is>
          <t>insufficient evidence</t>
        </is>
      </c>
      <c r="F256" s="181" t="inlineStr">
        <is>
          <t>multi-target signaling modulation</t>
        </is>
      </c>
      <c r="G256" s="181" t="inlineStr">
        <is>
          <t>general or unknown targets</t>
        </is>
      </c>
      <c r="H256" s="181" t="inlineStr">
        <is>
          <t>Absorption and bioavailability vary; some compounds metabolized via cytochrome P450 enzymes.</t>
        </is>
      </c>
      <c r="I256" s="181" t="inlineStr">
        <is>
          <t>low</t>
        </is>
      </c>
      <c r="J256" s="181" t="inlineStr">
        <is>
          <t>no well-documented interactions</t>
        </is>
      </c>
      <c r="K256" s="181" t="str"/>
      <c r="L256" s="181" t="inlineStr">
        <is>
          <t>compound_level</t>
        </is>
      </c>
      <c r="M256" s="181" t="inlineStr">
        <is>
          <t>https://plants.sc.egov.usda.gov/home/search?query=Sophora%20flavescens | https://pubchem.ncbi.nlm.nih.gov/#query=kurarinone</t>
        </is>
      </c>
      <c r="N256" s="181" t="inlineStr">
        <is>
          <t>inferred_plus_trusted_gov</t>
        </is>
      </c>
      <c r="O256" s="181" t="inlineStr">
        <is>
          <t>scientific name; PubChem compound page (NIH); USDA Plants database</t>
        </is>
      </c>
      <c r="P256" s="181" t="str"/>
      <c r="Q256" s="181" t="inlineStr">
        <is>
          <t>sophora-flavescens</t>
        </is>
      </c>
      <c r="R256" s="181" t="n">
        <v>1</v>
      </c>
      <c r="S256" s="181" t="inlineStr">
        <is>
          <t>Yes</t>
        </is>
      </c>
      <c r="T256" s="181" t="inlineStr">
        <is>
          <t>Integrated from cleaned high-signal dataset</t>
        </is>
      </c>
    </row>
    <row r="257">
      <c r="A257" s="181" t="inlineStr">
        <is>
          <t>kutkoside</t>
        </is>
      </c>
      <c r="B257" s="181" t="inlineStr">
        <is>
          <t>kutkoside</t>
        </is>
      </c>
      <c r="C257" s="181" t="str"/>
      <c r="D257" s="181" t="inlineStr">
        <is>
          <t>other</t>
        </is>
      </c>
      <c r="E257" s="181" t="inlineStr">
        <is>
          <t>insufficient evidence</t>
        </is>
      </c>
      <c r="F257" s="181" t="inlineStr">
        <is>
          <t>multi-target signaling modulation</t>
        </is>
      </c>
      <c r="G257" s="181" t="inlineStr">
        <is>
          <t>general or unknown targets</t>
        </is>
      </c>
      <c r="H257" s="181" t="inlineStr">
        <is>
          <t>Oral; immunomodulator and bile flow enhancer</t>
        </is>
      </c>
      <c r="I257" s="181" t="inlineStr">
        <is>
          <t>low</t>
        </is>
      </c>
      <c r="J257" s="181" t="inlineStr">
        <is>
          <t>no well-documented interactions</t>
        </is>
      </c>
      <c r="K257" s="181" t="str"/>
      <c r="L257" s="181" t="inlineStr">
        <is>
          <t>compound_level</t>
        </is>
      </c>
      <c r="M257" s="181" t="inlineStr">
        <is>
          <t>https://plants.sc.egov.usda.gov/home/search?query=Picrorhiza%20kurroa | https://pubchem.ncbi.nlm.nih.gov/#query=kutkoside</t>
        </is>
      </c>
      <c r="N257" s="181" t="inlineStr">
        <is>
          <t>inferred_plus_trusted_gov</t>
        </is>
      </c>
      <c r="O257" s="181" t="inlineStr">
        <is>
          <t>scientific name; PubChem compound page (NIH); USDA Plants database</t>
        </is>
      </c>
      <c r="P257" s="181" t="str"/>
      <c r="Q257" s="181" t="inlineStr">
        <is>
          <t>picrorhiza-kurroa</t>
        </is>
      </c>
      <c r="R257" s="181" t="n">
        <v>1</v>
      </c>
      <c r="S257" s="181" t="inlineStr">
        <is>
          <t>Yes</t>
        </is>
      </c>
      <c r="T257" s="181" t="inlineStr">
        <is>
          <t>Integrated from cleaned high-signal dataset</t>
        </is>
      </c>
    </row>
    <row r="258">
      <c r="A258" s="181" t="inlineStr">
        <is>
          <t>l-phenylalanine</t>
        </is>
      </c>
      <c r="B258" s="181" t="inlineStr">
        <is>
          <t>L-phenylalanine</t>
        </is>
      </c>
      <c r="C258" s="181" t="str"/>
      <c r="D258" s="181" t="inlineStr">
        <is>
          <t>essential amino acid</t>
        </is>
      </c>
      <c r="E258" s="181" t="inlineStr">
        <is>
          <t>Essential aromatic amino acid converted by phenylalanine hydroxylase to tyrosine, supporting catecholamine, thyroid-hormone, and melanin precursor biology.</t>
        </is>
      </c>
      <c r="F258" s="181" t="str"/>
      <c r="G258" s="181" t="inlineStr">
        <is>
          <t>Phenylalanine hydroxylase pathway; catecholamine precursor biology; tyrosine biosynthesis</t>
        </is>
      </c>
      <c r="H258" s="181" t="inlineStr">
        <is>
          <t>Absorbed via amino-acid transport systems and competes with other large neutral amino acids for transport.</t>
        </is>
      </c>
      <c r="I258" s="181" t="inlineStr">
        <is>
          <t>Avoid supplemental use in phenylketonuria (PKU); chronically elevated phenylalanine is neurotoxic in PKU.</t>
        </is>
      </c>
      <c r="J258" s="181" t="inlineStr">
        <is>
          <t>Levodopa (possible transport competition with large neutral amino acids); contraindicated in phenylketonuria due to impaired phenylalanine clearance.</t>
        </is>
      </c>
      <c r="K258" s="181" t="inlineStr">
        <is>
          <t>High</t>
        </is>
      </c>
      <c r="L258" s="181" t="inlineStr">
        <is>
          <t>mixed</t>
        </is>
      </c>
      <c r="M258" s="181" t="inlineStr">
        <is>
          <t>https://pmc.ncbi.nlm.nih.gov/articles/PMC2423317/ | https://pmc.ncbi.nlm.nih.gov/articles/PMC4881294/ | https://pubchem.ncbi.nlm.nih.gov/compound/Phenylalanine</t>
        </is>
      </c>
      <c r="N258" s="181" t="str"/>
      <c r="O258" s="181" t="str"/>
      <c r="P258" s="181" t="inlineStr">
        <is>
          <t>Batch11_neuroprecursors_2026-04-06</t>
        </is>
      </c>
      <c r="Q258" s="181" t="str"/>
      <c r="R258" s="181" t="n">
        <v>0</v>
      </c>
      <c r="S258" s="181" t="inlineStr">
        <is>
          <t>No</t>
        </is>
      </c>
      <c r="T258" s="181" t="inlineStr">
        <is>
          <t>Integrated from compound monograph workbook</t>
        </is>
      </c>
    </row>
    <row r="259">
      <c r="A259" s="181" t="inlineStr">
        <is>
          <t>l-theanine</t>
        </is>
      </c>
      <c r="B259" s="181" t="inlineStr">
        <is>
          <t>L-theanine</t>
        </is>
      </c>
      <c r="C259" s="181" t="str"/>
      <c r="D259" s="181" t="inlineStr">
        <is>
          <t>amino acid derivative</t>
        </is>
      </c>
      <c r="E259" s="181" t="inlineStr">
        <is>
          <t>Neuroactive amino acid associated with glutamatergic modulation and stress/anxiety-related effects; human data support some symptom reduction, but receptor-level mechanism remains less locked than melatonin.</t>
        </is>
      </c>
      <c r="F259" s="181" t="str"/>
      <c r="G259" s="181" t="inlineStr">
        <is>
          <t>Glutamatergic modulation; alpha-wave/stress-response modulation</t>
        </is>
      </c>
      <c r="H259" s="181" t="inlineStr">
        <is>
          <t>Orally absorbed; human PK data exist but are less standardized in supplement contexts than for drug compounds.</t>
        </is>
      </c>
      <c r="I259" s="181" t="inlineStr">
        <is>
          <t>Generally well tolerated in short-term studies. Do not overstate anxiolytic efficacy because randomized evidence is mixed across populations.</t>
        </is>
      </c>
      <c r="J259" s="181" t="inlineStr">
        <is>
          <t>Sedatives/CNS depressants (possible additive calming effects); antihypertensives (possible additive blood-pressure lowering, limited evidence)</t>
        </is>
      </c>
      <c r="K259" s="181" t="inlineStr">
        <is>
          <t>moderate</t>
        </is>
      </c>
      <c r="L259" s="181" t="inlineStr">
        <is>
          <t>Sprint4</t>
        </is>
      </c>
      <c r="M259" s="181" t="str"/>
      <c r="N259" s="181" t="str"/>
      <c r="O259" s="181" t="str"/>
      <c r="P259" s="181" t="inlineStr">
        <is>
          <t>precision_monographs_sprint4.xlsx</t>
        </is>
      </c>
      <c r="Q259" s="181" t="str"/>
      <c r="R259" s="181" t="n">
        <v>0</v>
      </c>
      <c r="S259" s="181" t="inlineStr">
        <is>
          <t>No</t>
        </is>
      </c>
      <c r="T259" s="181" t="inlineStr">
        <is>
          <t>Integrated from compound monograph workbook</t>
        </is>
      </c>
    </row>
    <row r="260">
      <c r="A260" s="181" t="inlineStr">
        <is>
          <t>l-tryptophan</t>
        </is>
      </c>
      <c r="B260" s="181" t="inlineStr">
        <is>
          <t>L-tryptophan</t>
        </is>
      </c>
      <c r="C260" s="181" t="str"/>
      <c r="D260" s="181" t="inlineStr">
        <is>
          <t>essential amino acid</t>
        </is>
      </c>
      <c r="E260" s="181" t="inlineStr">
        <is>
          <t>Essential aromatic amino acid serving as precursor for serotonin and melatonin biosynthesis and for the kynurenine pathway.</t>
        </is>
      </c>
      <c r="F260" s="181" t="str"/>
      <c r="G260" s="181" t="inlineStr">
        <is>
          <t>Tryptophan hydroxylase pathway; kynurenine pathway; serotonin biosynthesis</t>
        </is>
      </c>
      <c r="H260" s="181" t="inlineStr">
        <is>
          <t>Absorbed as a large neutral amino acid; competes with other LNAAs for transport and brain entry.</t>
        </is>
      </c>
      <c r="I260" s="181" t="inlineStr">
        <is>
          <t>Historical concern exists from eosinophilia-myalgia syndrome linked to contaminated tryptophan products; serotonergic adverse effects become more relevant with interacting drugs.</t>
        </is>
      </c>
      <c r="J260" s="181" t="inlineStr">
        <is>
          <t>SSRIs/SNRIs/MAOIs and other serotonergic agents (possible additive serotonin-toxicity risk); levodopa (possible large-neutral-amino-acid transport competition).</t>
        </is>
      </c>
      <c r="K260" s="181" t="inlineStr">
        <is>
          <t>Moderate</t>
        </is>
      </c>
      <c r="L260" s="181" t="inlineStr">
        <is>
          <t>mixed</t>
        </is>
      </c>
      <c r="M260" s="181" t="inlineStr">
        <is>
          <t>https://pmc.ncbi.nlm.nih.gov/articles/PMC4881294/ | https://pmc.ncbi.nlm.nih.gov/articles/PMC6184959/ | https://pubchem.ncbi.nlm.nih.gov/compound/L-Tryptophan | https://pubmed.ncbi.nlm.nih.gov/23077193/</t>
        </is>
      </c>
      <c r="N260" s="181" t="str"/>
      <c r="O260" s="181" t="str"/>
      <c r="P260" s="181" t="inlineStr">
        <is>
          <t>Batch11_neuroprecursors_2026-04-06</t>
        </is>
      </c>
      <c r="Q260" s="181" t="str"/>
      <c r="R260" s="181" t="n">
        <v>0</v>
      </c>
      <c r="S260" s="181" t="inlineStr">
        <is>
          <t>No</t>
        </is>
      </c>
      <c r="T260" s="181" t="inlineStr">
        <is>
          <t>Integrated from compound monograph workbook</t>
        </is>
      </c>
    </row>
    <row r="261">
      <c r="A261" s="181" t="inlineStr">
        <is>
          <t>l-tyrosine</t>
        </is>
      </c>
      <c r="B261" s="181" t="inlineStr">
        <is>
          <t>L-tyrosine</t>
        </is>
      </c>
      <c r="C261" s="181" t="str"/>
      <c r="D261" s="181" t="inlineStr">
        <is>
          <t>nonessential amino acid</t>
        </is>
      </c>
      <c r="E261" s="181" t="inlineStr">
        <is>
          <t>Substrate for tyrosine hydroxylase, the rate-limiting enzyme in catecholamine synthesis; also contributes to thyroid-hormone and melanin precursor biology.</t>
        </is>
      </c>
      <c r="F261" s="181" t="str"/>
      <c r="G261" s="181" t="inlineStr">
        <is>
          <t>Tyrosine hydroxylase pathway; catecholamine biosynthesis; melanin synthesis</t>
        </is>
      </c>
      <c r="H261" s="181" t="inlineStr">
        <is>
          <t>Absorbed as a large neutral amino acid and competes with other amino acids for transport; brain uptake is transport-limited.</t>
        </is>
      </c>
      <c r="I261" s="181" t="inlineStr">
        <is>
          <t>Generally well tolerated in ordinary doses, but overstating stimulant/catecholamine benefits is not justified by the source set reviewed here.</t>
        </is>
      </c>
      <c r="J261" s="181" t="inlineStr">
        <is>
          <t>Levodopa (possible transport competition with large neutral amino acids at gut/BBB); thyroid hormone co-use is a theoretical caution rather than a well-established DDI.</t>
        </is>
      </c>
      <c r="K261" s="181" t="inlineStr">
        <is>
          <t>High</t>
        </is>
      </c>
      <c r="L261" s="181" t="inlineStr">
        <is>
          <t>mixed</t>
        </is>
      </c>
      <c r="M261" s="181" t="inlineStr">
        <is>
          <t>https://pmc.ncbi.nlm.nih.gov/articles/PMC3065393/ | https://pmc.ncbi.nlm.nih.gov/articles/PMC4881294/ | https://pubchem.ncbi.nlm.nih.gov/compound/L-Tyrosine | https://pubchem.ncbi.nlm.nih.gov/pathway/PathBank%3ASMP0000006</t>
        </is>
      </c>
      <c r="N261" s="181" t="str"/>
      <c r="O261" s="181" t="str"/>
      <c r="P261" s="181" t="inlineStr">
        <is>
          <t>Batch11_neuroprecursors_2026-04-06</t>
        </is>
      </c>
      <c r="Q261" s="181" t="str"/>
      <c r="R261" s="181" t="n">
        <v>0</v>
      </c>
      <c r="S261" s="181" t="inlineStr">
        <is>
          <t>No</t>
        </is>
      </c>
      <c r="T261" s="181" t="inlineStr">
        <is>
          <t>Integrated from compound monograph workbook</t>
        </is>
      </c>
    </row>
    <row r="262">
      <c r="A262" s="181" t="inlineStr">
        <is>
          <t>lactucin</t>
        </is>
      </c>
      <c r="B262" s="181" t="inlineStr">
        <is>
          <t>lactucin</t>
        </is>
      </c>
      <c r="C262" s="181" t="str"/>
      <c r="D262" s="181" t="inlineStr">
        <is>
          <t>Lactucin, lactucopicrin, sesquiterpene lactones</t>
        </is>
      </c>
      <c r="E262" s="181" t="inlineStr">
        <is>
          <t>insufficient evidence</t>
        </is>
      </c>
      <c r="F262" s="181" t="inlineStr">
        <is>
          <t>multi-target signaling modulation</t>
        </is>
      </c>
      <c r="G262" s="181" t="inlineStr">
        <is>
          <t>general or unknown targets</t>
        </is>
      </c>
      <c r="H262" s="181" t="inlineStr">
        <is>
          <t>Oral; hypnotic and pain relief</t>
        </is>
      </c>
      <c r="I262" s="181" t="inlineStr">
        <is>
          <t>low</t>
        </is>
      </c>
      <c r="J262" s="181" t="inlineStr">
        <is>
          <t>no well-documented interactions</t>
        </is>
      </c>
      <c r="K262" s="181" t="str"/>
      <c r="L262" s="181" t="inlineStr">
        <is>
          <t>compound_level</t>
        </is>
      </c>
      <c r="M262" s="181" t="inlineStr">
        <is>
          <t>https://plants.sc.egov.usda.gov/home/search?query=Lactuca%20virosa | https://pubchem.ncbi.nlm.nih.gov/#query=lactucin</t>
        </is>
      </c>
      <c r="N262" s="181" t="inlineStr">
        <is>
          <t>inferred_plus_trusted_gov</t>
        </is>
      </c>
      <c r="O262" s="181" t="inlineStr">
        <is>
          <t>scientific name; PubChem compound page (NIH); USDA Plants database</t>
        </is>
      </c>
      <c r="P262" s="181" t="str"/>
      <c r="Q262" s="181" t="inlineStr">
        <is>
          <t>lactuca-virosa</t>
        </is>
      </c>
      <c r="R262" s="181" t="n">
        <v>1</v>
      </c>
      <c r="S262" s="181" t="inlineStr">
        <is>
          <t>Yes</t>
        </is>
      </c>
      <c r="T262" s="181" t="inlineStr">
        <is>
          <t>Integrated from cleaned high-signal dataset</t>
        </is>
      </c>
    </row>
    <row r="263">
      <c r="A263" s="181" t="inlineStr">
        <is>
          <t>lactucopicrin</t>
        </is>
      </c>
      <c r="B263" s="181" t="inlineStr">
        <is>
          <t>lactucopicrin</t>
        </is>
      </c>
      <c r="C263" s="181" t="str"/>
      <c r="D263" s="181" t="inlineStr">
        <is>
          <t>Lactucin, lactucopicrin, sesquiterpene lactones</t>
        </is>
      </c>
      <c r="E263" s="181" t="inlineStr">
        <is>
          <t>insufficient evidence</t>
        </is>
      </c>
      <c r="F263" s="181" t="inlineStr">
        <is>
          <t>multi-target signaling modulation</t>
        </is>
      </c>
      <c r="G263" s="181" t="inlineStr">
        <is>
          <t>general or unknown targets</t>
        </is>
      </c>
      <c r="H263" s="181" t="inlineStr">
        <is>
          <t>Oral; hypnotic and pain relief</t>
        </is>
      </c>
      <c r="I263" s="181" t="inlineStr">
        <is>
          <t>low</t>
        </is>
      </c>
      <c r="J263" s="181" t="inlineStr">
        <is>
          <t>no well-documented interactions</t>
        </is>
      </c>
      <c r="K263" s="181" t="str"/>
      <c r="L263" s="181" t="inlineStr">
        <is>
          <t>compound_level</t>
        </is>
      </c>
      <c r="M263" s="181" t="inlineStr">
        <is>
          <t>https://plants.sc.egov.usda.gov/home/search?query=Lactuca%20virosa | https://pubchem.ncbi.nlm.nih.gov/#query=lactucopicrin</t>
        </is>
      </c>
      <c r="N263" s="181" t="inlineStr">
        <is>
          <t>inferred_plus_trusted_gov</t>
        </is>
      </c>
      <c r="O263" s="181" t="inlineStr">
        <is>
          <t>scientific name; PubChem compound page (NIH); USDA Plants database</t>
        </is>
      </c>
      <c r="P263" s="181" t="str"/>
      <c r="Q263" s="181" t="inlineStr">
        <is>
          <t>lactuca-virosa</t>
        </is>
      </c>
      <c r="R263" s="181" t="n">
        <v>1</v>
      </c>
      <c r="S263" s="181" t="inlineStr">
        <is>
          <t>Yes</t>
        </is>
      </c>
      <c r="T263" s="181" t="inlineStr">
        <is>
          <t>Integrated from cleaned high-signal dataset</t>
        </is>
      </c>
    </row>
    <row r="264">
      <c r="A264" s="181" t="inlineStr">
        <is>
          <t>lapachol</t>
        </is>
      </c>
      <c r="B264" s="181" t="inlineStr">
        <is>
          <t>lapachol</t>
        </is>
      </c>
      <c r="C264" s="181" t="str"/>
      <c r="D264" s="181" t="inlineStr">
        <is>
          <t>other</t>
        </is>
      </c>
      <c r="E264" s="181" t="inlineStr">
        <is>
          <t>insufficient evidence</t>
        </is>
      </c>
      <c r="F264" s="181" t="inlineStr">
        <is>
          <t>multi-target signaling modulation</t>
        </is>
      </c>
      <c r="G264" s="181" t="inlineStr">
        <is>
          <t>general or unknown targets</t>
        </is>
      </c>
      <c r="H264" s="181" t="inlineStr">
        <is>
          <t>Absorption and bioavailability vary; some compounds metabolized via cytochrome P450 enzymes.</t>
        </is>
      </c>
      <c r="I264" s="181" t="inlineStr">
        <is>
          <t>low</t>
        </is>
      </c>
      <c r="J264" s="181" t="inlineStr">
        <is>
          <t>no well-documented interactions</t>
        </is>
      </c>
      <c r="K264" s="181" t="str"/>
      <c r="L264" s="181" t="inlineStr">
        <is>
          <t>compound_level</t>
        </is>
      </c>
      <c r="M264" s="181" t="inlineStr">
        <is>
          <t>https://plants.sc.egov.usda.gov/home/search?query=Tabebuia%20impetiginosa | https://pubchem.ncbi.nlm.nih.gov/#query=lapachol</t>
        </is>
      </c>
      <c r="N264" s="181" t="inlineStr">
        <is>
          <t>inferred_plus_trusted_gov</t>
        </is>
      </c>
      <c r="O264" s="181" t="inlineStr">
        <is>
          <t>scientific name; PubChem compound page (NIH); USDA Plants database</t>
        </is>
      </c>
      <c r="P264" s="181" t="str"/>
      <c r="Q264" s="181" t="inlineStr">
        <is>
          <t>tabebuia-impetiginosa</t>
        </is>
      </c>
      <c r="R264" s="181" t="n">
        <v>1</v>
      </c>
      <c r="S264" s="181" t="inlineStr">
        <is>
          <t>Yes</t>
        </is>
      </c>
      <c r="T264" s="181" t="inlineStr">
        <is>
          <t>Integrated from cleaned high-signal dataset</t>
        </is>
      </c>
    </row>
    <row r="265">
      <c r="A265" s="181" t="inlineStr">
        <is>
          <t>ledol</t>
        </is>
      </c>
      <c r="B265" s="181" t="inlineStr">
        <is>
          <t>ledol</t>
        </is>
      </c>
      <c r="C265" s="181" t="str"/>
      <c r="D265" s="181" t="inlineStr">
        <is>
          <t>essential oils</t>
        </is>
      </c>
      <c r="E265" s="181" t="inlineStr">
        <is>
          <t>insufficient evidence</t>
        </is>
      </c>
      <c r="F265" s="181" t="inlineStr">
        <is>
          <t>multi-target signaling modulation</t>
        </is>
      </c>
      <c r="G265" s="181" t="inlineStr">
        <is>
          <t>general or unknown targets</t>
        </is>
      </c>
      <c r="H265" s="181" t="inlineStr">
        <is>
          <t>Absorption and bioavailability vary; some compounds metabolized via cytochrome P450 enzymes.</t>
        </is>
      </c>
      <c r="I265" s="181" t="inlineStr">
        <is>
          <t>low</t>
        </is>
      </c>
      <c r="J265" s="181" t="inlineStr">
        <is>
          <t>no well-documented interactions</t>
        </is>
      </c>
      <c r="K265" s="181" t="str"/>
      <c r="L265" s="181" t="inlineStr">
        <is>
          <t>compound_level</t>
        </is>
      </c>
      <c r="M265" s="181" t="inlineStr">
        <is>
          <t>https://plants.sc.egov.usda.gov/home/search?query=Rhododendron%20tomentosum | https://pubchem.ncbi.nlm.nih.gov/#query=ledol</t>
        </is>
      </c>
      <c r="N265" s="181" t="inlineStr">
        <is>
          <t>inferred_plus_trusted_gov</t>
        </is>
      </c>
      <c r="O265" s="181" t="inlineStr">
        <is>
          <t>scientific name; PubChem compound page (NIH); USDA Plants database</t>
        </is>
      </c>
      <c r="P265" s="181" t="str"/>
      <c r="Q265" s="181" t="inlineStr">
        <is>
          <t>rhododendron-tomentosum</t>
        </is>
      </c>
      <c r="R265" s="181" t="n">
        <v>1</v>
      </c>
      <c r="S265" s="181" t="inlineStr">
        <is>
          <t>Yes</t>
        </is>
      </c>
      <c r="T265" s="181" t="inlineStr">
        <is>
          <t>Integrated from cleaned high-signal dataset</t>
        </is>
      </c>
    </row>
    <row r="266">
      <c r="A266" s="181" t="inlineStr">
        <is>
          <t>leonurine</t>
        </is>
      </c>
      <c r="B266" s="181" t="inlineStr">
        <is>
          <t>leonurine</t>
        </is>
      </c>
      <c r="C266" s="181" t="str"/>
      <c r="D266" s="181" t="inlineStr">
        <is>
          <t>other</t>
        </is>
      </c>
      <c r="E266" s="181" t="inlineStr">
        <is>
          <t>insufficient evidence</t>
        </is>
      </c>
      <c r="F266" s="181" t="inlineStr">
        <is>
          <t>multi-target signaling modulation</t>
        </is>
      </c>
      <c r="G266" s="181" t="inlineStr">
        <is>
          <t>general or unknown targets</t>
        </is>
      </c>
      <c r="H266" s="181" t="inlineStr">
        <is>
          <t>Oral; uterine and cardiotonic</t>
        </is>
      </c>
      <c r="I266" s="181" t="inlineStr">
        <is>
          <t>low</t>
        </is>
      </c>
      <c r="J266" s="181" t="inlineStr">
        <is>
          <t>no well-documented interactions</t>
        </is>
      </c>
      <c r="K266" s="181" t="str"/>
      <c r="L266" s="181" t="inlineStr">
        <is>
          <t>compound_level</t>
        </is>
      </c>
      <c r="M266" s="181" t="inlineStr">
        <is>
          <t>https://plants.sc.egov.usda.gov/home/search?query=Leonurus%20cardiaca | https://plants.sc.egov.usda.gov/home/search?query=Leonurus%20japonicus | https://pubchem.ncbi.nlm.nih.gov/#query=leonurine</t>
        </is>
      </c>
      <c r="N266" s="181" t="inlineStr">
        <is>
          <t>inferred_plus_trusted_gov</t>
        </is>
      </c>
      <c r="O266" s="181" t="inlineStr">
        <is>
          <t>scientific name; PubChem compound page (NIH); USDA Plants database</t>
        </is>
      </c>
      <c r="P266" s="181" t="str"/>
      <c r="Q266" s="181" t="inlineStr">
        <is>
          <t>leonurus-cardiaca; leonurus-japonicus</t>
        </is>
      </c>
      <c r="R266" s="181" t="n">
        <v>2</v>
      </c>
      <c r="S266" s="181" t="inlineStr">
        <is>
          <t>Yes</t>
        </is>
      </c>
      <c r="T266" s="181" t="inlineStr">
        <is>
          <t>Integrated from cleaned high-signal dataset</t>
        </is>
      </c>
    </row>
    <row r="267">
      <c r="A267" s="181" t="inlineStr">
        <is>
          <t>ligustilide</t>
        </is>
      </c>
      <c r="B267" s="181" t="inlineStr">
        <is>
          <t>ligustilide</t>
        </is>
      </c>
      <c r="C267" s="181" t="str"/>
      <c r="D267" s="181" t="inlineStr">
        <is>
          <t>Ferulic acid, ligustilide, polysaccharides</t>
        </is>
      </c>
      <c r="E267" s="181" t="inlineStr">
        <is>
          <t>insufficient evidence</t>
        </is>
      </c>
      <c r="F267" s="181" t="inlineStr">
        <is>
          <t>multi-target signaling modulation</t>
        </is>
      </c>
      <c r="G267" s="181" t="inlineStr">
        <is>
          <t>general or unknown targets</t>
        </is>
      </c>
      <c r="H267" s="181" t="inlineStr">
        <is>
          <t>Oral; blood tonic and smooth muscle modulation</t>
        </is>
      </c>
      <c r="I267" s="181" t="inlineStr">
        <is>
          <t>low</t>
        </is>
      </c>
      <c r="J267" s="181" t="inlineStr">
        <is>
          <t>no well-documented interactions</t>
        </is>
      </c>
      <c r="K267" s="181" t="str"/>
      <c r="L267" s="181" t="inlineStr">
        <is>
          <t>compound_level</t>
        </is>
      </c>
      <c r="M267" s="181" t="inlineStr">
        <is>
          <t>https://plants.sc.egov.usda.gov/home/search?query=Angelica%20sinensis | https://plants.sc.egov.usda.gov/home/search?query=Ligusticum%20chuanxiong | https://pubchem.ncbi.nlm.nih.gov/#query=ligustilide</t>
        </is>
      </c>
      <c r="N267" s="181" t="inlineStr">
        <is>
          <t>inferred_plus_trusted_gov</t>
        </is>
      </c>
      <c r="O267" s="181" t="inlineStr">
        <is>
          <t>scientific name; PubChem compound page (NIH); USDA Plants database</t>
        </is>
      </c>
      <c r="P267" s="181" t="str"/>
      <c r="Q267" s="181" t="inlineStr">
        <is>
          <t>angelica-sinensis; ligusticum-chuanxiong</t>
        </is>
      </c>
      <c r="R267" s="181" t="n">
        <v>2</v>
      </c>
      <c r="S267" s="181" t="inlineStr">
        <is>
          <t>Yes</t>
        </is>
      </c>
      <c r="T267" s="181" t="inlineStr">
        <is>
          <t>Integrated from cleaned high-signal dataset</t>
        </is>
      </c>
    </row>
    <row r="268">
      <c r="A268" s="181" t="inlineStr">
        <is>
          <t>limonene</t>
        </is>
      </c>
      <c r="B268" s="181" t="inlineStr">
        <is>
          <t>limonene</t>
        </is>
      </c>
      <c r="C268" s="181" t="str"/>
      <c r="D268" s="181" t="inlineStr">
        <is>
          <t>terpene</t>
        </is>
      </c>
      <c r="E268" s="181" t="inlineStr">
        <is>
          <t>THC acts at CB1 receptors; terpenes may modulate neurotransmitter systems and pharmacokinetics.</t>
        </is>
      </c>
      <c r="F268" s="181" t="inlineStr">
        <is>
          <t>multi-target signaling modulation</t>
        </is>
      </c>
      <c r="G268" s="181" t="inlineStr">
        <is>
          <t>endocannabinoid_modulation; general or unknown targets</t>
        </is>
      </c>
      <c r="H268" s="181" t="inlineStr">
        <is>
          <t>Absorption and bioavailability vary; some compounds metabolized via cytochrome P450 enzymes.</t>
        </is>
      </c>
      <c r="I268" s="181" t="inlineStr">
        <is>
          <t>low</t>
        </is>
      </c>
      <c r="J268" s="181" t="inlineStr">
        <is>
          <t>no well-documented interactions</t>
        </is>
      </c>
      <c r="K268" s="181" t="str"/>
      <c r="L268" s="181" t="inlineStr">
        <is>
          <t>compound_level</t>
        </is>
      </c>
      <c r="M268" s="181" t="inlineStr">
        <is>
          <t>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t>
        </is>
      </c>
      <c r="N268" s="181" t="inlineStr">
        <is>
          <t>inferred_plus_trusted_gov; trusted_gov_added</t>
        </is>
      </c>
      <c r="O268" s="181" t="inlineStr">
        <is>
          <t>PubChem compound page (NIH); USDA Plants database; scientific name; PubChem compound page (NIH); USDA Plants database</t>
        </is>
      </c>
      <c r="P268" s="181" t="str"/>
      <c r="Q268" s="181" t="inlineStr">
        <is>
          <t>agastache-foeniculum; bursera-graveolens; cannabis-sativa; citrus-aurantium; citrus-limon; juniperus-sibirica; lippia-alba</t>
        </is>
      </c>
      <c r="R268" s="181" t="n">
        <v>7</v>
      </c>
      <c r="S268" s="181" t="inlineStr">
        <is>
          <t>Yes</t>
        </is>
      </c>
      <c r="T268" s="181" t="inlineStr">
        <is>
          <t>Integrated from cleaned high-signal dataset</t>
        </is>
      </c>
    </row>
    <row r="269">
      <c r="A269" s="181" t="inlineStr">
        <is>
          <t>linalool</t>
        </is>
      </c>
      <c r="B269" s="181" t="inlineStr">
        <is>
          <t>linalool</t>
        </is>
      </c>
      <c r="C269" s="181" t="str"/>
      <c r="D269" s="181" t="inlineStr">
        <is>
          <t>other</t>
        </is>
      </c>
      <c r="E269" s="181" t="inlineStr">
        <is>
          <t>insufficient evidence</t>
        </is>
      </c>
      <c r="F269" s="181" t="inlineStr">
        <is>
          <t>GABAergic modulation</t>
        </is>
      </c>
      <c r="G269" s="181" t="inlineStr">
        <is>
          <t>gabaergic_modulation</t>
        </is>
      </c>
      <c r="H269" s="181" t="inlineStr">
        <is>
          <t>Oral or aromatic; onset ~20–40 min; duration 2–4 hours.</t>
        </is>
      </c>
      <c r="I269" s="181" t="inlineStr">
        <is>
          <t>low</t>
        </is>
      </c>
      <c r="J269" s="181" t="inlineStr">
        <is>
          <t>sedatives, antidepressants.</t>
        </is>
      </c>
      <c r="K269" s="181" t="str"/>
      <c r="L269" s="181" t="inlineStr">
        <is>
          <t>compound_level</t>
        </is>
      </c>
      <c r="M269" s="181" t="inlineStr">
        <is>
          <t>https://plants.sc.egov.usda.gov/home/search?query=Lavandula%20angustifolia | https://pubchem.ncbi.nlm.nih.gov/#query=linalool</t>
        </is>
      </c>
      <c r="N269" s="181" t="inlineStr">
        <is>
          <t>inferred_plus_trusted_gov</t>
        </is>
      </c>
      <c r="O269" s="181" t="inlineStr">
        <is>
          <t>scientific name; PubChem compound page (NIH); USDA Plants database</t>
        </is>
      </c>
      <c r="P269" s="181" t="str"/>
      <c r="Q269" s="181" t="inlineStr">
        <is>
          <t>lavender</t>
        </is>
      </c>
      <c r="R269" s="181" t="n">
        <v>1</v>
      </c>
      <c r="S269" s="181" t="inlineStr">
        <is>
          <t>Yes</t>
        </is>
      </c>
      <c r="T269" s="181" t="inlineStr">
        <is>
          <t>Integrated from cleaned high-signal dataset</t>
        </is>
      </c>
    </row>
    <row r="270">
      <c r="A270" s="181" t="inlineStr">
        <is>
          <t>linalyl acetate</t>
        </is>
      </c>
      <c r="B270" s="181" t="inlineStr">
        <is>
          <t>linalyl acetate</t>
        </is>
      </c>
      <c r="C270" s="181" t="str"/>
      <c r="D270" s="181" t="inlineStr">
        <is>
          <t>other</t>
        </is>
      </c>
      <c r="E270" s="181" t="inlineStr">
        <is>
          <t>insufficient evidence</t>
        </is>
      </c>
      <c r="F270" s="181" t="inlineStr">
        <is>
          <t>GABAergic modulation</t>
        </is>
      </c>
      <c r="G270" s="181" t="inlineStr">
        <is>
          <t>gabaergic_modulation</t>
        </is>
      </c>
      <c r="H270" s="181" t="inlineStr">
        <is>
          <t>Oral or aromatic; onset ~20–40 min; duration 2–4 hours.</t>
        </is>
      </c>
      <c r="I270" s="181" t="inlineStr">
        <is>
          <t>low</t>
        </is>
      </c>
      <c r="J270" s="181" t="inlineStr">
        <is>
          <t>sedatives, antidepressants.</t>
        </is>
      </c>
      <c r="K270" s="181" t="str"/>
      <c r="L270" s="181" t="inlineStr">
        <is>
          <t>compound_level</t>
        </is>
      </c>
      <c r="M270" s="181" t="inlineStr">
        <is>
          <t>https://plants.sc.egov.usda.gov/home/search?query=Lavandula%20angustifolia | https://pubchem.ncbi.nlm.nih.gov/#query=linalyl%20acetate</t>
        </is>
      </c>
      <c r="N270" s="181" t="inlineStr">
        <is>
          <t>inferred_plus_trusted_gov</t>
        </is>
      </c>
      <c r="O270" s="181" t="inlineStr">
        <is>
          <t>scientific name; PubChem compound page (NIH); USDA Plants database</t>
        </is>
      </c>
      <c r="P270" s="181" t="str"/>
      <c r="Q270" s="181" t="inlineStr">
        <is>
          <t>lavender</t>
        </is>
      </c>
      <c r="R270" s="181" t="n">
        <v>1</v>
      </c>
      <c r="S270" s="181" t="inlineStr">
        <is>
          <t>Yes</t>
        </is>
      </c>
      <c r="T270" s="181" t="inlineStr">
        <is>
          <t>Integrated from cleaned high-signal dataset</t>
        </is>
      </c>
    </row>
    <row r="271">
      <c r="A271" s="181" t="inlineStr">
        <is>
          <t>linoleic acid</t>
        </is>
      </c>
      <c r="B271" s="181" t="inlineStr">
        <is>
          <t>linoleic acid</t>
        </is>
      </c>
      <c r="C271" s="181" t="str"/>
      <c r="D271" s="181" t="inlineStr">
        <is>
          <t>organic acid</t>
        </is>
      </c>
      <c r="E271" s="181" t="inlineStr">
        <is>
          <t>insufficient evidence</t>
        </is>
      </c>
      <c r="F271" s="181" t="inlineStr">
        <is>
          <t>multi-target signaling modulation</t>
        </is>
      </c>
      <c r="G271" s="181" t="inlineStr">
        <is>
          <t>general or unknown targets</t>
        </is>
      </c>
      <c r="H271" s="181" t="inlineStr">
        <is>
          <t>Absorption and bioavailability vary; some compounds metabolized via cytochrome P450 enzymes.</t>
        </is>
      </c>
      <c r="I271" s="181" t="inlineStr">
        <is>
          <t>low</t>
        </is>
      </c>
      <c r="J271" s="181" t="inlineStr">
        <is>
          <t>no well-documented interactions</t>
        </is>
      </c>
      <c r="K271" s="181" t="str"/>
      <c r="L271" s="181" t="inlineStr">
        <is>
          <t>compound_level</t>
        </is>
      </c>
      <c r="M271" s="181" t="inlineStr">
        <is>
          <t>https://plants.sc.egov.usda.gov/home/search?query=Oenothera%20biennis | https://pubchem.ncbi.nlm.nih.gov/#query=linoleic%20acid</t>
        </is>
      </c>
      <c r="N271" s="181" t="inlineStr">
        <is>
          <t>inferred_plus_trusted_gov</t>
        </is>
      </c>
      <c r="O271" s="181" t="inlineStr">
        <is>
          <t>scientific name; PubChem compound page (NIH); USDA Plants database</t>
        </is>
      </c>
      <c r="P271" s="181" t="str"/>
      <c r="Q271" s="181" t="inlineStr">
        <is>
          <t>oenothera-biennis</t>
        </is>
      </c>
      <c r="R271" s="181" t="n">
        <v>1</v>
      </c>
      <c r="S271" s="181" t="inlineStr">
        <is>
          <t>Yes</t>
        </is>
      </c>
      <c r="T271" s="181" t="inlineStr">
        <is>
          <t>Integrated from cleaned high-signal dataset</t>
        </is>
      </c>
    </row>
    <row r="272">
      <c r="A272" s="181" t="inlineStr">
        <is>
          <t>lithospermic acid</t>
        </is>
      </c>
      <c r="B272" s="181" t="inlineStr">
        <is>
          <t>lithospermic acid</t>
        </is>
      </c>
      <c r="C272" s="181" t="str"/>
      <c r="D272" s="181" t="inlineStr">
        <is>
          <t>Lithospermic acid, polyphenols, flavonoids</t>
        </is>
      </c>
      <c r="E272" s="181" t="inlineStr">
        <is>
          <t>insufficient evidence</t>
        </is>
      </c>
      <c r="F272" s="181" t="inlineStr">
        <is>
          <t>multi-target signaling modulation</t>
        </is>
      </c>
      <c r="G272" s="181" t="inlineStr">
        <is>
          <t>general or unknown targets</t>
        </is>
      </c>
      <c r="H272" s="181" t="inlineStr">
        <is>
          <t>Oral; vasoconstrictive and nervine</t>
        </is>
      </c>
      <c r="I272" s="181" t="inlineStr">
        <is>
          <t>low</t>
        </is>
      </c>
      <c r="J272" s="181" t="inlineStr">
        <is>
          <t>no well-documented interactions</t>
        </is>
      </c>
      <c r="K272" s="181" t="str"/>
      <c r="L272" s="181" t="inlineStr">
        <is>
          <t>compound_level</t>
        </is>
      </c>
      <c r="M272" s="181" t="inlineStr">
        <is>
          <t>https://plants.sc.egov.usda.gov/home/search?query=Lycopus%20virginicus | https://pubchem.ncbi.nlm.nih.gov/#query=lithospermic%20acid</t>
        </is>
      </c>
      <c r="N272" s="181" t="inlineStr">
        <is>
          <t>inferred_plus_trusted_gov</t>
        </is>
      </c>
      <c r="O272" s="181" t="inlineStr">
        <is>
          <t>scientific name; PubChem compound page (NIH); USDA Plants database</t>
        </is>
      </c>
      <c r="P272" s="181" t="str"/>
      <c r="Q272" s="181" t="inlineStr">
        <is>
          <t>lycopus-virginicus</t>
        </is>
      </c>
      <c r="R272" s="181" t="n">
        <v>1</v>
      </c>
      <c r="S272" s="181" t="inlineStr">
        <is>
          <t>Yes</t>
        </is>
      </c>
      <c r="T272" s="181" t="inlineStr">
        <is>
          <t>Integrated from cleaned high-signal dataset</t>
        </is>
      </c>
    </row>
    <row r="273">
      <c r="A273" s="181" t="inlineStr">
        <is>
          <t>lobelanidine</t>
        </is>
      </c>
      <c r="B273" s="181" t="inlineStr">
        <is>
          <t>lobelanidine</t>
        </is>
      </c>
      <c r="C273" s="181" t="str"/>
      <c r="D273" s="181" t="inlineStr">
        <is>
          <t>other</t>
        </is>
      </c>
      <c r="E273" s="181" t="inlineStr">
        <is>
          <t>Lobeline acts as a partial agonist at nicotinic acetylcholine receptors and modulates dopamine release.</t>
        </is>
      </c>
      <c r="F273" s="181" t="inlineStr">
        <is>
          <t>muscarinic receptor interaction</t>
        </is>
      </c>
      <c r="G273" s="181" t="inlineStr">
        <is>
          <t>cholinergic_modulation; dopaminergic_modulation</t>
        </is>
      </c>
      <c r="H273" s="181" t="inlineStr">
        <is>
          <t>rapid systemic absorption; crosses BBB; hepatic metabolism</t>
        </is>
      </c>
      <c r="I273" s="181" t="inlineStr">
        <is>
          <t>low</t>
        </is>
      </c>
      <c r="J273" s="181" t="inlineStr">
        <is>
          <t>no well-documented interactions</t>
        </is>
      </c>
      <c r="K273" s="181" t="str"/>
      <c r="L273" s="181" t="inlineStr">
        <is>
          <t>compound_level</t>
        </is>
      </c>
      <c r="M273" s="181" t="inlineStr">
        <is>
          <t>https://plants.sc.egov.usda.gov/home/search?query=lobelia%20inflata | https://pubchem.ncbi.nlm.nih.gov/#query=lobelanidine</t>
        </is>
      </c>
      <c r="N273" s="181" t="inlineStr">
        <is>
          <t>trusted_gov_added</t>
        </is>
      </c>
      <c r="O273" s="181" t="inlineStr">
        <is>
          <t>PubChem compound page (NIH); USDA Plants database</t>
        </is>
      </c>
      <c r="P273" s="181" t="str"/>
      <c r="Q273" s="181" t="inlineStr">
        <is>
          <t>lobelia-inflata</t>
        </is>
      </c>
      <c r="R273" s="181" t="n">
        <v>1</v>
      </c>
      <c r="S273" s="181" t="inlineStr">
        <is>
          <t>Yes</t>
        </is>
      </c>
      <c r="T273" s="181" t="inlineStr">
        <is>
          <t>Integrated from cleaned high-signal dataset</t>
        </is>
      </c>
    </row>
    <row r="274">
      <c r="A274" s="181" t="inlineStr">
        <is>
          <t>lobeline</t>
        </is>
      </c>
      <c r="B274" s="181" t="inlineStr">
        <is>
          <t>lobeline</t>
        </is>
      </c>
      <c r="C274" s="181" t="str"/>
      <c r="D274" s="181" t="inlineStr">
        <is>
          <t>other</t>
        </is>
      </c>
      <c r="E274" s="181" t="inlineStr">
        <is>
          <t>Lobeline acts as a partial agonist at nicotinic acetylcholine receptors and modulates dopamine release.</t>
        </is>
      </c>
      <c r="F274" s="181" t="inlineStr">
        <is>
          <t>muscarinic receptor interaction</t>
        </is>
      </c>
      <c r="G274" s="181" t="inlineStr">
        <is>
          <t>cholinergic_modulation; dopaminergic_modulation</t>
        </is>
      </c>
      <c r="H274" s="181" t="inlineStr">
        <is>
          <t>rapid systemic absorption; crosses BBB; hepatic metabolism</t>
        </is>
      </c>
      <c r="I274" s="181" t="inlineStr">
        <is>
          <t>low</t>
        </is>
      </c>
      <c r="J274" s="181" t="inlineStr">
        <is>
          <t>no well-documented interactions</t>
        </is>
      </c>
      <c r="K274" s="181" t="str"/>
      <c r="L274" s="181" t="inlineStr">
        <is>
          <t>compound_level</t>
        </is>
      </c>
      <c r="M274" s="181" t="inlineStr">
        <is>
          <t>https://plants.sc.egov.usda.gov/home/search?query=lobelia%20inflata | https://pubchem.ncbi.nlm.nih.gov/#query=lobeline</t>
        </is>
      </c>
      <c r="N274" s="181" t="inlineStr">
        <is>
          <t>trusted_gov_added</t>
        </is>
      </c>
      <c r="O274" s="181" t="inlineStr">
        <is>
          <t>PubChem compound page (NIH); USDA Plants database</t>
        </is>
      </c>
      <c r="P274" s="181" t="str"/>
      <c r="Q274" s="181" t="inlineStr">
        <is>
          <t>lobelia-inflata</t>
        </is>
      </c>
      <c r="R274" s="181" t="n">
        <v>1</v>
      </c>
      <c r="S274" s="181" t="inlineStr">
        <is>
          <t>Yes</t>
        </is>
      </c>
      <c r="T274" s="181" t="inlineStr">
        <is>
          <t>Integrated from cleaned high-signal dataset</t>
        </is>
      </c>
    </row>
    <row r="275">
      <c r="A275" s="181" t="inlineStr">
        <is>
          <t>loganin</t>
        </is>
      </c>
      <c r="B275" s="181" t="inlineStr">
        <is>
          <t>loganin</t>
        </is>
      </c>
      <c r="C275" s="181" t="str"/>
      <c r="D275" s="181" t="inlineStr">
        <is>
          <t>iridoid glycosides</t>
        </is>
      </c>
      <c r="E275" s="181" t="inlineStr">
        <is>
          <t>insufficient evidence</t>
        </is>
      </c>
      <c r="F275" s="181" t="inlineStr">
        <is>
          <t>multi-target signaling modulation</t>
        </is>
      </c>
      <c r="G275" s="181" t="inlineStr">
        <is>
          <t>general or unknown targets</t>
        </is>
      </c>
      <c r="H275" s="181" t="inlineStr">
        <is>
          <t>Absorption and bioavailability vary; some compounds metabolized via cytochrome P450 enzymes.</t>
        </is>
      </c>
      <c r="I275" s="181" t="inlineStr">
        <is>
          <t>low</t>
        </is>
      </c>
      <c r="J275" s="181" t="inlineStr">
        <is>
          <t>no well-documented interactions</t>
        </is>
      </c>
      <c r="K275" s="181" t="str"/>
      <c r="L275" s="181" t="inlineStr">
        <is>
          <t>compound_level</t>
        </is>
      </c>
      <c r="M275" s="181" t="inlineStr">
        <is>
          <t>https://plants.sc.egov.usda.gov/home/search?query=Cornus%20officinalis | https://pubchem.ncbi.nlm.nih.gov/#query=loganin</t>
        </is>
      </c>
      <c r="N275" s="181" t="inlineStr">
        <is>
          <t>inferred_plus_trusted_gov</t>
        </is>
      </c>
      <c r="O275" s="181" t="inlineStr">
        <is>
          <t>scientific name; PubChem compound page (NIH); USDA Plants database</t>
        </is>
      </c>
      <c r="P275" s="181" t="str"/>
      <c r="Q275" s="181" t="inlineStr">
        <is>
          <t>cornus-officinalis</t>
        </is>
      </c>
      <c r="R275" s="181" t="n">
        <v>1</v>
      </c>
      <c r="S275" s="181" t="inlineStr">
        <is>
          <t>Yes</t>
        </is>
      </c>
      <c r="T275" s="181" t="inlineStr">
        <is>
          <t>Integrated from cleaned high-signal dataset</t>
        </is>
      </c>
    </row>
    <row r="276">
      <c r="A276" s="181" t="inlineStr">
        <is>
          <t>lsa</t>
        </is>
      </c>
      <c r="B276" s="181" t="inlineStr">
        <is>
          <t>lsa)</t>
        </is>
      </c>
      <c r="C276" s="181" t="str"/>
      <c r="D276" s="181" t="inlineStr">
        <is>
          <t>other</t>
        </is>
      </c>
      <c r="E276" s="181" t="inlineStr">
        <is>
          <t>Psychoactive effects are attributed primarily to ergoline alkaloids such as ergine, likely through serotonergic receptor activity.</t>
        </is>
      </c>
      <c r="F276" s="181" t="inlineStr">
        <is>
          <t>multi-target signaling modulation</t>
        </is>
      </c>
      <c r="G276" s="181" t="inlineStr">
        <is>
          <t>general or unknown targets</t>
        </is>
      </c>
      <c r="H276" s="181" t="inlineStr">
        <is>
          <t>moderate absorption; hepatic metabolism</t>
        </is>
      </c>
      <c r="I276" s="181" t="inlineStr">
        <is>
          <t>low</t>
        </is>
      </c>
      <c r="J276" s="181" t="inlineStr">
        <is>
          <t>no well-documented interactions</t>
        </is>
      </c>
      <c r="K276" s="181" t="str"/>
      <c r="L276" s="181" t="inlineStr">
        <is>
          <t>compound_level</t>
        </is>
      </c>
      <c r="M276" s="181" t="inlineStr">
        <is>
          <t>https://plants.sc.egov.usda.gov/home/search?query=argyreia%20nervosa | https://pubchem.ncbi.nlm.nih.gov/#query=lsa%29</t>
        </is>
      </c>
      <c r="N276" s="181" t="inlineStr">
        <is>
          <t>trusted_gov_added</t>
        </is>
      </c>
      <c r="O276" s="181" t="inlineStr">
        <is>
          <t>PubChem compound page (NIH); USDA Plants database</t>
        </is>
      </c>
      <c r="P276" s="181" t="str"/>
      <c r="Q276" s="181" t="inlineStr">
        <is>
          <t>argyreia-nervosa</t>
        </is>
      </c>
      <c r="R276" s="181" t="n">
        <v>1</v>
      </c>
      <c r="S276" s="181" t="inlineStr">
        <is>
          <t>Yes</t>
        </is>
      </c>
      <c r="T276" s="181" t="inlineStr">
        <is>
          <t>Integrated from cleaned high-signal dataset</t>
        </is>
      </c>
    </row>
    <row r="277">
      <c r="A277" s="181" t="inlineStr">
        <is>
          <t>lsd ergoline derivative</t>
        </is>
      </c>
      <c r="B277" s="181" t="inlineStr">
        <is>
          <t>lsd (ergoline derivative)</t>
        </is>
      </c>
      <c r="C277" s="181" t="str"/>
      <c r="D277" s="181" t="inlineStr">
        <is>
          <t>other</t>
        </is>
      </c>
      <c r="E277" s="181" t="inlineStr">
        <is>
          <t>Potent 5-HT2A receptor agonist affecting serotonin and dopamine systems.</t>
        </is>
      </c>
      <c r="F277" s="181" t="inlineStr">
        <is>
          <t>serotonin receptor interaction</t>
        </is>
      </c>
      <c r="G277" s="181" t="inlineStr">
        <is>
          <t>dopaminergic_modulation; serotonergic_5HT2A_agonism</t>
        </is>
      </c>
      <c r="H277" s="181" t="inlineStr">
        <is>
          <t>Oral; crosses BBB; serotonin receptor agonist</t>
        </is>
      </c>
      <c r="I277" s="181" t="inlineStr">
        <is>
          <t>Very low physiological toxicity but strong psychological effects.</t>
        </is>
      </c>
      <c r="J277" s="181" t="inlineStr">
        <is>
          <t>ssris may blunt effects; maois potentiate.</t>
        </is>
      </c>
      <c r="K277" s="181" t="str"/>
      <c r="L277" s="181" t="inlineStr">
        <is>
          <t>compound_level</t>
        </is>
      </c>
      <c r="M277" s="181" t="inlineStr">
        <is>
          <t>https://plants.sc.egov.usda.gov/home/search?query=Lysergic%20acid%20diethylamide | https://pubchem.ncbi.nlm.nih.gov/#query=lsd%20%28ergoline%20derivative%29</t>
        </is>
      </c>
      <c r="N277" s="181" t="inlineStr">
        <is>
          <t>inferred_plus_trusted_gov</t>
        </is>
      </c>
      <c r="O277" s="181" t="inlineStr">
        <is>
          <t>Lysergic acid diethylamide; PubChem compound page (NIH); USDA Plants database</t>
        </is>
      </c>
      <c r="P277" s="181" t="str"/>
      <c r="Q277" s="181" t="inlineStr">
        <is>
          <t>lsd</t>
        </is>
      </c>
      <c r="R277" s="181" t="n">
        <v>1</v>
      </c>
      <c r="S277" s="181" t="inlineStr">
        <is>
          <t>Yes</t>
        </is>
      </c>
      <c r="T277" s="181" t="inlineStr">
        <is>
          <t>Integrated from cleaned high-signal dataset</t>
        </is>
      </c>
    </row>
    <row r="278">
      <c r="A278" s="181" t="inlineStr">
        <is>
          <t>lupeol</t>
        </is>
      </c>
      <c r="B278" s="181" t="inlineStr">
        <is>
          <t>lupeol</t>
        </is>
      </c>
      <c r="C278" s="181" t="str"/>
      <c r="D278" s="181" t="inlineStr">
        <is>
          <t>other</t>
        </is>
      </c>
      <c r="E278" s="181" t="inlineStr">
        <is>
          <t>insufficient evidence</t>
        </is>
      </c>
      <c r="F278" s="181" t="inlineStr">
        <is>
          <t>multi-target signaling modulation</t>
        </is>
      </c>
      <c r="G278" s="181" t="inlineStr">
        <is>
          <t>general or unknown targets</t>
        </is>
      </c>
      <c r="H278" s="181" t="inlineStr">
        <is>
          <t>moderate absorption; hepatic metabolism</t>
        </is>
      </c>
      <c r="I278" s="181" t="inlineStr">
        <is>
          <t>low</t>
        </is>
      </c>
      <c r="J278" s="181" t="inlineStr">
        <is>
          <t>no well-documented interactions</t>
        </is>
      </c>
      <c r="K278" s="181" t="str"/>
      <c r="L278" s="181" t="inlineStr">
        <is>
          <t>compound_level</t>
        </is>
      </c>
      <c r="M278" s="181" t="inlineStr">
        <is>
          <t>https://plants.sc.egov.usda.gov/home/search?query=Celastrus%20Paniculatus | https://plants.sc.egov.usda.gov/home/search?query=celastrus%20paniculatus | https://pubchem.ncbi.nlm.nih.gov/#query=lupeol</t>
        </is>
      </c>
      <c r="N278" s="181" t="inlineStr">
        <is>
          <t>trusted_gov_added</t>
        </is>
      </c>
      <c r="O278" s="181" t="inlineStr">
        <is>
          <t>PubChem compound page (NIH); USDA Plants database</t>
        </is>
      </c>
      <c r="P278" s="181" t="str"/>
      <c r="Q278" s="181" t="inlineStr">
        <is>
          <t>celastrus-paniculatus; celastrus-paniculatus-intellect-tree</t>
        </is>
      </c>
      <c r="R278" s="181" t="n">
        <v>2</v>
      </c>
      <c r="S278" s="181" t="inlineStr">
        <is>
          <t>Yes</t>
        </is>
      </c>
      <c r="T278" s="181" t="inlineStr">
        <is>
          <t>Integrated from cleaned high-signal dataset</t>
        </is>
      </c>
    </row>
    <row r="279">
      <c r="A279" s="181" t="inlineStr">
        <is>
          <t>lupulone</t>
        </is>
      </c>
      <c r="B279" s="181" t="inlineStr">
        <is>
          <t>lupulone</t>
        </is>
      </c>
      <c r="C279" s="181" t="str"/>
      <c r="D279" s="181" t="inlineStr">
        <is>
          <t>other</t>
        </is>
      </c>
      <c r="E279" s="181" t="inlineStr">
        <is>
          <t>insufficient evidence</t>
        </is>
      </c>
      <c r="F279" s="181" t="inlineStr">
        <is>
          <t>multi-target signaling modulation</t>
        </is>
      </c>
      <c r="G279" s="181" t="inlineStr">
        <is>
          <t>general or unknown targets</t>
        </is>
      </c>
      <c r="H279" s="181" t="inlineStr">
        <is>
          <t>Absorption and bioavailability vary; some compounds metabolized via cytochrome P450 enzymes.</t>
        </is>
      </c>
      <c r="I279" s="181" t="inlineStr">
        <is>
          <t>low</t>
        </is>
      </c>
      <c r="J279" s="181" t="inlineStr">
        <is>
          <t>no well-documented interactions</t>
        </is>
      </c>
      <c r="K279" s="181" t="str"/>
      <c r="L279" s="181" t="inlineStr">
        <is>
          <t>compound_level</t>
        </is>
      </c>
      <c r="M279" s="181" t="inlineStr">
        <is>
          <t>https://plants.sc.egov.usda.gov/home/search?query=Humulus%20lupulus | https://pubchem.ncbi.nlm.nih.gov/#query=lupulone</t>
        </is>
      </c>
      <c r="N279" s="181" t="inlineStr">
        <is>
          <t>inferred_plus_trusted_gov</t>
        </is>
      </c>
      <c r="O279" s="181" t="inlineStr">
        <is>
          <t>scientific name; PubChem compound page (NIH); USDA Plants database</t>
        </is>
      </c>
      <c r="P279" s="181" t="str"/>
      <c r="Q279" s="181" t="inlineStr">
        <is>
          <t>humulus-lupulus</t>
        </is>
      </c>
      <c r="R279" s="181" t="n">
        <v>1</v>
      </c>
      <c r="S279" s="181" t="inlineStr">
        <is>
          <t>Yes</t>
        </is>
      </c>
      <c r="T279" s="181" t="inlineStr">
        <is>
          <t>Integrated from cleaned high-signal dataset</t>
        </is>
      </c>
    </row>
    <row r="280">
      <c r="A280" s="181" t="inlineStr">
        <is>
          <t>luteolin</t>
        </is>
      </c>
      <c r="B280" s="181" t="inlineStr">
        <is>
          <t>luteolin</t>
        </is>
      </c>
      <c r="C280" s="181" t="str"/>
      <c r="D280" s="181" t="inlineStr">
        <is>
          <t>flavonoid</t>
        </is>
      </c>
      <c r="E280" s="181" t="inlineStr">
        <is>
          <t>Inhibits NF-kB and MAPK signaling</t>
        </is>
      </c>
      <c r="F280" s="181" t="inlineStr">
        <is>
          <t>multi-target signaling modulation</t>
        </is>
      </c>
      <c r="G280" s="181" t="inlineStr">
        <is>
          <t>MAPK pathway inhibition; NF-kB inhibition; general or unknown targets</t>
        </is>
      </c>
      <c r="H280" s="181" t="inlineStr">
        <is>
          <t>Absorption and bioavailability vary; some compounds metabolized via cytochrome P450 enzymes.</t>
        </is>
      </c>
      <c r="I280" s="181" t="inlineStr">
        <is>
          <t>low</t>
        </is>
      </c>
      <c r="J280" s="181" t="inlineStr">
        <is>
          <t>Anticoagulants (↑ bleeding risk)</t>
        </is>
      </c>
      <c r="K280" s="181" t="str"/>
      <c r="L280" s="181" t="inlineStr">
        <is>
          <t>Batch9</t>
        </is>
      </c>
      <c r="M280" s="181" t="inlineStr">
        <is>
          <t>https://plants.sc.egov.usda.gov/home/search?query=Lonicera%20japonica | https://pubchem.ncbi.nlm.nih.gov/#query=luteolin</t>
        </is>
      </c>
      <c r="N280" s="181" t="inlineStr">
        <is>
          <t>inferred_plus_trusted_gov</t>
        </is>
      </c>
      <c r="O280" s="181" t="inlineStr">
        <is>
          <t>scientific name; PubChem compound page (NIH); USDA Plants database</t>
        </is>
      </c>
      <c r="P280" s="181" t="inlineStr">
        <is>
          <t>master_monographs_v3.xlsx</t>
        </is>
      </c>
      <c r="Q280" s="181" t="inlineStr">
        <is>
          <t>lonicera-japonica</t>
        </is>
      </c>
      <c r="R280" s="181" t="n">
        <v>1</v>
      </c>
      <c r="S280" s="181" t="inlineStr">
        <is>
          <t>Yes</t>
        </is>
      </c>
      <c r="T280" s="181" t="inlineStr">
        <is>
          <t>Integrated from cleaned high-signal dataset; Integrated from compound monograph workbook</t>
        </is>
      </c>
    </row>
    <row r="281">
      <c r="A281" s="181" t="inlineStr">
        <is>
          <t>lycopene</t>
        </is>
      </c>
      <c r="B281" s="181" t="inlineStr">
        <is>
          <t>lycopene</t>
        </is>
      </c>
      <c r="C281" s="181" t="str"/>
      <c r="D281" s="181" t="inlineStr">
        <is>
          <t>flavonoids; phenolic acids</t>
        </is>
      </c>
      <c r="E281" s="181" t="inlineStr">
        <is>
          <t>insufficient evidence</t>
        </is>
      </c>
      <c r="F281" s="181" t="inlineStr">
        <is>
          <t>multi-target signaling modulation</t>
        </is>
      </c>
      <c r="G281" s="181" t="inlineStr">
        <is>
          <t>general or unknown targets</t>
        </is>
      </c>
      <c r="H281" s="181" t="inlineStr">
        <is>
          <t>Absorption and bioavailability vary; some compounds metabolized via cytochrome P450 enzymes.</t>
        </is>
      </c>
      <c r="I281" s="181" t="inlineStr">
        <is>
          <t>low</t>
        </is>
      </c>
      <c r="J281" s="181" t="inlineStr">
        <is>
          <t>no well-documented interactions</t>
        </is>
      </c>
      <c r="K281" s="181" t="str"/>
      <c r="L281" s="181" t="inlineStr">
        <is>
          <t>compound_level</t>
        </is>
      </c>
      <c r="M281" s="181" t="inlineStr">
        <is>
          <t>https://plants.sc.egov.usda.gov/home/search?query=Elaeagnus%20umbellata | https://pubchem.ncbi.nlm.nih.gov/#query=lycopene</t>
        </is>
      </c>
      <c r="N281" s="181" t="inlineStr">
        <is>
          <t>inferred_plus_trusted_gov</t>
        </is>
      </c>
      <c r="O281" s="181" t="inlineStr">
        <is>
          <t>scientific name; PubChem compound page (NIH); USDA Plants database</t>
        </is>
      </c>
      <c r="P281" s="181" t="str"/>
      <c r="Q281" s="181" t="inlineStr">
        <is>
          <t>elaeagnus-umbellata</t>
        </is>
      </c>
      <c r="R281" s="181" t="n">
        <v>1</v>
      </c>
      <c r="S281" s="181" t="inlineStr">
        <is>
          <t>Yes</t>
        </is>
      </c>
      <c r="T281" s="181" t="inlineStr">
        <is>
          <t>Integrated from cleaned high-signal dataset</t>
        </is>
      </c>
    </row>
    <row r="282">
      <c r="A282" s="181" t="inlineStr">
        <is>
          <t>lycopodine</t>
        </is>
      </c>
      <c r="B282" s="181" t="inlineStr">
        <is>
          <t>lycopodine</t>
        </is>
      </c>
      <c r="C282" s="181" t="str"/>
      <c r="D282" s="181" t="inlineStr">
        <is>
          <t>lycodine alkaloids</t>
        </is>
      </c>
      <c r="E282" s="181" t="inlineStr">
        <is>
          <t>insufficient evidence</t>
        </is>
      </c>
      <c r="F282" s="181" t="inlineStr">
        <is>
          <t>multi-target signaling modulation</t>
        </is>
      </c>
      <c r="G282" s="181" t="inlineStr">
        <is>
          <t>general or unknown targets</t>
        </is>
      </c>
      <c r="H282" s="181" t="inlineStr">
        <is>
          <t>Absorption and bioavailability vary; some compounds metabolized via cytochrome P450 enzymes.</t>
        </is>
      </c>
      <c r="I282" s="181" t="inlineStr">
        <is>
          <t>low</t>
        </is>
      </c>
      <c r="J282" s="181" t="inlineStr">
        <is>
          <t>no well-documented interactions</t>
        </is>
      </c>
      <c r="K282" s="181" t="str"/>
      <c r="L282" s="181" t="inlineStr">
        <is>
          <t>compound_level</t>
        </is>
      </c>
      <c r="M282" s="181" t="inlineStr">
        <is>
          <t>https://plants.sc.egov.usda.gov/home/search?query=Lycopodium%20clavatum | https://pubchem.ncbi.nlm.nih.gov/#query=lycopodine</t>
        </is>
      </c>
      <c r="N282" s="181" t="inlineStr">
        <is>
          <t>inferred_plus_trusted_gov</t>
        </is>
      </c>
      <c r="O282" s="181" t="inlineStr">
        <is>
          <t>scientific name; PubChem compound page (NIH); USDA Plants database</t>
        </is>
      </c>
      <c r="P282" s="181" t="str"/>
      <c r="Q282" s="181" t="inlineStr">
        <is>
          <t>lycopodium-clavatum</t>
        </is>
      </c>
      <c r="R282" s="181" t="n">
        <v>1</v>
      </c>
      <c r="S282" s="181" t="inlineStr">
        <is>
          <t>Yes</t>
        </is>
      </c>
      <c r="T282" s="181" t="inlineStr">
        <is>
          <t>Integrated from cleaned high-signal dataset</t>
        </is>
      </c>
    </row>
    <row r="283">
      <c r="A283" s="181" t="inlineStr">
        <is>
          <t>lycorine</t>
        </is>
      </c>
      <c r="B283" s="181" t="inlineStr">
        <is>
          <t>lycorine</t>
        </is>
      </c>
      <c r="C283" s="181" t="str"/>
      <c r="D283" s="181" t="inlineStr">
        <is>
          <t>alkaloids</t>
        </is>
      </c>
      <c r="E283" s="181" t="inlineStr">
        <is>
          <t>insufficient evidence</t>
        </is>
      </c>
      <c r="F283" s="181" t="inlineStr">
        <is>
          <t>multi-target signaling modulation</t>
        </is>
      </c>
      <c r="G283" s="181" t="inlineStr">
        <is>
          <t>general or unknown targets</t>
        </is>
      </c>
      <c r="H283" s="181" t="inlineStr">
        <is>
          <t>Absorption and bioavailability vary; some compounds metabolized via cytochrome P450 enzymes.</t>
        </is>
      </c>
      <c r="I283" s="181" t="inlineStr">
        <is>
          <t>low</t>
        </is>
      </c>
      <c r="J283" s="181" t="inlineStr">
        <is>
          <t>no well-documented interactions</t>
        </is>
      </c>
      <c r="K283" s="181" t="str"/>
      <c r="L283" s="181" t="inlineStr">
        <is>
          <t>compound_level</t>
        </is>
      </c>
      <c r="M283" s="181" t="inlineStr">
        <is>
          <t>https://plants.sc.egov.usda.gov/home/search?query=Boophone%20disticha | https://pubchem.ncbi.nlm.nih.gov/#query=lycorine</t>
        </is>
      </c>
      <c r="N283" s="181" t="inlineStr">
        <is>
          <t>inferred_plus_trusted_gov</t>
        </is>
      </c>
      <c r="O283" s="181" t="inlineStr">
        <is>
          <t>scientific name; PubChem compound page (NIH); USDA Plants database</t>
        </is>
      </c>
      <c r="P283" s="181" t="str"/>
      <c r="Q283" s="181" t="inlineStr">
        <is>
          <t>boophone-disticha</t>
        </is>
      </c>
      <c r="R283" s="181" t="n">
        <v>1</v>
      </c>
      <c r="S283" s="181" t="inlineStr">
        <is>
          <t>Yes</t>
        </is>
      </c>
      <c r="T283" s="181" t="inlineStr">
        <is>
          <t>Integrated from cleaned high-signal dataset</t>
        </is>
      </c>
    </row>
    <row r="284">
      <c r="A284" s="181" t="inlineStr">
        <is>
          <t>lythrine</t>
        </is>
      </c>
      <c r="B284" s="181" t="inlineStr">
        <is>
          <t>lythrine</t>
        </is>
      </c>
      <c r="C284" s="181" t="str"/>
      <c r="D284" s="181" t="inlineStr">
        <is>
          <t>other</t>
        </is>
      </c>
      <c r="E284" s="181" t="inlineStr">
        <is>
          <t>Primary alkaloid cryogenine (vertine) has CNS activity; precise receptor targets are not well-characterized in humans. Marked as mechanism not fully established.</t>
        </is>
      </c>
      <c r="F284" s="181" t="inlineStr">
        <is>
          <t>multi-target signaling modulation</t>
        </is>
      </c>
      <c r="G284" s="181" t="inlineStr">
        <is>
          <t>general or unknown targets</t>
        </is>
      </c>
      <c r="H284" s="181" t="inlineStr">
        <is>
          <t>Oral; affects serotonin pathways</t>
        </is>
      </c>
      <c r="I284" s="181" t="inlineStr">
        <is>
          <t>low</t>
        </is>
      </c>
      <c r="J284" s="181" t="inlineStr">
        <is>
          <t>cns depressants, alcohol.</t>
        </is>
      </c>
      <c r="K284" s="181" t="str"/>
      <c r="L284" s="181" t="inlineStr">
        <is>
          <t>compound_level</t>
        </is>
      </c>
      <c r="M284" s="181" t="inlineStr">
        <is>
          <t>https://plants.sc.egov.usda.gov/home/search?query=Heimia%20spp. | https://pubchem.ncbi.nlm.nih.gov/#query=lythrine</t>
        </is>
      </c>
      <c r="N284" s="181" t="inlineStr">
        <is>
          <t>inferred_plus_trusted_gov</t>
        </is>
      </c>
      <c r="O284" s="181" t="inlineStr">
        <is>
          <t>scientific name; PubChem compound page (NIH); USDA Plants database</t>
        </is>
      </c>
      <c r="P284" s="181" t="str"/>
      <c r="Q284" s="181" t="inlineStr">
        <is>
          <t>heimia</t>
        </is>
      </c>
      <c r="R284" s="181" t="n">
        <v>1</v>
      </c>
      <c r="S284" s="181" t="inlineStr">
        <is>
          <t>Yes</t>
        </is>
      </c>
      <c r="T284" s="181" t="inlineStr">
        <is>
          <t>Integrated from cleaned high-signal dataset</t>
        </is>
      </c>
    </row>
    <row r="285">
      <c r="A285" s="181" t="inlineStr">
        <is>
          <t>madecassic acid</t>
        </is>
      </c>
      <c r="B285" s="181" t="inlineStr">
        <is>
          <t>madecassic acid</t>
        </is>
      </c>
      <c r="C285" s="181" t="str"/>
      <c r="D285" s="181" t="inlineStr">
        <is>
          <t>organic acid</t>
        </is>
      </c>
      <c r="E285" s="181" t="inlineStr">
        <is>
          <t>insufficient evidence</t>
        </is>
      </c>
      <c r="F285" s="181" t="inlineStr">
        <is>
          <t>COX/NF-kB inhibition</t>
        </is>
      </c>
      <c r="G285" s="181" t="inlineStr">
        <is>
          <t>inflammatory_pathway_modulation</t>
        </is>
      </c>
      <c r="H285" s="181" t="inlineStr">
        <is>
          <t>Oral; onset ~30–60 min; duration ~4 hrs.</t>
        </is>
      </c>
      <c r="I285" s="181" t="inlineStr">
        <is>
          <t>low</t>
        </is>
      </c>
      <c r="J285" s="181" t="inlineStr">
        <is>
          <t>sedatives, hepatotoxic drugs.</t>
        </is>
      </c>
      <c r="K285" s="181" t="str"/>
      <c r="L285" s="181" t="inlineStr">
        <is>
          <t>compound_level</t>
        </is>
      </c>
      <c r="M285" s="181" t="inlineStr">
        <is>
          <t>https://plants.sc.egov.usda.gov/home/search?query=Centella%20asiatica | https://pubchem.ncbi.nlm.nih.gov/#query=madecassic%20acid</t>
        </is>
      </c>
      <c r="N285" s="181" t="inlineStr">
        <is>
          <t>inferred_plus_trusted_gov</t>
        </is>
      </c>
      <c r="O285" s="181" t="inlineStr">
        <is>
          <t>scientific name; PubChem compound page (NIH); USDA Plants database</t>
        </is>
      </c>
      <c r="P285" s="181" t="str"/>
      <c r="Q285" s="181" t="inlineStr">
        <is>
          <t>gotu-kola</t>
        </is>
      </c>
      <c r="R285" s="181" t="n">
        <v>1</v>
      </c>
      <c r="S285" s="181" t="inlineStr">
        <is>
          <t>Yes</t>
        </is>
      </c>
      <c r="T285" s="181" t="inlineStr">
        <is>
          <t>Integrated from cleaned high-signal dataset</t>
        </is>
      </c>
    </row>
    <row r="286">
      <c r="A286" s="181" t="inlineStr">
        <is>
          <t>madecassoside</t>
        </is>
      </c>
      <c r="B286" s="181" t="inlineStr">
        <is>
          <t>madecassoside</t>
        </is>
      </c>
      <c r="C286" s="181" t="str"/>
      <c r="D286" s="181" t="inlineStr">
        <is>
          <t>other</t>
        </is>
      </c>
      <c r="E286" s="181" t="inlineStr">
        <is>
          <t>insufficient evidence</t>
        </is>
      </c>
      <c r="F286" s="181" t="inlineStr">
        <is>
          <t>COX/NF-kB inhibition; multi-target signaling modulation</t>
        </is>
      </c>
      <c r="G286" s="181" t="inlineStr">
        <is>
          <t>general or unknown targets; inflammatory_pathway_modulation</t>
        </is>
      </c>
      <c r="H286" s="181" t="inlineStr">
        <is>
          <t>moderate absorption; hepatic metabolism</t>
        </is>
      </c>
      <c r="I286" s="181" t="inlineStr">
        <is>
          <t>low</t>
        </is>
      </c>
      <c r="J286" s="181" t="inlineStr">
        <is>
          <t>no well-documented interactions</t>
        </is>
      </c>
      <c r="K286" s="181" t="str"/>
      <c r="L286" s="181" t="inlineStr">
        <is>
          <t>compound_level</t>
        </is>
      </c>
      <c r="M286" s="181" t="inlineStr">
        <is>
          <t>https://plants.sc.egov.usda.gov/home/search?query=Centella%20asiatica | https://plants.sc.egov.usda.gov/home/search?query=centella%20asiatica | https://pubchem.ncbi.nlm.nih.gov/#query=madecassoside</t>
        </is>
      </c>
      <c r="N286" s="181" t="inlineStr">
        <is>
          <t>inferred_plus_trusted_gov; trusted_gov_added</t>
        </is>
      </c>
      <c r="O286" s="181" t="inlineStr">
        <is>
          <t>PubChem compound page (NIH); USDA Plants database; scientific name; PubChem compound page (NIH); USDA Plants database</t>
        </is>
      </c>
      <c r="P286" s="181" t="str"/>
      <c r="Q286" s="181" t="inlineStr">
        <is>
          <t>centella-asiatica; gotu-kola</t>
        </is>
      </c>
      <c r="R286" s="181" t="n">
        <v>2</v>
      </c>
      <c r="S286" s="181" t="inlineStr">
        <is>
          <t>Yes</t>
        </is>
      </c>
      <c r="T286" s="181" t="inlineStr">
        <is>
          <t>Integrated from cleaned high-signal dataset</t>
        </is>
      </c>
    </row>
    <row r="287">
      <c r="A287" s="181" t="inlineStr">
        <is>
          <t>magnesium</t>
        </is>
      </c>
      <c r="B287" s="181" t="inlineStr">
        <is>
          <t>magnesium</t>
        </is>
      </c>
      <c r="C287" s="181" t="str"/>
      <c r="D287" s="181" t="inlineStr">
        <is>
          <t>essential mineral</t>
        </is>
      </c>
      <c r="E287" s="181" t="inlineStr">
        <is>
          <t>Cofactor in more than 300 enzyme systems regulating protein synthesis, muscle and nerve function, blood glucose control, and blood pressure; required for energy production, oxidative phosphorylation, and glycolysis.</t>
        </is>
      </c>
      <c r="F287" s="181" t="str"/>
      <c r="G287" s="181" t="inlineStr">
        <is>
          <t>ATP-dependent enzymatic reactions; calcium/potassium ion transport; glycolysis; oxidative phosphorylation</t>
        </is>
      </c>
      <c r="H287" s="181" t="inlineStr">
        <is>
          <t>Kidney-regulated homeostasis; excess from food is excreted in urine. High supplemental doses commonly cause osmotic diarrhea. Toxicity risk rises with impaired renal function.</t>
        </is>
      </c>
      <c r="I287" s="181" t="inlineStr">
        <is>
          <t>High supplemental doses can cause diarrhea, nausea, and abdominal cramping. Very large doses can cause hypotension, arrhythmia, respiratory depression, and cardiac arrest, especially in renal impairment.</t>
        </is>
      </c>
      <c r="J287" s="181" t="inlineStr">
        <is>
          <t>Oral bisphosphonates (decreased absorption); tetracycline and quinolone antibiotics (insoluble complexes reduce absorption); diuretics and proton pump inhibitors (can lower magnesium status).</t>
        </is>
      </c>
      <c r="K287" s="181" t="inlineStr">
        <is>
          <t>High</t>
        </is>
      </c>
      <c r="L287" s="181" t="inlineStr">
        <is>
          <t>Sprint7</t>
        </is>
      </c>
      <c r="M287" s="181" t="inlineStr">
        <is>
          <t>https://ods.od.nih.gov/factsheets/Magnesium-HealthProfessional/</t>
        </is>
      </c>
      <c r="N287" s="181" t="str"/>
      <c r="O287" s="181" t="str"/>
      <c r="P287" s="181" t="inlineStr">
        <is>
          <t>precision_monographs_sprint7.xlsx</t>
        </is>
      </c>
      <c r="Q287" s="181" t="str"/>
      <c r="R287" s="181" t="n">
        <v>0</v>
      </c>
      <c r="S287" s="181" t="inlineStr">
        <is>
          <t>No</t>
        </is>
      </c>
      <c r="T287" s="181" t="inlineStr">
        <is>
          <t>Integrated from compound monograph workbook</t>
        </is>
      </c>
    </row>
    <row r="288">
      <c r="A288" s="181" t="inlineStr">
        <is>
          <t>maltol</t>
        </is>
      </c>
      <c r="B288" s="181" t="inlineStr">
        <is>
          <t>maltol</t>
        </is>
      </c>
      <c r="C288" s="181" t="str"/>
      <c r="D288" s="181" t="inlineStr">
        <is>
          <t>Flavonoids, harman alkaloids, maltol</t>
        </is>
      </c>
      <c r="E288" s="181" t="inlineStr">
        <is>
          <t>insufficient evidence</t>
        </is>
      </c>
      <c r="F288" s="181" t="inlineStr">
        <is>
          <t>multi-target signaling modulation</t>
        </is>
      </c>
      <c r="G288" s="181" t="inlineStr">
        <is>
          <t>general or unknown targets</t>
        </is>
      </c>
      <c r="H288" s="181" t="inlineStr">
        <is>
          <t>Oral; GABAergic and antispasmodic</t>
        </is>
      </c>
      <c r="I288" s="181" t="inlineStr">
        <is>
          <t>low</t>
        </is>
      </c>
      <c r="J288" s="181" t="inlineStr">
        <is>
          <t>no well-documented interactions</t>
        </is>
      </c>
      <c r="K288" s="181" t="str"/>
      <c r="L288" s="181" t="inlineStr">
        <is>
          <t>compound_level</t>
        </is>
      </c>
      <c r="M288" s="181" t="inlineStr">
        <is>
          <t>https://plants.sc.egov.usda.gov/home/search?query=Passiflora%20incarnata | https://pubchem.ncbi.nlm.nih.gov/#query=maltol</t>
        </is>
      </c>
      <c r="N288" s="181" t="inlineStr">
        <is>
          <t>inferred_plus_trusted_gov</t>
        </is>
      </c>
      <c r="O288" s="181" t="inlineStr">
        <is>
          <t>scientific name; PubChem compound page (NIH); USDA Plants database</t>
        </is>
      </c>
      <c r="P288" s="181" t="str"/>
      <c r="Q288" s="181" t="inlineStr">
        <is>
          <t>passiflora-incarnata</t>
        </is>
      </c>
      <c r="R288" s="181" t="n">
        <v>1</v>
      </c>
      <c r="S288" s="181" t="inlineStr">
        <is>
          <t>Yes</t>
        </is>
      </c>
      <c r="T288" s="181" t="inlineStr">
        <is>
          <t>Integrated from cleaned high-signal dataset</t>
        </is>
      </c>
    </row>
    <row r="289">
      <c r="A289" s="181" t="inlineStr">
        <is>
          <t>mangiferin</t>
        </is>
      </c>
      <c r="B289" s="181" t="inlineStr">
        <is>
          <t>mangiferin</t>
        </is>
      </c>
      <c r="C289" s="181" t="str"/>
      <c r="D289" s="181" t="inlineStr">
        <is>
          <t>timosaponin AIII; saponins</t>
        </is>
      </c>
      <c r="E289" s="181" t="inlineStr">
        <is>
          <t>insufficient evidence</t>
        </is>
      </c>
      <c r="F289" s="181" t="inlineStr">
        <is>
          <t>multi-target signaling modulation</t>
        </is>
      </c>
      <c r="G289" s="181" t="inlineStr">
        <is>
          <t>general or unknown targets</t>
        </is>
      </c>
      <c r="H289" s="181" t="inlineStr">
        <is>
          <t>Absorption and bioavailability vary; some compounds metabolized via cytochrome P450 enzymes.</t>
        </is>
      </c>
      <c r="I289" s="181" t="inlineStr">
        <is>
          <t>low</t>
        </is>
      </c>
      <c r="J289" s="181" t="inlineStr">
        <is>
          <t>no well-documented interactions</t>
        </is>
      </c>
      <c r="K289" s="181" t="str"/>
      <c r="L289" s="181" t="inlineStr">
        <is>
          <t>compound_level</t>
        </is>
      </c>
      <c r="M289" s="181" t="inlineStr">
        <is>
          <t>https://plants.sc.egov.usda.gov/home/search?query=Anemarrhena%20asphodeloides | https://plants.sc.egov.usda.gov/home/search?query=Salacia%20reticulata | https://pubchem.ncbi.nlm.nih.gov/#query=mangiferin</t>
        </is>
      </c>
      <c r="N289" s="181" t="inlineStr">
        <is>
          <t>inferred_plus_trusted_gov</t>
        </is>
      </c>
      <c r="O289" s="181" t="inlineStr">
        <is>
          <t>scientific name; PubChem compound page (NIH); USDA Plants database</t>
        </is>
      </c>
      <c r="P289" s="181" t="str"/>
      <c r="Q289" s="181" t="inlineStr">
        <is>
          <t>anemarrhena-asphodeloides; salacia-reticulata</t>
        </is>
      </c>
      <c r="R289" s="181" t="n">
        <v>2</v>
      </c>
      <c r="S289" s="181" t="inlineStr">
        <is>
          <t>Yes</t>
        </is>
      </c>
      <c r="T289" s="181" t="inlineStr">
        <is>
          <t>Integrated from cleaned high-signal dataset</t>
        </is>
      </c>
    </row>
    <row r="290">
      <c r="A290" s="181" t="inlineStr">
        <is>
          <t>marmelosin</t>
        </is>
      </c>
      <c r="B290" s="181" t="inlineStr">
        <is>
          <t>marmelosin</t>
        </is>
      </c>
      <c r="C290" s="181" t="str"/>
      <c r="D290" s="181" t="inlineStr">
        <is>
          <t>coumarins</t>
        </is>
      </c>
      <c r="E290" s="181" t="inlineStr">
        <is>
          <t>insufficient evidence</t>
        </is>
      </c>
      <c r="F290" s="181" t="inlineStr">
        <is>
          <t>multi-target signaling modulation</t>
        </is>
      </c>
      <c r="G290" s="181" t="inlineStr">
        <is>
          <t>general or unknown targets</t>
        </is>
      </c>
      <c r="H290" s="181" t="inlineStr">
        <is>
          <t>moderate absorption; hepatic metabolism</t>
        </is>
      </c>
      <c r="I290" s="181" t="inlineStr">
        <is>
          <t>low</t>
        </is>
      </c>
      <c r="J290" s="181" t="inlineStr">
        <is>
          <t>no well-documented interactions</t>
        </is>
      </c>
      <c r="K290" s="181" t="str"/>
      <c r="L290" s="181" t="inlineStr">
        <is>
          <t>compound_level</t>
        </is>
      </c>
      <c r="M290" s="181" t="inlineStr">
        <is>
          <t>https://plants.sc.egov.usda.gov/home/search?query=aegle%20marmelos | https://pubchem.ncbi.nlm.nih.gov/#query=marmelosin</t>
        </is>
      </c>
      <c r="N290" s="181" t="inlineStr">
        <is>
          <t>trusted_gov_added</t>
        </is>
      </c>
      <c r="O290" s="181" t="inlineStr">
        <is>
          <t>PubChem compound page (NIH); USDA Plants database</t>
        </is>
      </c>
      <c r="P290" s="181" t="str"/>
      <c r="Q290" s="181" t="inlineStr">
        <is>
          <t>aegle-marmelos</t>
        </is>
      </c>
      <c r="R290" s="181" t="n">
        <v>1</v>
      </c>
      <c r="S290" s="181" t="inlineStr">
        <is>
          <t>Yes</t>
        </is>
      </c>
      <c r="T290" s="181" t="inlineStr">
        <is>
          <t>Integrated from cleaned high-signal dataset</t>
        </is>
      </c>
    </row>
    <row r="291">
      <c r="A291" s="181" t="inlineStr">
        <is>
          <t>matrine</t>
        </is>
      </c>
      <c r="B291" s="181" t="inlineStr">
        <is>
          <t>matrine</t>
        </is>
      </c>
      <c r="C291" s="181" t="str"/>
      <c r="D291" s="181" t="inlineStr">
        <is>
          <t>other</t>
        </is>
      </c>
      <c r="E291" s="181" t="inlineStr">
        <is>
          <t>insufficient evidence</t>
        </is>
      </c>
      <c r="F291" s="181" t="inlineStr">
        <is>
          <t>multi-target signaling modulation</t>
        </is>
      </c>
      <c r="G291" s="181" t="inlineStr">
        <is>
          <t>general or unknown targets</t>
        </is>
      </c>
      <c r="H291" s="181" t="inlineStr">
        <is>
          <t>Absorption and bioavailability vary; some compounds metabolized via cytochrome P450 enzymes.</t>
        </is>
      </c>
      <c r="I291" s="181" t="inlineStr">
        <is>
          <t>low</t>
        </is>
      </c>
      <c r="J291" s="181" t="inlineStr">
        <is>
          <t>no well-documented interactions</t>
        </is>
      </c>
      <c r="K291" s="181" t="str"/>
      <c r="L291" s="181" t="inlineStr">
        <is>
          <t>compound_level</t>
        </is>
      </c>
      <c r="M291" s="181" t="inlineStr">
        <is>
          <t>https://plants.sc.egov.usda.gov/home/search?query=Sophora%20flavescens | https://pubchem.ncbi.nlm.nih.gov/#query=matrine</t>
        </is>
      </c>
      <c r="N291" s="181" t="inlineStr">
        <is>
          <t>inferred_plus_trusted_gov</t>
        </is>
      </c>
      <c r="O291" s="181" t="inlineStr">
        <is>
          <t>scientific name; PubChem compound page (NIH); USDA Plants database</t>
        </is>
      </c>
      <c r="P291" s="181" t="str"/>
      <c r="Q291" s="181" t="inlineStr">
        <is>
          <t>sophora-flavescens</t>
        </is>
      </c>
      <c r="R291" s="181" t="n">
        <v>1</v>
      </c>
      <c r="S291" s="181" t="inlineStr">
        <is>
          <t>Yes</t>
        </is>
      </c>
      <c r="T291" s="181" t="inlineStr">
        <is>
          <t>Integrated from cleaned high-signal dataset</t>
        </is>
      </c>
    </row>
    <row r="292">
      <c r="A292" s="181" t="inlineStr">
        <is>
          <t>melatonin</t>
        </is>
      </c>
      <c r="B292" s="181" t="inlineStr">
        <is>
          <t>melatonin</t>
        </is>
      </c>
      <c r="C292" s="181" t="str"/>
      <c r="D292" s="181" t="inlineStr">
        <is>
          <t>indoleamine</t>
        </is>
      </c>
      <c r="E292" s="181" t="inlineStr">
        <is>
          <t>Agonist at MT1 and MT2 melatonin receptors, supporting circadian phase and sleep-related signaling.</t>
        </is>
      </c>
      <c r="F292" s="181" t="str"/>
      <c r="G292" s="181" t="inlineStr">
        <is>
          <t>MT1 receptor agonism; MT2 receptor agonism</t>
        </is>
      </c>
      <c r="H292" s="181" t="inlineStr">
        <is>
          <t>Orally absorbed; short elimination half-life is commonly reported in immediate-release use; metabolism is mainly hepatic.</t>
        </is>
      </c>
      <c r="I292" s="181" t="inlineStr">
        <is>
          <t>Variable product content is a concern in supplement products. Limited safety data in pregnancy and breastfeeding; daytime drowsiness can occur, especially in older adults.</t>
        </is>
      </c>
      <c r="J292" s="181" t="inlineStr">
        <is>
          <t>Sedatives/CNS depressants (possible additive drowsiness); anticoagulants (possible interaction concern in safety guidance); drugs affecting CYP1A2 may alter exposure</t>
        </is>
      </c>
      <c r="K292" s="181" t="inlineStr">
        <is>
          <t>high</t>
        </is>
      </c>
      <c r="L292" s="181" t="inlineStr">
        <is>
          <t>Sprint4</t>
        </is>
      </c>
      <c r="M292" s="181" t="str"/>
      <c r="N292" s="181" t="str"/>
      <c r="O292" s="181" t="str"/>
      <c r="P292" s="181" t="inlineStr">
        <is>
          <t>precision_monographs_sprint4.xlsx</t>
        </is>
      </c>
      <c r="Q292" s="181" t="str"/>
      <c r="R292" s="181" t="n">
        <v>0</v>
      </c>
      <c r="S292" s="181" t="inlineStr">
        <is>
          <t>No</t>
        </is>
      </c>
      <c r="T292" s="181" t="inlineStr">
        <is>
          <t>Integrated from compound monograph workbook</t>
        </is>
      </c>
    </row>
    <row r="293">
      <c r="A293" s="181" t="inlineStr">
        <is>
          <t>menthol</t>
        </is>
      </c>
      <c r="B293" s="181" t="inlineStr">
        <is>
          <t>menthol</t>
        </is>
      </c>
      <c r="C293" s="181" t="str"/>
      <c r="D293" s="181" t="inlineStr">
        <is>
          <t>monoterpenoid alcohol</t>
        </is>
      </c>
      <c r="E293" s="181" t="inlineStr">
        <is>
          <t>Agonist of TRPM8, driving cooling sensation and core sensory pharmacology.</t>
        </is>
      </c>
      <c r="F293" s="181" t="inlineStr">
        <is>
          <t>multi-target signaling modulation</t>
        </is>
      </c>
      <c r="G293" s="181" t="inlineStr">
        <is>
          <t>TRPM8 agonism; general or unknown targets</t>
        </is>
      </c>
      <c r="H293" s="181" t="inlineStr">
        <is>
          <t>This pass does not claim a robust systemic interaction profile.</t>
        </is>
      </c>
      <c r="I293" s="181" t="inlineStr">
        <is>
          <t>Main concern is local irritation or excessive sensory effects from concentrated products.</t>
        </is>
      </c>
      <c r="J293" s="181" t="inlineStr">
        <is>
          <t>Other strong cooling/counterirritant topicals (possible additive local sensory effects).</t>
        </is>
      </c>
      <c r="K293" s="181" t="inlineStr">
        <is>
          <t>high</t>
        </is>
      </c>
      <c r="L293" s="181" t="inlineStr">
        <is>
          <t>Sprint3</t>
        </is>
      </c>
      <c r="M293" s="181" t="inlineStr">
        <is>
          <t>https://plants.sc.egov.usda.gov/home/search?query=Mentha%20piperita | https://plants.sc.egov.usda.gov/home/search?query=peppermint | https://pmc.ncbi.nlm.nih.gov/articles/PMC3778045/ | https://pmc.ncbi.nlm.nih.gov/articles/PMC8395166/ | https://pubchem.ncbi.nlm.nih.gov/#query=menthol</t>
        </is>
      </c>
      <c r="N293" s="181" t="inlineStr">
        <is>
          <t>inferred_plus_trusted_gov; trusted_gov_added</t>
        </is>
      </c>
      <c r="O293" s="181" t="inlineStr">
        <is>
          <t>PubChem compound page (NIH); USDA Plants database; scientific name; PubChem compound page (NIH); USDA Plants database</t>
        </is>
      </c>
      <c r="P293" s="181" t="inlineStr">
        <is>
          <t>precision_monographs_sprint3.xlsx</t>
        </is>
      </c>
      <c r="Q293" s="181" t="inlineStr">
        <is>
          <t>mentha-piperita</t>
        </is>
      </c>
      <c r="R293" s="181" t="n">
        <v>1</v>
      </c>
      <c r="S293" s="181" t="inlineStr">
        <is>
          <t>Yes</t>
        </is>
      </c>
      <c r="T293" s="181" t="inlineStr">
        <is>
          <t>Integrated from cleaned high-signal dataset; Integrated from compound monograph workbook</t>
        </is>
      </c>
    </row>
    <row r="294">
      <c r="A294" s="181" t="inlineStr">
        <is>
          <t>menthone</t>
        </is>
      </c>
      <c r="B294" s="181" t="inlineStr">
        <is>
          <t>menthone</t>
        </is>
      </c>
      <c r="C294" s="181" t="str"/>
      <c r="D294" s="181" t="inlineStr">
        <is>
          <t>Menthol, menthone, flavonoids</t>
        </is>
      </c>
      <c r="E294" s="181" t="inlineStr">
        <is>
          <t>insufficient evidence</t>
        </is>
      </c>
      <c r="F294" s="181" t="inlineStr">
        <is>
          <t>multi-target signaling modulation</t>
        </is>
      </c>
      <c r="G294" s="181" t="inlineStr">
        <is>
          <t>general or unknown targets</t>
        </is>
      </c>
      <c r="H294" s="181" t="inlineStr">
        <is>
          <t>Oral/topical; smooth muscle relaxant</t>
        </is>
      </c>
      <c r="I294" s="181" t="inlineStr">
        <is>
          <t>low</t>
        </is>
      </c>
      <c r="J294" s="181" t="inlineStr">
        <is>
          <t>no well-documented interactions</t>
        </is>
      </c>
      <c r="K294" s="181" t="str"/>
      <c r="L294" s="181" t="inlineStr">
        <is>
          <t>compound_level</t>
        </is>
      </c>
      <c r="M294" s="181" t="inlineStr">
        <is>
          <t>https://plants.sc.egov.usda.gov/home/search?query=Mentha%20piperita | https://plants.sc.egov.usda.gov/home/search?query=peppermint | https://pubchem.ncbi.nlm.nih.gov/#query=menthone</t>
        </is>
      </c>
      <c r="N294" s="181" t="inlineStr">
        <is>
          <t>inferred_plus_trusted_gov; trusted_gov_added</t>
        </is>
      </c>
      <c r="O294" s="181" t="inlineStr">
        <is>
          <t>PubChem compound page (NIH); USDA Plants database; scientific name; PubChem compound page (NIH); USDA Plants database</t>
        </is>
      </c>
      <c r="P294" s="181" t="str"/>
      <c r="Q294" s="181" t="inlineStr">
        <is>
          <t>mentha-piperita</t>
        </is>
      </c>
      <c r="R294" s="181" t="n">
        <v>1</v>
      </c>
      <c r="S294" s="181" t="inlineStr">
        <is>
          <t>Yes</t>
        </is>
      </c>
      <c r="T294" s="181" t="inlineStr">
        <is>
          <t>Integrated from cleaned high-signal dataset</t>
        </is>
      </c>
    </row>
    <row r="295">
      <c r="A295" s="181" t="inlineStr">
        <is>
          <t>mesaconitine</t>
        </is>
      </c>
      <c r="B295" s="181" t="inlineStr">
        <is>
          <t>mesaconitine</t>
        </is>
      </c>
      <c r="C295" s="181" t="str"/>
      <c r="D295" s="181" t="inlineStr">
        <is>
          <t>other</t>
        </is>
      </c>
      <c r="E295" s="181" t="inlineStr">
        <is>
          <t>insufficient evidence</t>
        </is>
      </c>
      <c r="F295" s="181" t="inlineStr">
        <is>
          <t>multi-target signaling modulation</t>
        </is>
      </c>
      <c r="G295" s="181" t="inlineStr">
        <is>
          <t>general or unknown targets</t>
        </is>
      </c>
      <c r="H295" s="181" t="inlineStr">
        <is>
          <t>Absorption and bioavailability vary; some compounds metabolized via cytochrome P450 enzymes.</t>
        </is>
      </c>
      <c r="I295" s="181" t="inlineStr">
        <is>
          <t>low</t>
        </is>
      </c>
      <c r="J295" s="181" t="inlineStr">
        <is>
          <t>no well-documented interactions</t>
        </is>
      </c>
      <c r="K295" s="181" t="str"/>
      <c r="L295" s="181" t="inlineStr">
        <is>
          <t>compound_level</t>
        </is>
      </c>
      <c r="M295" s="181" t="inlineStr">
        <is>
          <t>https://plants.sc.egov.usda.gov/home/search?query=Aconitum%20ferox | https://plants.sc.egov.usda.gov/home/search?query=Aconitum%20napellus | https://pubchem.ncbi.nlm.nih.gov/#query=mesaconitine</t>
        </is>
      </c>
      <c r="N295" s="181" t="inlineStr">
        <is>
          <t>inferred_plus_trusted_gov</t>
        </is>
      </c>
      <c r="O295" s="181" t="inlineStr">
        <is>
          <t>scientific name; PubChem compound page (NIH); USDA Plants database</t>
        </is>
      </c>
      <c r="P295" s="181" t="str"/>
      <c r="Q295" s="181" t="inlineStr">
        <is>
          <t>aconitum-ferox; aconitum-napellus</t>
        </is>
      </c>
      <c r="R295" s="181" t="n">
        <v>2</v>
      </c>
      <c r="S295" s="181" t="inlineStr">
        <is>
          <t>Yes</t>
        </is>
      </c>
      <c r="T295" s="181" t="inlineStr">
        <is>
          <t>Integrated from cleaned high-signal dataset</t>
        </is>
      </c>
    </row>
    <row r="296">
      <c r="A296" s="181" t="inlineStr">
        <is>
          <t>mescaline</t>
        </is>
      </c>
      <c r="B296" s="181" t="inlineStr">
        <is>
          <t>mescaline</t>
        </is>
      </c>
      <c r="C296" s="181" t="str"/>
      <c r="D296" s="181" t="inlineStr">
        <is>
          <t>other</t>
        </is>
      </c>
      <c r="E296" s="181" t="inlineStr">
        <is>
          <t>Mescaline acts as a 5-HT2A receptor agonist producing psychedelic effects.</t>
        </is>
      </c>
      <c r="F296" s="181" t="inlineStr">
        <is>
          <t>serotonin receptor interaction</t>
        </is>
      </c>
      <c r="G296" s="181" t="inlineStr">
        <is>
          <t>serotonergic_5HT2A_agonism</t>
        </is>
      </c>
      <c r="H296" s="181" t="inlineStr">
        <is>
          <t>Absorption and bioavailability vary; some compounds metabolized via cytochrome P450 enzymes.</t>
        </is>
      </c>
      <c r="I296" s="181" t="inlineStr">
        <is>
          <t>low</t>
        </is>
      </c>
      <c r="J296" s="181" t="inlineStr">
        <is>
          <t>no well-documented interactions</t>
        </is>
      </c>
      <c r="K296" s="181" t="str"/>
      <c r="L296" s="181" t="inlineStr">
        <is>
          <t>compound_level</t>
        </is>
      </c>
      <c r="M296" s="181" t="inlineStr">
        <is>
          <t>https://plants.sc.egov.usda.gov/home/search?query=Lophophora%20williamsii | https://plants.sc.egov.usda.gov/home/search?query=Trichocereus%20bridgesii | https://pubchem.ncbi.nlm.nih.gov/#query=mescaline</t>
        </is>
      </c>
      <c r="N296" s="181" t="inlineStr">
        <is>
          <t>inferred_plus_trusted_gov</t>
        </is>
      </c>
      <c r="O296" s="181" t="inlineStr">
        <is>
          <t>scientific name; PubChem compound page (NIH); USDA Plants database</t>
        </is>
      </c>
      <c r="P296" s="181" t="str"/>
      <c r="Q296" s="181" t="inlineStr">
        <is>
          <t>lophophora-williamsii; trichocereus-bridgesii</t>
        </is>
      </c>
      <c r="R296" s="181" t="n">
        <v>2</v>
      </c>
      <c r="S296" s="181" t="inlineStr">
        <is>
          <t>Yes</t>
        </is>
      </c>
      <c r="T296" s="181" t="inlineStr">
        <is>
          <t>Integrated from cleaned high-signal dataset</t>
        </is>
      </c>
    </row>
    <row r="297">
      <c r="A297" s="181" t="inlineStr">
        <is>
          <t>mescaline derivative</t>
        </is>
      </c>
      <c r="B297" s="181" t="inlineStr">
        <is>
          <t>mescaline derivative</t>
        </is>
      </c>
      <c r="C297" s="181" t="str"/>
      <c r="D297" s="181" t="inlineStr">
        <is>
          <t>other</t>
        </is>
      </c>
      <c r="E297" s="181" t="inlineStr">
        <is>
          <t>Phenethylamine psychedelic acting on 5-HT2A and dopamine receptors.</t>
        </is>
      </c>
      <c r="F297" s="181" t="inlineStr">
        <is>
          <t>serotonin receptor interaction</t>
        </is>
      </c>
      <c r="G297" s="181" t="inlineStr">
        <is>
          <t>dopaminergic_modulation; serotonergic_5HT2A_agonism</t>
        </is>
      </c>
      <c r="H297" s="181" t="inlineStr">
        <is>
          <t>Oral; serotonin receptor agonist</t>
        </is>
      </c>
      <c r="I297" s="181" t="inlineStr">
        <is>
          <t>Low physiological toxicity; psychological effects strong.</t>
        </is>
      </c>
      <c r="J297" s="181" t="inlineStr">
        <is>
          <t>maois and sympathomimetics may potentiate.</t>
        </is>
      </c>
      <c r="K297" s="181" t="str"/>
      <c r="L297" s="181" t="inlineStr">
        <is>
          <t>compound_level</t>
        </is>
      </c>
      <c r="M297" s="181" t="inlineStr">
        <is>
          <t>https://plants.sc.egov.usda.gov/home/search?query=3%2C4%2C5-trimethoxyphenethylamine | https://pubchem.ncbi.nlm.nih.gov/#query=mescaline%20derivative</t>
        </is>
      </c>
      <c r="N297" s="181" t="inlineStr">
        <is>
          <t>inferred_plus_trusted_gov</t>
        </is>
      </c>
      <c r="O297" s="181" t="inlineStr">
        <is>
          <t>3, 4, 5-trimethoxyphenethylamine; PubChem compound page (NIH); USDA Plants database</t>
        </is>
      </c>
      <c r="P297" s="181" t="str"/>
      <c r="Q297" s="181" t="inlineStr">
        <is>
          <t>mescaline</t>
        </is>
      </c>
      <c r="R297" s="181" t="n">
        <v>1</v>
      </c>
      <c r="S297" s="181" t="inlineStr">
        <is>
          <t>Yes</t>
        </is>
      </c>
      <c r="T297" s="181" t="inlineStr">
        <is>
          <t>Integrated from cleaned high-signal dataset</t>
        </is>
      </c>
    </row>
    <row r="298">
      <c r="A298" s="181" t="inlineStr">
        <is>
          <t>mesembranol</t>
        </is>
      </c>
      <c r="B298" s="181" t="inlineStr">
        <is>
          <t>mesembranol</t>
        </is>
      </c>
      <c r="C298" s="181" t="str"/>
      <c r="D298" s="181" t="inlineStr">
        <is>
          <t>other</t>
        </is>
      </c>
      <c r="E298" s="181" t="inlineStr">
        <is>
          <t>insufficient evidence</t>
        </is>
      </c>
      <c r="F298" s="181" t="inlineStr">
        <is>
          <t>multi-target signaling modulation</t>
        </is>
      </c>
      <c r="G298" s="181" t="inlineStr">
        <is>
          <t>general or unknown targets</t>
        </is>
      </c>
      <c r="H298" s="181" t="inlineStr">
        <is>
          <t>Absorption and bioavailability vary; some compounds metabolized via cytochrome P450 enzymes.</t>
        </is>
      </c>
      <c r="I298" s="181" t="inlineStr">
        <is>
          <t>low</t>
        </is>
      </c>
      <c r="J298" s="181" t="inlineStr">
        <is>
          <t>no well-documented interactions</t>
        </is>
      </c>
      <c r="K298" s="181" t="str"/>
      <c r="L298" s="181" t="inlineStr">
        <is>
          <t>compound_level</t>
        </is>
      </c>
      <c r="M298" s="181" t="inlineStr">
        <is>
          <t>https://plants.sc.egov.usda.gov/home/search?query=Sceletium%20Tortuosum | https://plants.sc.egov.usda.gov/home/search?query=Sceletium%20tortuosum | https://pubchem.ncbi.nlm.nih.gov/#query=mesembranol</t>
        </is>
      </c>
      <c r="N298" s="181" t="inlineStr">
        <is>
          <t>inferred_plus_trusted_gov</t>
        </is>
      </c>
      <c r="O298" s="181" t="inlineStr">
        <is>
          <t>Unknown; PubChem compound page (NIH); USDA Plants database; scientific name; PubChem compound page (NIH); USDA Plants database</t>
        </is>
      </c>
      <c r="P298" s="181" t="str"/>
      <c r="Q298" s="181" t="inlineStr">
        <is>
          <t>sceletium-tortuosum; sceletium-tortuosum-kanna</t>
        </is>
      </c>
      <c r="R298" s="181" t="n">
        <v>2</v>
      </c>
      <c r="S298" s="181" t="inlineStr">
        <is>
          <t>Yes</t>
        </is>
      </c>
      <c r="T298" s="181" t="inlineStr">
        <is>
          <t>Integrated from cleaned high-signal dataset</t>
        </is>
      </c>
    </row>
    <row r="299">
      <c r="A299" s="181" t="inlineStr">
        <is>
          <t>mesembrenol</t>
        </is>
      </c>
      <c r="B299" s="181" t="inlineStr">
        <is>
          <t>mesembrenol</t>
        </is>
      </c>
      <c r="C299" s="181" t="str"/>
      <c r="D299" s="181" t="inlineStr">
        <is>
          <t>other</t>
        </is>
      </c>
      <c r="E299" s="181" t="inlineStr">
        <is>
          <t>insufficient evidence</t>
        </is>
      </c>
      <c r="F299" s="181" t="inlineStr">
        <is>
          <t>multi-target signaling modulation</t>
        </is>
      </c>
      <c r="G299" s="181" t="inlineStr">
        <is>
          <t>general or unknown targets</t>
        </is>
      </c>
      <c r="H299" s="181" t="inlineStr">
        <is>
          <t>Absorption and bioavailability vary; some compounds metabolized via cytochrome P450 enzymes.</t>
        </is>
      </c>
      <c r="I299" s="181" t="inlineStr">
        <is>
          <t>low</t>
        </is>
      </c>
      <c r="J299" s="181" t="inlineStr">
        <is>
          <t>no well-documented interactions</t>
        </is>
      </c>
      <c r="K299" s="181" t="str"/>
      <c r="L299" s="181" t="inlineStr">
        <is>
          <t>compound_level</t>
        </is>
      </c>
      <c r="M299" s="181" t="inlineStr">
        <is>
          <t>https://plants.sc.egov.usda.gov/home/search?query=Sceletium%20Tortuosum | https://plants.sc.egov.usda.gov/home/search?query=Sceletium%20tortuosum | https://pubchem.ncbi.nlm.nih.gov/#query=mesembrenol</t>
        </is>
      </c>
      <c r="N299" s="181" t="inlineStr">
        <is>
          <t>inferred_plus_trusted_gov</t>
        </is>
      </c>
      <c r="O299" s="181" t="inlineStr">
        <is>
          <t>Unknown; PubChem compound page (NIH); USDA Plants database; scientific name; PubChem compound page (NIH); USDA Plants database</t>
        </is>
      </c>
      <c r="P299" s="181" t="str"/>
      <c r="Q299" s="181" t="inlineStr">
        <is>
          <t>sceletium-tortuosum; sceletium-tortuosum-kanna</t>
        </is>
      </c>
      <c r="R299" s="181" t="n">
        <v>2</v>
      </c>
      <c r="S299" s="181" t="inlineStr">
        <is>
          <t>Yes</t>
        </is>
      </c>
      <c r="T299" s="181" t="inlineStr">
        <is>
          <t>Integrated from cleaned high-signal dataset</t>
        </is>
      </c>
    </row>
    <row r="300">
      <c r="A300" s="181" t="inlineStr">
        <is>
          <t>mesembrenone</t>
        </is>
      </c>
      <c r="B300" s="181" t="inlineStr">
        <is>
          <t>mesembrenone</t>
        </is>
      </c>
      <c r="C300" s="181" t="str"/>
      <c r="D300" s="181" t="inlineStr">
        <is>
          <t>mesembrine alkaloids</t>
        </is>
      </c>
      <c r="E300" s="181" t="inlineStr">
        <is>
          <t>insufficient evidence</t>
        </is>
      </c>
      <c r="F300" s="181" t="inlineStr">
        <is>
          <t>multi-target signaling modulation</t>
        </is>
      </c>
      <c r="G300" s="181" t="inlineStr">
        <is>
          <t>general or unknown targets</t>
        </is>
      </c>
      <c r="H300" s="181" t="inlineStr">
        <is>
          <t>Absorption and bioavailability vary; some compounds metabolized via cytochrome P450 enzymes.</t>
        </is>
      </c>
      <c r="I300" s="181" t="inlineStr">
        <is>
          <t>low</t>
        </is>
      </c>
      <c r="J300" s="181" t="inlineStr">
        <is>
          <t>no well-documented interactions</t>
        </is>
      </c>
      <c r="K300" s="181" t="str"/>
      <c r="L300" s="181" t="inlineStr">
        <is>
          <t>compound_level</t>
        </is>
      </c>
      <c r="M300" s="181" t="inlineStr">
        <is>
          <t>https://plants.sc.egov.usda.gov/home/search?query=Sceletium%20Tortuosum | https://plants.sc.egov.usda.gov/home/search?query=Sceletium%20expansum | https://plants.sc.egov.usda.gov/home/search?query=Sceletium%20tortuosum | https://pubchem.ncbi.nlm.nih.gov/#query=mesembrenone</t>
        </is>
      </c>
      <c r="N300" s="181" t="inlineStr">
        <is>
          <t>inferred_plus_trusted_gov</t>
        </is>
      </c>
      <c r="O300" s="181" t="inlineStr">
        <is>
          <t>Unknown; PubChem compound page (NIH); USDA Plants database; scientific name; PubChem compound page (NIH); USDA Plants database</t>
        </is>
      </c>
      <c r="P300" s="181" t="str"/>
      <c r="Q300" s="181" t="inlineStr">
        <is>
          <t>sceletium-expansum; sceletium-tortuosum; sceletium-tortuosum-kanna</t>
        </is>
      </c>
      <c r="R300" s="181" t="n">
        <v>3</v>
      </c>
      <c r="S300" s="181" t="inlineStr">
        <is>
          <t>Yes</t>
        </is>
      </c>
      <c r="T300" s="181" t="inlineStr">
        <is>
          <t>Integrated from cleaned high-signal dataset</t>
        </is>
      </c>
    </row>
    <row r="301">
      <c r="A301" s="181" t="inlineStr">
        <is>
          <t>mesembrine</t>
        </is>
      </c>
      <c r="B301" s="181" t="inlineStr">
        <is>
          <t>mesembrine</t>
        </is>
      </c>
      <c r="C301" s="181" t="str"/>
      <c r="D301" s="181" t="inlineStr">
        <is>
          <t>other</t>
        </is>
      </c>
      <c r="E301" s="181" t="inlineStr">
        <is>
          <t>insufficient evidence</t>
        </is>
      </c>
      <c r="F301" s="181" t="inlineStr">
        <is>
          <t>multi-target signaling modulation</t>
        </is>
      </c>
      <c r="G301" s="181" t="inlineStr">
        <is>
          <t>general or unknown targets</t>
        </is>
      </c>
      <c r="H301" s="181" t="inlineStr">
        <is>
          <t>Absorption and bioavailability vary; some compounds metabolized via cytochrome P450 enzymes.</t>
        </is>
      </c>
      <c r="I301" s="181" t="inlineStr">
        <is>
          <t>low</t>
        </is>
      </c>
      <c r="J301" s="181" t="inlineStr">
        <is>
          <t>no well-documented interactions</t>
        </is>
      </c>
      <c r="K301" s="181" t="str"/>
      <c r="L301" s="181" t="inlineStr">
        <is>
          <t>compound_level</t>
        </is>
      </c>
      <c r="M301" s="181" t="inlineStr">
        <is>
          <t>https://plants.sc.egov.usda.gov/home/search?query=Sceletium%20Tortuosum | https://plants.sc.egov.usda.gov/home/search?query=Sceletium%20tortuosum | https://pubchem.ncbi.nlm.nih.gov/#query=mesembrine</t>
        </is>
      </c>
      <c r="N301" s="181" t="inlineStr">
        <is>
          <t>inferred_plus_trusted_gov</t>
        </is>
      </c>
      <c r="O301" s="181" t="inlineStr">
        <is>
          <t>Unknown; PubChem compound page (NIH); USDA Plants database; scientific name; PubChem compound page (NIH); USDA Plants database</t>
        </is>
      </c>
      <c r="P301" s="181" t="str"/>
      <c r="Q301" s="181" t="inlineStr">
        <is>
          <t>sceletium-tortuosum; sceletium-tortuosum-kanna</t>
        </is>
      </c>
      <c r="R301" s="181" t="n">
        <v>2</v>
      </c>
      <c r="S301" s="181" t="inlineStr">
        <is>
          <t>Yes</t>
        </is>
      </c>
      <c r="T301" s="181" t="inlineStr">
        <is>
          <t>Integrated from cleaned high-signal dataset</t>
        </is>
      </c>
    </row>
    <row r="302">
      <c r="A302" s="181" t="inlineStr">
        <is>
          <t>methyl salicylate</t>
        </is>
      </c>
      <c r="B302" s="181" t="inlineStr">
        <is>
          <t>methyl salicylate</t>
        </is>
      </c>
      <c r="C302" s="181" t="str"/>
      <c r="D302" s="181" t="inlineStr">
        <is>
          <t>Arbutin, tannins, methyl salicylate</t>
        </is>
      </c>
      <c r="E302" s="181" t="inlineStr">
        <is>
          <t>insufficient evidence</t>
        </is>
      </c>
      <c r="F302" s="181" t="inlineStr">
        <is>
          <t>cox inhibition</t>
        </is>
      </c>
      <c r="G302" s="181" t="inlineStr">
        <is>
          <t>PTGS1, PTGS2 (COX-1, COX-2)</t>
        </is>
      </c>
      <c r="H302" s="181" t="inlineStr">
        <is>
          <t>Oral; mild diuretic and anti-inflammatory</t>
        </is>
      </c>
      <c r="I302" s="181" t="inlineStr">
        <is>
          <t>low</t>
        </is>
      </c>
      <c r="J302" s="181" t="inlineStr">
        <is>
          <t>may interact with NSAIDs or anticoagulants</t>
        </is>
      </c>
      <c r="K302" s="181" t="str"/>
      <c r="L302" s="181" t="inlineStr">
        <is>
          <t>compound_level</t>
        </is>
      </c>
      <c r="M302" s="181" t="inlineStr">
        <is>
          <t>https://plants.sc.egov.usda.gov/home/search?query=Chimaphila%20umbellata | https://plants.sc.egov.usda.gov/home/search?query=Viola%20odorata | https://pubchem.ncbi.nlm.nih.gov/#query=methyl%20salicylate</t>
        </is>
      </c>
      <c r="N302" s="181" t="inlineStr">
        <is>
          <t>inferred_plus_trusted_gov</t>
        </is>
      </c>
      <c r="O302" s="181" t="inlineStr">
        <is>
          <t>scientific name; PubChem compound page (NIH); USDA Plants database</t>
        </is>
      </c>
      <c r="P302" s="181" t="str"/>
      <c r="Q302" s="181" t="inlineStr">
        <is>
          <t>chimaphila-umbellata; viola-odorata</t>
        </is>
      </c>
      <c r="R302" s="181" t="n">
        <v>2</v>
      </c>
      <c r="S302" s="181" t="inlineStr">
        <is>
          <t>Yes</t>
        </is>
      </c>
      <c r="T302" s="181" t="inlineStr">
        <is>
          <t>Integrated from cleaned high-signal dataset</t>
        </is>
      </c>
    </row>
    <row r="303">
      <c r="A303" s="181" t="inlineStr">
        <is>
          <t>methysticin</t>
        </is>
      </c>
      <c r="B303" s="181" t="inlineStr">
        <is>
          <t>methysticin</t>
        </is>
      </c>
      <c r="C303" s="181" t="str"/>
      <c r="D303" s="181" t="inlineStr">
        <is>
          <t>other</t>
        </is>
      </c>
      <c r="E303" s="181" t="inlineStr">
        <is>
          <t>Kavalactones modulate GABA_A receptor activity, inhibit voltage-gated sodium and calcium channels, and influence dopamine signaling.</t>
        </is>
      </c>
      <c r="F303" s="181" t="inlineStr">
        <is>
          <t>GABAergic modulation; multi-target signaling modulation</t>
        </is>
      </c>
      <c r="G303" s="181" t="inlineStr">
        <is>
          <t>dopaminergic_modulation; gabaergic_modulation</t>
        </is>
      </c>
      <c r="H303" s="181" t="inlineStr">
        <is>
          <t>moderate absorption; hepatic metabolism</t>
        </is>
      </c>
      <c r="I303" s="181" t="inlineStr">
        <is>
          <t>low</t>
        </is>
      </c>
      <c r="J303" s="181" t="inlineStr">
        <is>
          <t>no well-documented interactions</t>
        </is>
      </c>
      <c r="K303" s="181" t="str"/>
      <c r="L303" s="181" t="inlineStr">
        <is>
          <t>compound_level</t>
        </is>
      </c>
      <c r="M303" s="181" t="inlineStr">
        <is>
          <t>https://plants.sc.egov.usda.gov/home/search?query=kava | https://plants.sc.egov.usda.gov/home/search?query=piper%20methysticum | https://pubchem.ncbi.nlm.nih.gov/#query=methysticin</t>
        </is>
      </c>
      <c r="N303" s="181" t="inlineStr">
        <is>
          <t>trusted_gov_added</t>
        </is>
      </c>
      <c r="O303" s="181" t="inlineStr">
        <is>
          <t>PubChem compound page (NIH); USDA Plants database</t>
        </is>
      </c>
      <c r="P303" s="181" t="str"/>
      <c r="Q303" s="181" t="inlineStr">
        <is>
          <t>kava; piper-methysticum</t>
        </is>
      </c>
      <c r="R303" s="181" t="n">
        <v>2</v>
      </c>
      <c r="S303" s="181" t="inlineStr">
        <is>
          <t>Yes</t>
        </is>
      </c>
      <c r="T303" s="181" t="inlineStr">
        <is>
          <t>Integrated from cleaned high-signal dataset</t>
        </is>
      </c>
    </row>
    <row r="304">
      <c r="A304" s="181" t="inlineStr">
        <is>
          <t>miroestrol</t>
        </is>
      </c>
      <c r="B304" s="181" t="inlineStr">
        <is>
          <t>miroestrol</t>
        </is>
      </c>
      <c r="C304" s="181" t="str"/>
      <c r="D304" s="181" t="inlineStr">
        <is>
          <t>other</t>
        </is>
      </c>
      <c r="E304" s="181" t="inlineStr">
        <is>
          <t>insufficient evidence</t>
        </is>
      </c>
      <c r="F304" s="181" t="inlineStr">
        <is>
          <t>multi-target signaling modulation</t>
        </is>
      </c>
      <c r="G304" s="181" t="inlineStr">
        <is>
          <t>general or unknown targets</t>
        </is>
      </c>
      <c r="H304" s="181" t="inlineStr">
        <is>
          <t>Oral; mimics estrogen receptor activity</t>
        </is>
      </c>
      <c r="I304" s="181" t="inlineStr">
        <is>
          <t>low</t>
        </is>
      </c>
      <c r="J304" s="181" t="inlineStr">
        <is>
          <t>no well-documented interactions</t>
        </is>
      </c>
      <c r="K304" s="181" t="str"/>
      <c r="L304" s="181" t="inlineStr">
        <is>
          <t>compound_level</t>
        </is>
      </c>
      <c r="M304" s="181" t="inlineStr">
        <is>
          <t>https://plants.sc.egov.usda.gov/home/search?query=Pueraria%20mirifica | https://pubchem.ncbi.nlm.nih.gov/#query=miroestrol</t>
        </is>
      </c>
      <c r="N304" s="181" t="inlineStr">
        <is>
          <t>inferred_plus_trusted_gov</t>
        </is>
      </c>
      <c r="O304" s="181" t="inlineStr">
        <is>
          <t>scientific name; PubChem compound page (NIH); USDA Plants database</t>
        </is>
      </c>
      <c r="P304" s="181" t="str"/>
      <c r="Q304" s="181" t="inlineStr">
        <is>
          <t>pueraria-mirifica</t>
        </is>
      </c>
      <c r="R304" s="181" t="n">
        <v>1</v>
      </c>
      <c r="S304" s="181" t="inlineStr">
        <is>
          <t>Yes</t>
        </is>
      </c>
      <c r="T304" s="181" t="inlineStr">
        <is>
          <t>Integrated from cleaned high-signal dataset</t>
        </is>
      </c>
    </row>
    <row r="305">
      <c r="A305" s="181" t="inlineStr">
        <is>
          <t>mitragynine</t>
        </is>
      </c>
      <c r="B305" s="181" t="inlineStr">
        <is>
          <t>mitragynine</t>
        </is>
      </c>
      <c r="C305" s="181" t="str"/>
      <c r="D305" s="181" t="inlineStr">
        <is>
          <t>other</t>
        </is>
      </c>
      <c r="E305" s="181" t="inlineStr">
        <is>
          <t>Mitragynine and 7-hydroxymitragynine act as partial agonists at μ-opioid receptors with additional adrenergic and serotonergic activity.</t>
        </is>
      </c>
      <c r="F305" s="181" t="inlineStr">
        <is>
          <t>multi-target signaling modulation</t>
        </is>
      </c>
      <c r="G305" s="181" t="inlineStr">
        <is>
          <t>general or unknown targets</t>
        </is>
      </c>
      <c r="H305" s="181" t="inlineStr">
        <is>
          <t>moderate absorption; hepatic metabolism</t>
        </is>
      </c>
      <c r="I305" s="181" t="inlineStr">
        <is>
          <t>low</t>
        </is>
      </c>
      <c r="J305" s="181" t="inlineStr">
        <is>
          <t>no well-documented interactions</t>
        </is>
      </c>
      <c r="K305" s="181" t="str"/>
      <c r="L305" s="181" t="inlineStr">
        <is>
          <t>compound_level</t>
        </is>
      </c>
      <c r="M305" s="181" t="inlineStr">
        <is>
          <t>https://plants.sc.egov.usda.gov/home/search?query=Mitragyna%20speciosa | https://plants.sc.egov.usda.gov/home/search?query=kratom%20hybrids | https://pubchem.ncbi.nlm.nih.gov/#query=mitragynine</t>
        </is>
      </c>
      <c r="N305" s="181" t="inlineStr">
        <is>
          <t>inferred_plus_trusted_gov; trusted_gov_added</t>
        </is>
      </c>
      <c r="O305" s="181" t="inlineStr">
        <is>
          <t>PubChem compound page (NIH); USDA Plants database; scientific name; PubChem compound page (NIH); USDA Plants database</t>
        </is>
      </c>
      <c r="P305" s="181" t="str"/>
      <c r="Q305" s="181" t="inlineStr">
        <is>
          <t>kratom-hybrids; mitragyna-speciosa</t>
        </is>
      </c>
      <c r="R305" s="181" t="n">
        <v>2</v>
      </c>
      <c r="S305" s="181" t="inlineStr">
        <is>
          <t>Yes</t>
        </is>
      </c>
      <c r="T305" s="181" t="inlineStr">
        <is>
          <t>Integrated from cleaned high-signal dataset</t>
        </is>
      </c>
    </row>
    <row r="306">
      <c r="A306" s="181" t="inlineStr">
        <is>
          <t>mitrajavine</t>
        </is>
      </c>
      <c r="B306" s="181" t="inlineStr">
        <is>
          <t>mitrajavine</t>
        </is>
      </c>
      <c r="C306" s="181" t="str"/>
      <c r="D306" s="181" t="inlineStr">
        <is>
          <t>oxindole alkaloids</t>
        </is>
      </c>
      <c r="E306" s="181" t="inlineStr">
        <is>
          <t>insufficient evidence</t>
        </is>
      </c>
      <c r="F306" s="181" t="inlineStr">
        <is>
          <t>multi-target signaling modulation</t>
        </is>
      </c>
      <c r="G306" s="181" t="inlineStr">
        <is>
          <t>general or unknown targets</t>
        </is>
      </c>
      <c r="H306" s="181" t="inlineStr">
        <is>
          <t>Absorption and bioavailability vary; some compounds metabolized via cytochrome P450 enzymes.</t>
        </is>
      </c>
      <c r="I306" s="181" t="inlineStr">
        <is>
          <t>low</t>
        </is>
      </c>
      <c r="J306" s="181" t="inlineStr">
        <is>
          <t>no well-documented interactions</t>
        </is>
      </c>
      <c r="K306" s="181" t="str"/>
      <c r="L306" s="181" t="inlineStr">
        <is>
          <t>compound_level</t>
        </is>
      </c>
      <c r="M306" s="181" t="inlineStr">
        <is>
          <t>https://plants.sc.egov.usda.gov/home/search?query=Mitragyna%20javanica | https://pubchem.ncbi.nlm.nih.gov/#query=mitrajavine</t>
        </is>
      </c>
      <c r="N306" s="181" t="inlineStr">
        <is>
          <t>inferred_plus_trusted_gov</t>
        </is>
      </c>
      <c r="O306" s="181" t="inlineStr">
        <is>
          <t>scientific name; PubChem compound page (NIH); USDA Plants database</t>
        </is>
      </c>
      <c r="P306" s="181" t="str"/>
      <c r="Q306" s="181" t="inlineStr">
        <is>
          <t>mitragyna-javanica</t>
        </is>
      </c>
      <c r="R306" s="181" t="n">
        <v>1</v>
      </c>
      <c r="S306" s="181" t="inlineStr">
        <is>
          <t>Yes</t>
        </is>
      </c>
      <c r="T306" s="181" t="inlineStr">
        <is>
          <t>Integrated from cleaned high-signal dataset</t>
        </is>
      </c>
    </row>
    <row r="307">
      <c r="A307" s="181" t="inlineStr">
        <is>
          <t>mitraphylline</t>
        </is>
      </c>
      <c r="B307" s="181" t="inlineStr">
        <is>
          <t>mitraphylline</t>
        </is>
      </c>
      <c r="C307" s="181" t="str"/>
      <c r="D307" s="181" t="inlineStr">
        <is>
          <t>oxindole alkaloids</t>
        </is>
      </c>
      <c r="E307" s="181" t="inlineStr">
        <is>
          <t>insufficient evidence</t>
        </is>
      </c>
      <c r="F307" s="181" t="inlineStr">
        <is>
          <t>multi-target signaling modulation</t>
        </is>
      </c>
      <c r="G307" s="181" t="inlineStr">
        <is>
          <t>general or unknown targets</t>
        </is>
      </c>
      <c r="H307" s="181" t="inlineStr">
        <is>
          <t>Absorption and bioavailability vary; some compounds metabolized via cytochrome P450 enzymes.</t>
        </is>
      </c>
      <c r="I307" s="181" t="inlineStr">
        <is>
          <t>low</t>
        </is>
      </c>
      <c r="J307" s="181" t="inlineStr">
        <is>
          <t>no well-documented interactions</t>
        </is>
      </c>
      <c r="K307" s="181" t="str"/>
      <c r="L307" s="181" t="inlineStr">
        <is>
          <t>compound_level</t>
        </is>
      </c>
      <c r="M307" s="181" t="inlineStr">
        <is>
          <t>https://plants.sc.egov.usda.gov/home/search?query=Mitragyna%20javanica | https://plants.sc.egov.usda.gov/home/search?query=Mitragyna%20parvifolia | https://pubchem.ncbi.nlm.nih.gov/#query=mitraphylline</t>
        </is>
      </c>
      <c r="N307" s="181" t="inlineStr">
        <is>
          <t>inferred_plus_trusted_gov</t>
        </is>
      </c>
      <c r="O307" s="181" t="inlineStr">
        <is>
          <t>scientific name; PubChem compound page (NIH); USDA Plants database</t>
        </is>
      </c>
      <c r="P307" s="181" t="str"/>
      <c r="Q307" s="181" t="inlineStr">
        <is>
          <t>mitragyna-javanica; mitragyna-parvifolia</t>
        </is>
      </c>
      <c r="R307" s="181" t="n">
        <v>2</v>
      </c>
      <c r="S307" s="181" t="inlineStr">
        <is>
          <t>Yes</t>
        </is>
      </c>
      <c r="T307" s="181" t="inlineStr">
        <is>
          <t>Integrated from cleaned high-signal dataset</t>
        </is>
      </c>
    </row>
    <row r="308">
      <c r="A308" s="181" t="inlineStr">
        <is>
          <t>morphine</t>
        </is>
      </c>
      <c r="B308" s="181" t="inlineStr">
        <is>
          <t>morphine</t>
        </is>
      </c>
      <c r="C308" s="181" t="str"/>
      <c r="D308" s="181" t="inlineStr">
        <is>
          <t>other</t>
        </is>
      </c>
      <c r="E308" s="181" t="inlineStr">
        <is>
          <t>insufficient evidence</t>
        </is>
      </c>
      <c r="F308" s="181" t="inlineStr">
        <is>
          <t>multi-target signaling modulation</t>
        </is>
      </c>
      <c r="G308" s="181" t="inlineStr">
        <is>
          <t>general or unknown targets</t>
        </is>
      </c>
      <c r="H308" s="181" t="inlineStr">
        <is>
          <t>Oral/parenteral; CNS depressant and analgesic</t>
        </is>
      </c>
      <c r="I308" s="181" t="inlineStr">
        <is>
          <t>low</t>
        </is>
      </c>
      <c r="J308" s="181" t="inlineStr">
        <is>
          <t>no well-documented interactions</t>
        </is>
      </c>
      <c r="K308" s="181" t="str"/>
      <c r="L308" s="181" t="inlineStr">
        <is>
          <t>compound_level</t>
        </is>
      </c>
      <c r="M308" s="181" t="inlineStr">
        <is>
          <t>https://plants.sc.egov.usda.gov/home/search?query=Papaver%20somniferum | https://pubchem.ncbi.nlm.nih.gov/#query=morphine</t>
        </is>
      </c>
      <c r="N308" s="181" t="inlineStr">
        <is>
          <t>inferred_plus_trusted_gov</t>
        </is>
      </c>
      <c r="O308" s="181" t="inlineStr">
        <is>
          <t>scientific name; PubChem compound page (NIH); USDA Plants database</t>
        </is>
      </c>
      <c r="P308" s="181" t="str"/>
      <c r="Q308" s="181" t="inlineStr">
        <is>
          <t>papaver-somniferum</t>
        </is>
      </c>
      <c r="R308" s="181" t="n">
        <v>1</v>
      </c>
      <c r="S308" s="181" t="inlineStr">
        <is>
          <t>Yes</t>
        </is>
      </c>
      <c r="T308" s="181" t="inlineStr">
        <is>
          <t>Integrated from cleaned high-signal dataset</t>
        </is>
      </c>
    </row>
    <row r="309">
      <c r="A309" s="181" t="inlineStr">
        <is>
          <t>morroniside</t>
        </is>
      </c>
      <c r="B309" s="181" t="inlineStr">
        <is>
          <t>morroniside</t>
        </is>
      </c>
      <c r="C309" s="181" t="str"/>
      <c r="D309" s="181" t="inlineStr">
        <is>
          <t>iridoid glycosides</t>
        </is>
      </c>
      <c r="E309" s="181" t="inlineStr">
        <is>
          <t>insufficient evidence</t>
        </is>
      </c>
      <c r="F309" s="181" t="inlineStr">
        <is>
          <t>multi-target signaling modulation</t>
        </is>
      </c>
      <c r="G309" s="181" t="inlineStr">
        <is>
          <t>general or unknown targets</t>
        </is>
      </c>
      <c r="H309" s="181" t="inlineStr">
        <is>
          <t>Absorption and bioavailability vary; some compounds metabolized via cytochrome P450 enzymes.</t>
        </is>
      </c>
      <c r="I309" s="181" t="inlineStr">
        <is>
          <t>low</t>
        </is>
      </c>
      <c r="J309" s="181" t="inlineStr">
        <is>
          <t>no well-documented interactions</t>
        </is>
      </c>
      <c r="K309" s="181" t="str"/>
      <c r="L309" s="181" t="inlineStr">
        <is>
          <t>compound_level</t>
        </is>
      </c>
      <c r="M309" s="181" t="inlineStr">
        <is>
          <t>https://plants.sc.egov.usda.gov/home/search?query=Cornus%20officinalis | https://pubchem.ncbi.nlm.nih.gov/#query=morroniside</t>
        </is>
      </c>
      <c r="N309" s="181" t="inlineStr">
        <is>
          <t>inferred_plus_trusted_gov</t>
        </is>
      </c>
      <c r="O309" s="181" t="inlineStr">
        <is>
          <t>scientific name; PubChem compound page (NIH); USDA Plants database</t>
        </is>
      </c>
      <c r="P309" s="181" t="str"/>
      <c r="Q309" s="181" t="inlineStr">
        <is>
          <t>cornus-officinalis</t>
        </is>
      </c>
      <c r="R309" s="181" t="n">
        <v>1</v>
      </c>
      <c r="S309" s="181" t="inlineStr">
        <is>
          <t>Yes</t>
        </is>
      </c>
      <c r="T309" s="181" t="inlineStr">
        <is>
          <t>Integrated from cleaned high-signal dataset</t>
        </is>
      </c>
    </row>
    <row r="310">
      <c r="A310" s="181" t="inlineStr">
        <is>
          <t>muscimol</t>
        </is>
      </c>
      <c r="B310" s="181" t="inlineStr">
        <is>
          <t>muscimol</t>
        </is>
      </c>
      <c r="C310" s="181" t="str"/>
      <c r="D310" s="181" t="inlineStr">
        <is>
          <t>other</t>
        </is>
      </c>
      <c r="E310" s="181" t="inlineStr">
        <is>
          <t>Psychotropic effects are mainly attributed to muscimol acting at GABA_A receptors, with ibotenic acid contributing excitatory glutamatergic activity.</t>
        </is>
      </c>
      <c r="F310" s="181" t="inlineStr">
        <is>
          <t>GABAergic modulation; multi-target signaling modulation</t>
        </is>
      </c>
      <c r="G310" s="181" t="inlineStr">
        <is>
          <t>gabaergic_modulation; general or unknown targets</t>
        </is>
      </c>
      <c r="H310" s="181" t="inlineStr">
        <is>
          <t>moderate absorption; hepatic metabolism</t>
        </is>
      </c>
      <c r="I310" s="181" t="inlineStr">
        <is>
          <t>low</t>
        </is>
      </c>
      <c r="J310" s="181" t="inlineStr">
        <is>
          <t>no well-documented interactions</t>
        </is>
      </c>
      <c r="K310" s="181" t="str"/>
      <c r="L310" s="181" t="inlineStr">
        <is>
          <t>compound_level</t>
        </is>
      </c>
      <c r="M310" s="181" t="inlineStr">
        <is>
          <t>https://plants.sc.egov.usda.gov/home/search?query=Amanita%20muscaria | https://plants.sc.egov.usda.gov/home/search?query=amanita%20muscaria | https://plants.sc.egov.usda.gov/home/search?query=amanita%20pantherina | https://pubchem.ncbi.nlm.nih.gov/#query=muscimol</t>
        </is>
      </c>
      <c r="N310" s="181" t="inlineStr">
        <is>
          <t>inferred_plus_trusted_gov; trusted_gov_added</t>
        </is>
      </c>
      <c r="O310" s="181" t="inlineStr">
        <is>
          <t>PubChem compound page (NIH); USDA Plants database; scientific name; PubChem compound page (NIH); USDA Plants database</t>
        </is>
      </c>
      <c r="P310" s="181" t="str"/>
      <c r="Q310" s="181" t="inlineStr">
        <is>
          <t>amanita-muscaria; amanita-pantherina</t>
        </is>
      </c>
      <c r="R310" s="181" t="n">
        <v>2</v>
      </c>
      <c r="S310" s="181" t="inlineStr">
        <is>
          <t>Yes</t>
        </is>
      </c>
      <c r="T310" s="181" t="inlineStr">
        <is>
          <t>Integrated from cleaned high-signal dataset</t>
        </is>
      </c>
    </row>
    <row r="311">
      <c r="A311" s="181" t="inlineStr">
        <is>
          <t>myo-inositol</t>
        </is>
      </c>
      <c r="B311" s="181" t="inlineStr">
        <is>
          <t>myo-inositol</t>
        </is>
      </c>
      <c r="C311" s="181" t="str"/>
      <c r="D311" s="181" t="inlineStr">
        <is>
          <t>carbocyclic sugar</t>
        </is>
      </c>
      <c r="E311" s="181" t="inlineStr">
        <is>
          <t>Precursor for phosphatidylinositol and inositol phosphate signaling cascades.</t>
        </is>
      </c>
      <c r="F311" s="181" t="str"/>
      <c r="G311" s="181" t="inlineStr">
        <is>
          <t>Inositol phosphate signaling; PI3K signaling pathway</t>
        </is>
      </c>
      <c r="H311" s="181" t="inlineStr">
        <is>
          <t>Well absorbed orally.</t>
        </is>
      </c>
      <c r="I311" s="181" t="inlineStr">
        <is>
          <t>Generally well tolerated; GI upset can occur at higher doses.</t>
        </is>
      </c>
      <c r="J311" s="181" t="inlineStr">
        <is>
          <t>SSRIs (possible additive serotonergic modulation; limited evidence).</t>
        </is>
      </c>
      <c r="K311" s="181" t="inlineStr">
        <is>
          <t>moderate</t>
        </is>
      </c>
      <c r="L311" s="181" t="inlineStr">
        <is>
          <t>Batch10</t>
        </is>
      </c>
      <c r="M311" s="181" t="str"/>
      <c r="N311" s="181" t="str"/>
      <c r="O311" s="181" t="str"/>
      <c r="P311" s="181" t="inlineStr">
        <is>
          <t>manual_batch10</t>
        </is>
      </c>
      <c r="Q311" s="181" t="str"/>
      <c r="R311" s="181" t="n">
        <v>0</v>
      </c>
      <c r="S311" s="181" t="inlineStr">
        <is>
          <t>No</t>
        </is>
      </c>
      <c r="T311" s="181" t="inlineStr">
        <is>
          <t>Integrated from compound monograph workbook</t>
        </is>
      </c>
    </row>
    <row r="312">
      <c r="A312" s="181" t="inlineStr">
        <is>
          <t>myrcene</t>
        </is>
      </c>
      <c r="B312" s="181" t="inlineStr">
        <is>
          <t>myrcene</t>
        </is>
      </c>
      <c r="C312" s="181" t="str"/>
      <c r="D312" s="181" t="inlineStr">
        <is>
          <t>other</t>
        </is>
      </c>
      <c r="E312" s="181" t="inlineStr">
        <is>
          <t>insufficient evidence</t>
        </is>
      </c>
      <c r="F312" s="181" t="inlineStr">
        <is>
          <t>multi-target signaling modulation</t>
        </is>
      </c>
      <c r="G312" s="181" t="inlineStr">
        <is>
          <t>general or unknown targets</t>
        </is>
      </c>
      <c r="H312" s="181" t="inlineStr">
        <is>
          <t>Absorption and bioavailability vary; some compounds metabolized via cytochrome P450 enzymes.</t>
        </is>
      </c>
      <c r="I312" s="181" t="inlineStr">
        <is>
          <t>low</t>
        </is>
      </c>
      <c r="J312" s="181" t="inlineStr">
        <is>
          <t>no well-documented interactions</t>
        </is>
      </c>
      <c r="K312" s="181" t="str"/>
      <c r="L312" s="181" t="inlineStr">
        <is>
          <t>compound_level</t>
        </is>
      </c>
      <c r="M312" s="181" t="inlineStr">
        <is>
          <t>https://plants.sc.egov.usda.gov/home/search?query=Pimenta%20racemosa | https://pubchem.ncbi.nlm.nih.gov/#query=myrcene</t>
        </is>
      </c>
      <c r="N312" s="181" t="inlineStr">
        <is>
          <t>inferred_plus_trusted_gov</t>
        </is>
      </c>
      <c r="O312" s="181" t="inlineStr">
        <is>
          <t>scientific name; PubChem compound page (NIH); USDA Plants database</t>
        </is>
      </c>
      <c r="P312" s="181" t="str"/>
      <c r="Q312" s="181" t="inlineStr">
        <is>
          <t>pimenta-racemosa</t>
        </is>
      </c>
      <c r="R312" s="181" t="n">
        <v>1</v>
      </c>
      <c r="S312" s="181" t="inlineStr">
        <is>
          <t>Yes</t>
        </is>
      </c>
      <c r="T312" s="181" t="inlineStr">
        <is>
          <t>Integrated from cleaned high-signal dataset</t>
        </is>
      </c>
    </row>
    <row r="313">
      <c r="A313" s="181" t="inlineStr">
        <is>
          <t>myristicin</t>
        </is>
      </c>
      <c r="B313" s="181" t="inlineStr">
        <is>
          <t>myristicin</t>
        </is>
      </c>
      <c r="C313" s="181" t="str"/>
      <c r="D313" s="181" t="inlineStr">
        <is>
          <t>essential oils</t>
        </is>
      </c>
      <c r="E313" s="181" t="inlineStr">
        <is>
          <t>insufficient evidence</t>
        </is>
      </c>
      <c r="F313" s="181" t="inlineStr">
        <is>
          <t>multi-target signaling modulation</t>
        </is>
      </c>
      <c r="G313" s="181" t="inlineStr">
        <is>
          <t>general or unknown targets</t>
        </is>
      </c>
      <c r="H313" s="181" t="inlineStr">
        <is>
          <t>Absorption and bioavailability vary; some compounds metabolized via cytochrome P450 enzymes.</t>
        </is>
      </c>
      <c r="I313" s="181" t="inlineStr">
        <is>
          <t>low</t>
        </is>
      </c>
      <c r="J313" s="181" t="inlineStr">
        <is>
          <t>no well-documented interactions</t>
        </is>
      </c>
      <c r="K313" s="181" t="str"/>
      <c r="L313" s="181" t="inlineStr">
        <is>
          <t>compound_level</t>
        </is>
      </c>
      <c r="M313" s="181" t="inlineStr">
        <is>
          <t>https://plants.sc.egov.usda.gov/home/search?query=Macropiper%20excelsum | https://pubchem.ncbi.nlm.nih.gov/#query=myristicin</t>
        </is>
      </c>
      <c r="N313" s="181" t="inlineStr">
        <is>
          <t>inferred_plus_trusted_gov</t>
        </is>
      </c>
      <c r="O313" s="181" t="inlineStr">
        <is>
          <t>scientific name; PubChem compound page (NIH); USDA Plants database</t>
        </is>
      </c>
      <c r="P313" s="181" t="str"/>
      <c r="Q313" s="181" t="inlineStr">
        <is>
          <t>macropiper-excelsum</t>
        </is>
      </c>
      <c r="R313" s="181" t="n">
        <v>1</v>
      </c>
      <c r="S313" s="181" t="inlineStr">
        <is>
          <t>Yes</t>
        </is>
      </c>
      <c r="T313" s="181" t="inlineStr">
        <is>
          <t>Integrated from cleaned high-signal dataset</t>
        </is>
      </c>
    </row>
    <row r="314">
      <c r="A314" s="181" t="inlineStr">
        <is>
          <t>n-acetyl-l-tyrosine</t>
        </is>
      </c>
      <c r="B314" s="181" t="inlineStr">
        <is>
          <t>N-acetyl-L-tyrosine</t>
        </is>
      </c>
      <c r="C314" s="181" t="str"/>
      <c r="D314" s="181" t="inlineStr">
        <is>
          <t>N-acetyl amino acid derivative</t>
        </is>
      </c>
      <c r="E314" s="181" t="inlineStr">
        <is>
          <t>Acetylated tyrosine donor that is deacetylated to tyrosine and can feed catecholamine-precursor pools; evidence that it outperforms L-tyrosine as a CNS precursor is limited.</t>
        </is>
      </c>
      <c r="F314" s="181" t="str"/>
      <c r="G314" s="181" t="inlineStr">
        <is>
          <t>Tyrosine pool replenishment; catecholamine biosynthesis support; thyroid hormone precursor biology</t>
        </is>
      </c>
      <c r="H314" s="181" t="inlineStr">
        <is>
          <t>More water-soluble than L-tyrosine; acetylated forms can predominate in plasma after supplementation, consistent with incomplete/variable deacetylation.</t>
        </is>
      </c>
      <c r="I314" s="181" t="inlineStr">
        <is>
          <t>Direct supplement safety data are limited; use conservative dosing assumptions. Practical risk is lower than serotonergic precursors but efficacy as a superior tyrosine donor is uncertain.</t>
        </is>
      </c>
      <c r="J314" s="181" t="inlineStr">
        <is>
          <t>Levodopa / other large neutral amino acids (theoretical transport competition after deacetylation).</t>
        </is>
      </c>
      <c r="K314" s="181" t="inlineStr">
        <is>
          <t>Moderate</t>
        </is>
      </c>
      <c r="L314" s="181" t="inlineStr">
        <is>
          <t>mixed</t>
        </is>
      </c>
      <c r="M314" s="181" t="inlineStr">
        <is>
          <t>https://pmc.ncbi.nlm.nih.gov/articles/PMC3018185/ | https://pubchem.ncbi.nlm.nih.gov/compound/N-Acetyl-L-tyrosine</t>
        </is>
      </c>
      <c r="N314" s="181" t="str"/>
      <c r="O314" s="181" t="str"/>
      <c r="P314" s="181" t="inlineStr">
        <is>
          <t>Batch11_neuroprecursors_2026-04-06</t>
        </is>
      </c>
      <c r="Q314" s="181" t="str"/>
      <c r="R314" s="181" t="n">
        <v>0</v>
      </c>
      <c r="S314" s="181" t="inlineStr">
        <is>
          <t>No</t>
        </is>
      </c>
      <c r="T314" s="181" t="inlineStr">
        <is>
          <t>Integrated from compound monograph workbook</t>
        </is>
      </c>
    </row>
    <row r="315">
      <c r="A315" s="181" t="inlineStr">
        <is>
          <t>n-acetylcysteine</t>
        </is>
      </c>
      <c r="B315" s="181" t="inlineStr">
        <is>
          <t>n-acetylcysteine (nac)</t>
        </is>
      </c>
      <c r="C315" s="181" t="str"/>
      <c r="D315" s="181" t="inlineStr">
        <is>
          <t>amino acid derivative / thiol</t>
        </is>
      </c>
      <c r="E315" s="181" t="inlineStr">
        <is>
          <t>Replenishes glutathione by serving as a cysteine precursor; also has direct reducing activity and breaks disulfide bonds in mucus.</t>
        </is>
      </c>
      <c r="F315" s="181" t="str"/>
      <c r="G315" s="181" t="inlineStr">
        <is>
          <t>Glutathione replenishment; mucolytic disulfide-bond reduction; redox signaling modulation</t>
        </is>
      </c>
      <c r="H315" s="181" t="inlineStr">
        <is>
          <t>Used as a drug and supplement with route-dependent exposure; dataset wording should focus on mechanism rather than detailed supplement PK assumptions.</t>
        </is>
      </c>
      <c r="I315" s="181" t="inlineStr">
        <is>
          <t>GI upset and sulfur odor are common; serious liver injury signal is not expected, and LiverTox notes acetylcysteine is not linked to clinically apparent acute liver injury.</t>
        </is>
      </c>
      <c r="J315" s="181" t="inlineStr">
        <is>
          <t>Nitroglycerin (can potentiate vasodilation, headache, and hypotension); activated charcoal can reduce absorption in overdose settings.</t>
        </is>
      </c>
      <c r="K315" s="181" t="inlineStr">
        <is>
          <t>high</t>
        </is>
      </c>
      <c r="L315" s="181" t="inlineStr">
        <is>
          <t>Sprint5</t>
        </is>
      </c>
      <c r="M315" s="181" t="inlineStr">
        <is>
          <t>https://pmc.ncbi.nlm.nih.gov/articles/PMC8234027/ | https://pubchem.ncbi.nlm.nih.gov/compound/N-Acetyl-L-Cysteine | https://www.ncbi.nlm.nih.gov/books/NBK537183/ | https://www.ncbi.nlm.nih.gov/books/NBK548401/</t>
        </is>
      </c>
      <c r="N315" s="181" t="str"/>
      <c r="O315" s="181" t="str"/>
      <c r="P315" s="181" t="inlineStr">
        <is>
          <t>precision_monographs_sprint5.xlsx</t>
        </is>
      </c>
      <c r="Q315" s="181" t="str"/>
      <c r="R315" s="181" t="n">
        <v>0</v>
      </c>
      <c r="S315" s="181" t="inlineStr">
        <is>
          <t>No</t>
        </is>
      </c>
      <c r="T315" s="181" t="inlineStr">
        <is>
          <t>Integrated from compound monograph workbook</t>
        </is>
      </c>
    </row>
    <row r="316">
      <c r="A316" s="181" t="inlineStr">
        <is>
          <t>n-dimethylhistamine</t>
        </is>
      </c>
      <c r="B316" s="181" t="inlineStr">
        <is>
          <t>n-dimethylhistamine</t>
        </is>
      </c>
      <c r="C316" s="181" t="str"/>
      <c r="D316" s="181" t="inlineStr">
        <is>
          <t>other</t>
        </is>
      </c>
      <c r="E316" s="181" t="inlineStr">
        <is>
          <t>insufficient evidence</t>
        </is>
      </c>
      <c r="F316" s="181" t="inlineStr">
        <is>
          <t>multi-target signaling modulation</t>
        </is>
      </c>
      <c r="G316" s="181" t="inlineStr">
        <is>
          <t>general or unknown targets</t>
        </is>
      </c>
      <c r="H316" s="181" t="inlineStr">
        <is>
          <t>moderate absorption; hepatic metabolism</t>
        </is>
      </c>
      <c r="I316" s="181" t="inlineStr">
        <is>
          <t>low</t>
        </is>
      </c>
      <c r="J316" s="181" t="inlineStr">
        <is>
          <t>no well-documented interactions</t>
        </is>
      </c>
      <c r="K316" s="181" t="str"/>
      <c r="L316" s="181" t="inlineStr">
        <is>
          <t>compound_level</t>
        </is>
      </c>
      <c r="M316" s="181" t="inlineStr">
        <is>
          <t>https://plants.sc.egov.usda.gov/home/search?query=casimiroa%20edulis | https://pubchem.ncbi.nlm.nih.gov/#query=n-dimethylhistamine</t>
        </is>
      </c>
      <c r="N316" s="181" t="inlineStr">
        <is>
          <t>trusted_gov_added</t>
        </is>
      </c>
      <c r="O316" s="181" t="inlineStr">
        <is>
          <t>PubChem compound page (NIH); USDA Plants database</t>
        </is>
      </c>
      <c r="P316" s="181" t="str"/>
      <c r="Q316" s="181" t="inlineStr">
        <is>
          <t>casimiroa-edulis</t>
        </is>
      </c>
      <c r="R316" s="181" t="n">
        <v>1</v>
      </c>
      <c r="S316" s="181" t="inlineStr">
        <is>
          <t>Yes</t>
        </is>
      </c>
      <c r="T316" s="181" t="inlineStr">
        <is>
          <t>Integrated from cleaned high-signal dataset</t>
        </is>
      </c>
    </row>
    <row r="317">
      <c r="A317" s="181" t="inlineStr">
        <is>
          <t>n-dimethyltryptamine</t>
        </is>
      </c>
      <c r="B317" s="181" t="inlineStr">
        <is>
          <t>n-dimethyltryptamine (dmt)</t>
        </is>
      </c>
      <c r="C317" s="181" t="str"/>
      <c r="D317" s="181" t="inlineStr">
        <is>
          <t>alkaloid</t>
        </is>
      </c>
      <c r="E317" s="181" t="inlineStr">
        <is>
          <t>DMT acts primarily as a serotonergic psychedelic with activity at 5-HT2A receptors, while additional interactions at 5-HT1A, 5-HT2C, and sigma-1 receptors have been reported.</t>
        </is>
      </c>
      <c r="F317" s="181" t="inlineStr">
        <is>
          <t>serotonergic modulation</t>
        </is>
      </c>
      <c r="G317" s="181" t="inlineStr">
        <is>
          <t>serotonergic_5HT2A_agonism</t>
        </is>
      </c>
      <c r="H317" s="181" t="inlineStr">
        <is>
          <t>rapid absorption; CNS penetration; hepatic metabolism</t>
        </is>
      </c>
      <c r="I317" s="181" t="inlineStr">
        <is>
          <t>moderate-high</t>
        </is>
      </c>
      <c r="J317" s="181" t="inlineStr">
        <is>
          <t>avoid with SSRIs/MAOIs; risk of serotonin syndrome</t>
        </is>
      </c>
      <c r="K317" s="181" t="str"/>
      <c r="L317" s="181" t="inlineStr">
        <is>
          <t>compound_level</t>
        </is>
      </c>
      <c r="M317" s="181" t="inlineStr">
        <is>
          <t>https://plants.sc.egov.usda.gov/home/search?query=Acacia%20phlebophylla | https://plants.sc.egov.usda.gov/home/search?query=Diplopterys%20cabrerana | https://plants.sc.egov.usda.gov/home/search?query=Psychotria%20viridis | https://plants.sc.egov.usda.gov/home/search?query=Virola%20calophylla | https://plants.sc.egov.usda.gov/home/search?query=Virola%20elongata | https://plants.sc.egov.usda.gov/home/search?query=Virola%20sebifera | https://plants.sc.egov.usda.gov/home/search?query=acacia%20confusa | https://plants.sc.egov.usda.gov/home/search?query=acacia%20maidenii | https://plants.sc.egov.usda.gov/home/search?query=chacruna | https://pubchem.ncbi.nlm.nih.gov/#query=n%2Cn-dimethyltryptamine</t>
        </is>
      </c>
      <c r="N317" s="181" t="inlineStr">
        <is>
          <t>inferred_plus_trusted_gov; trusted_gov_added</t>
        </is>
      </c>
      <c r="O317" s="181" t="inlineStr">
        <is>
          <t>PubChem compound page (NIH); USDA Plants database; scientific name; PubChem compound page (NIH); USDA Plants database</t>
        </is>
      </c>
      <c r="P317" s="181" t="str"/>
      <c r="Q317" s="181" t="inlineStr">
        <is>
          <t>acacia-confusa; acacia-maidenii; acacia-phlebophylla; diplopterys-cabrerana; psychotria-viridis; virola-calophylla; virola-elongata; virola-sebifera</t>
        </is>
      </c>
      <c r="R317" s="181" t="n">
        <v>8</v>
      </c>
      <c r="S317" s="181" t="inlineStr">
        <is>
          <t>Yes</t>
        </is>
      </c>
      <c r="T317" s="181" t="inlineStr">
        <is>
          <t>Integrated from cleaned high-signal dataset</t>
        </is>
      </c>
    </row>
    <row r="318">
      <c r="A318" s="181" t="inlineStr">
        <is>
          <t>n-methylasimilobine</t>
        </is>
      </c>
      <c r="B318" s="181" t="inlineStr">
        <is>
          <t>n-methylasimilobine</t>
        </is>
      </c>
      <c r="C318" s="181" t="str"/>
      <c r="D318" s="181" t="inlineStr">
        <is>
          <t>other</t>
        </is>
      </c>
      <c r="E318" s="181" t="inlineStr">
        <is>
          <t>insufficient evidence</t>
        </is>
      </c>
      <c r="F318" s="181" t="inlineStr">
        <is>
          <t>multi-target signaling modulation</t>
        </is>
      </c>
      <c r="G318" s="181" t="inlineStr">
        <is>
          <t>general or unknown targets</t>
        </is>
      </c>
      <c r="H318" s="181" t="inlineStr">
        <is>
          <t>moderate absorption; hepatic metabolism</t>
        </is>
      </c>
      <c r="I318" s="181" t="inlineStr">
        <is>
          <t>low</t>
        </is>
      </c>
      <c r="J318" s="181" t="inlineStr">
        <is>
          <t>no well-documented interactions</t>
        </is>
      </c>
      <c r="K318" s="181" t="str"/>
      <c r="L318" s="181" t="inlineStr">
        <is>
          <t>compound_level</t>
        </is>
      </c>
      <c r="M318" s="181" t="inlineStr">
        <is>
          <t>https://plants.sc.egov.usda.gov/home/search?query=american%20yellow%20lotus | https://pubchem.ncbi.nlm.nih.gov/#query=n-methylasimilobine</t>
        </is>
      </c>
      <c r="N318" s="181" t="inlineStr">
        <is>
          <t>trusted_gov_added</t>
        </is>
      </c>
      <c r="O318" s="181" t="inlineStr">
        <is>
          <t>PubChem compound page (NIH); USDA Plants database</t>
        </is>
      </c>
      <c r="P318" s="181" t="str"/>
      <c r="Q318" s="181" t="inlineStr">
        <is>
          <t>nelumbo-lutea</t>
        </is>
      </c>
      <c r="R318" s="181" t="n">
        <v>1</v>
      </c>
      <c r="S318" s="181" t="inlineStr">
        <is>
          <t>Yes</t>
        </is>
      </c>
      <c r="T318" s="181" t="inlineStr">
        <is>
          <t>Integrated from cleaned high-signal dataset</t>
        </is>
      </c>
    </row>
    <row r="319">
      <c r="A319" s="181" t="inlineStr">
        <is>
          <t>n-methyltryptamine</t>
        </is>
      </c>
      <c r="B319" s="181" t="inlineStr">
        <is>
          <t>n-methyltryptamine (nmt)</t>
        </is>
      </c>
      <c r="C319" s="181" t="str"/>
      <c r="D319" s="181" t="inlineStr">
        <is>
          <t>alkaloid</t>
        </is>
      </c>
      <c r="E319" s="181" t="inlineStr">
        <is>
          <t>DMT acts primarily as a 5-HT2A receptor agonist with additional sigma-1 receptor activity (proposed).</t>
        </is>
      </c>
      <c r="F319" s="181" t="inlineStr">
        <is>
          <t>serotonergic modulation</t>
        </is>
      </c>
      <c r="G319" s="181" t="inlineStr">
        <is>
          <t>serotonergic_5HT2A_agonism</t>
        </is>
      </c>
      <c r="H319" s="181" t="inlineStr">
        <is>
          <t>rapid absorption; CNS penetration; hepatic metabolism</t>
        </is>
      </c>
      <c r="I319" s="181" t="inlineStr">
        <is>
          <t>moderate-high</t>
        </is>
      </c>
      <c r="J319" s="181" t="inlineStr">
        <is>
          <t>avoid with SSRIs/MAOIs; risk of serotonin syndrome</t>
        </is>
      </c>
      <c r="K319" s="181" t="str"/>
      <c r="L319" s="181" t="inlineStr">
        <is>
          <t>compound_level</t>
        </is>
      </c>
      <c r="M319" s="181" t="inlineStr">
        <is>
          <t>https://plants.sc.egov.usda.gov/home/search?query=acacia%20confusa | https://pubchem.ncbi.nlm.nih.gov/#query=n-methyltryptamine</t>
        </is>
      </c>
      <c r="N319" s="181" t="inlineStr">
        <is>
          <t>trusted_gov_added</t>
        </is>
      </c>
      <c r="O319" s="181" t="inlineStr">
        <is>
          <t>PubChem compound page (NIH); USDA Plants database</t>
        </is>
      </c>
      <c r="P319" s="181" t="str"/>
      <c r="Q319" s="181" t="inlineStr">
        <is>
          <t>acacia-confusa</t>
        </is>
      </c>
      <c r="R319" s="181" t="n">
        <v>1</v>
      </c>
      <c r="S319" s="181" t="inlineStr">
        <is>
          <t>Yes</t>
        </is>
      </c>
      <c r="T319" s="181" t="inlineStr">
        <is>
          <t>Integrated from cleaned high-signal dataset</t>
        </is>
      </c>
    </row>
    <row r="320">
      <c r="A320" s="181" t="inlineStr">
        <is>
          <t>n-monomethylhistamine</t>
        </is>
      </c>
      <c r="B320" s="181" t="inlineStr">
        <is>
          <t>n-monomethylhistamine</t>
        </is>
      </c>
      <c r="C320" s="181" t="str"/>
      <c r="D320" s="181" t="inlineStr">
        <is>
          <t>other</t>
        </is>
      </c>
      <c r="E320" s="181" t="inlineStr">
        <is>
          <t>insufficient evidence</t>
        </is>
      </c>
      <c r="F320" s="181" t="inlineStr">
        <is>
          <t>multi-target signaling modulation</t>
        </is>
      </c>
      <c r="G320" s="181" t="inlineStr">
        <is>
          <t>general or unknown targets</t>
        </is>
      </c>
      <c r="H320" s="181" t="inlineStr">
        <is>
          <t>moderate absorption; hepatic metabolism</t>
        </is>
      </c>
      <c r="I320" s="181" t="inlineStr">
        <is>
          <t>low</t>
        </is>
      </c>
      <c r="J320" s="181" t="inlineStr">
        <is>
          <t>no well-documented interactions</t>
        </is>
      </c>
      <c r="K320" s="181" t="str"/>
      <c r="L320" s="181" t="inlineStr">
        <is>
          <t>compound_level</t>
        </is>
      </c>
      <c r="M320" s="181" t="inlineStr">
        <is>
          <t>https://plants.sc.egov.usda.gov/home/search?query=casimiroa%20edulis | https://pubchem.ncbi.nlm.nih.gov/#query=n-monomethylhistamine</t>
        </is>
      </c>
      <c r="N320" s="181" t="inlineStr">
        <is>
          <t>trusted_gov_added</t>
        </is>
      </c>
      <c r="O320" s="181" t="inlineStr">
        <is>
          <t>PubChem compound page (NIH); USDA Plants database</t>
        </is>
      </c>
      <c r="P320" s="181" t="str"/>
      <c r="Q320" s="181" t="inlineStr">
        <is>
          <t>casimiroa-edulis</t>
        </is>
      </c>
      <c r="R320" s="181" t="n">
        <v>1</v>
      </c>
      <c r="S320" s="181" t="inlineStr">
        <is>
          <t>Yes</t>
        </is>
      </c>
      <c r="T320" s="181" t="inlineStr">
        <is>
          <t>Integrated from cleaned high-signal dataset</t>
        </is>
      </c>
    </row>
    <row r="321">
      <c r="A321" s="181" t="inlineStr">
        <is>
          <t>neoquassin</t>
        </is>
      </c>
      <c r="B321" s="181" t="inlineStr">
        <is>
          <t>neoquassin</t>
        </is>
      </c>
      <c r="C321" s="181" t="str"/>
      <c r="D321" s="181" t="inlineStr">
        <is>
          <t>other</t>
        </is>
      </c>
      <c r="E321" s="181" t="inlineStr">
        <is>
          <t>insufficient evidence</t>
        </is>
      </c>
      <c r="F321" s="181" t="inlineStr">
        <is>
          <t>multi-target signaling modulation</t>
        </is>
      </c>
      <c r="G321" s="181" t="inlineStr">
        <is>
          <t>general or unknown targets</t>
        </is>
      </c>
      <c r="H321" s="181" t="inlineStr">
        <is>
          <t>Oral; cholagogue and vermifuge</t>
        </is>
      </c>
      <c r="I321" s="181" t="inlineStr">
        <is>
          <t>low</t>
        </is>
      </c>
      <c r="J321" s="181" t="inlineStr">
        <is>
          <t>no well-documented interactions</t>
        </is>
      </c>
      <c r="K321" s="181" t="str"/>
      <c r="L321" s="181" t="inlineStr">
        <is>
          <t>compound_level</t>
        </is>
      </c>
      <c r="M321" s="181" t="inlineStr">
        <is>
          <t>https://plants.sc.egov.usda.gov/home/search?query=Quassia%20amara | https://pubchem.ncbi.nlm.nih.gov/#query=neoquassin</t>
        </is>
      </c>
      <c r="N321" s="181" t="inlineStr">
        <is>
          <t>inferred_plus_trusted_gov</t>
        </is>
      </c>
      <c r="O321" s="181" t="inlineStr">
        <is>
          <t>scientific name; PubChem compound page (NIH); USDA Plants database</t>
        </is>
      </c>
      <c r="P321" s="181" t="str"/>
      <c r="Q321" s="181" t="inlineStr">
        <is>
          <t>quassia-amara</t>
        </is>
      </c>
      <c r="R321" s="181" t="n">
        <v>1</v>
      </c>
      <c r="S321" s="181" t="inlineStr">
        <is>
          <t>Yes</t>
        </is>
      </c>
      <c r="T321" s="181" t="inlineStr">
        <is>
          <t>Integrated from cleaned high-signal dataset</t>
        </is>
      </c>
    </row>
    <row r="322">
      <c r="A322" s="181" t="inlineStr">
        <is>
          <t>neral</t>
        </is>
      </c>
      <c r="B322" s="181" t="inlineStr">
        <is>
          <t>neral</t>
        </is>
      </c>
      <c r="C322" s="181" t="str"/>
      <c r="D322" s="181" t="inlineStr">
        <is>
          <t>flavonoids</t>
        </is>
      </c>
      <c r="E322" s="181" t="inlineStr">
        <is>
          <t>insufficient evidence</t>
        </is>
      </c>
      <c r="F322" s="181" t="inlineStr">
        <is>
          <t>multi-target signaling modulation</t>
        </is>
      </c>
      <c r="G322" s="181" t="inlineStr">
        <is>
          <t>general or unknown targets</t>
        </is>
      </c>
      <c r="H322" s="181" t="inlineStr">
        <is>
          <t>Absorption and bioavailability vary; some compounds metabolized via cytochrome P450 enzymes.</t>
        </is>
      </c>
      <c r="I322" s="181" t="inlineStr">
        <is>
          <t>low</t>
        </is>
      </c>
      <c r="J322" s="181" t="inlineStr">
        <is>
          <t>no well-documented interactions</t>
        </is>
      </c>
      <c r="K322" s="181" t="str"/>
      <c r="L322" s="181" t="inlineStr">
        <is>
          <t>compound_level</t>
        </is>
      </c>
      <c r="M322" s="181" t="inlineStr">
        <is>
          <t>https://plants.sc.egov.usda.gov/home/search?query=Dracocephalum%20moldavica | https://pubchem.ncbi.nlm.nih.gov/#query=neral</t>
        </is>
      </c>
      <c r="N322" s="181" t="inlineStr">
        <is>
          <t>inferred_plus_trusted_gov</t>
        </is>
      </c>
      <c r="O322" s="181" t="inlineStr">
        <is>
          <t>scientific name; PubChem compound page (NIH); USDA Plants database</t>
        </is>
      </c>
      <c r="P322" s="181" t="str"/>
      <c r="Q322" s="181" t="inlineStr">
        <is>
          <t>dracocephalum-moldavica</t>
        </is>
      </c>
      <c r="R322" s="181" t="n">
        <v>1</v>
      </c>
      <c r="S322" s="181" t="inlineStr">
        <is>
          <t>Yes</t>
        </is>
      </c>
      <c r="T322" s="181" t="inlineStr">
        <is>
          <t>Integrated from cleaned high-signal dataset</t>
        </is>
      </c>
    </row>
    <row r="323">
      <c r="A323" s="181" t="inlineStr">
        <is>
          <t>neriine</t>
        </is>
      </c>
      <c r="B323" s="181" t="inlineStr">
        <is>
          <t>neriine</t>
        </is>
      </c>
      <c r="C323" s="181" t="str"/>
      <c r="D323" s="181" t="inlineStr">
        <is>
          <t>cardiac glycosides</t>
        </is>
      </c>
      <c r="E323" s="181" t="inlineStr">
        <is>
          <t>insufficient evidence</t>
        </is>
      </c>
      <c r="F323" s="181" t="inlineStr">
        <is>
          <t>multi-target signaling modulation</t>
        </is>
      </c>
      <c r="G323" s="181" t="inlineStr">
        <is>
          <t>general or unknown targets</t>
        </is>
      </c>
      <c r="H323" s="181" t="inlineStr">
        <is>
          <t>Absorption and bioavailability vary; some compounds metabolized via cytochrome P450 enzymes.</t>
        </is>
      </c>
      <c r="I323" s="181" t="inlineStr">
        <is>
          <t>low</t>
        </is>
      </c>
      <c r="J323" s="181" t="inlineStr">
        <is>
          <t>no well-documented interactions</t>
        </is>
      </c>
      <c r="K323" s="181" t="str"/>
      <c r="L323" s="181" t="inlineStr">
        <is>
          <t>compound_level</t>
        </is>
      </c>
      <c r="M323" s="181" t="inlineStr">
        <is>
          <t>https://plants.sc.egov.usda.gov/home/search?query=Nerium%20oleander | https://pubchem.ncbi.nlm.nih.gov/#query=neriine</t>
        </is>
      </c>
      <c r="N323" s="181" t="inlineStr">
        <is>
          <t>inferred_plus_trusted_gov</t>
        </is>
      </c>
      <c r="O323" s="181" t="inlineStr">
        <is>
          <t>scientific name; PubChem compound page (NIH); USDA Plants database</t>
        </is>
      </c>
      <c r="P323" s="181" t="str"/>
      <c r="Q323" s="181" t="inlineStr">
        <is>
          <t>nerium-oleander</t>
        </is>
      </c>
      <c r="R323" s="181" t="n">
        <v>1</v>
      </c>
      <c r="S323" s="181" t="inlineStr">
        <is>
          <t>Yes</t>
        </is>
      </c>
      <c r="T323" s="181" t="inlineStr">
        <is>
          <t>Integrated from cleaned high-signal dataset</t>
        </is>
      </c>
    </row>
    <row r="324">
      <c r="A324" s="181" t="inlineStr">
        <is>
          <t>nesodine</t>
        </is>
      </c>
      <c r="B324" s="181" t="inlineStr">
        <is>
          <t>nesodine</t>
        </is>
      </c>
      <c r="C324" s="181" t="str"/>
      <c r="D324" s="181" t="inlineStr">
        <is>
          <t>other</t>
        </is>
      </c>
      <c r="E324" s="181" t="inlineStr">
        <is>
          <t>Primary alkaloid cryogenine (vertine) has CNS activity; precise receptor targets are not well-characterized in humans. Marked as mechanism not fully established.</t>
        </is>
      </c>
      <c r="F324" s="181" t="inlineStr">
        <is>
          <t>multi-target signaling modulation</t>
        </is>
      </c>
      <c r="G324" s="181" t="inlineStr">
        <is>
          <t>general or unknown targets</t>
        </is>
      </c>
      <c r="H324" s="181" t="inlineStr">
        <is>
          <t>Oral; affects serotonin pathways</t>
        </is>
      </c>
      <c r="I324" s="181" t="inlineStr">
        <is>
          <t>low</t>
        </is>
      </c>
      <c r="J324" s="181" t="inlineStr">
        <is>
          <t>cns depressants, alcohol.</t>
        </is>
      </c>
      <c r="K324" s="181" t="str"/>
      <c r="L324" s="181" t="inlineStr">
        <is>
          <t>compound_level</t>
        </is>
      </c>
      <c r="M324" s="181" t="inlineStr">
        <is>
          <t>https://plants.sc.egov.usda.gov/home/search?query=Heimia%20spp. | https://pubchem.ncbi.nlm.nih.gov/#query=nesodine</t>
        </is>
      </c>
      <c r="N324" s="181" t="inlineStr">
        <is>
          <t>inferred_plus_trusted_gov</t>
        </is>
      </c>
      <c r="O324" s="181" t="inlineStr">
        <is>
          <t>scientific name; PubChem compound page (NIH); USDA Plants database</t>
        </is>
      </c>
      <c r="P324" s="181" t="str"/>
      <c r="Q324" s="181" t="inlineStr">
        <is>
          <t>heimia</t>
        </is>
      </c>
      <c r="R324" s="181" t="n">
        <v>1</v>
      </c>
      <c r="S324" s="181" t="inlineStr">
        <is>
          <t>Yes</t>
        </is>
      </c>
      <c r="T324" s="181" t="inlineStr">
        <is>
          <t>Integrated from cleaned high-signal dataset</t>
        </is>
      </c>
    </row>
    <row r="325">
      <c r="A325" s="181" t="inlineStr">
        <is>
          <t>niacin</t>
        </is>
      </c>
      <c r="B325" s="181" t="inlineStr">
        <is>
          <t>niacin</t>
        </is>
      </c>
      <c r="C325" s="181" t="str"/>
      <c r="D325" s="181" t="inlineStr">
        <is>
          <t>water-soluble vitamin</t>
        </is>
      </c>
      <c r="E325" s="181" t="inlineStr">
        <is>
          <t>Converted to the coenzymes NAD and NADP, which support more than 400 enzymatic reactions in cellular redox metabolism, ATP production, genome maintenance, gene expression, and cellular communication.</t>
        </is>
      </c>
      <c r="F325" s="181" t="str"/>
      <c r="G325" s="181" t="inlineStr">
        <is>
          <t>ATP production; NAD/NADP-dependent redox metabolism; tryptophan-to-niacin pathway</t>
        </is>
      </c>
      <c r="H325" s="181" t="inlineStr">
        <is>
          <t>Almost completely absorbed even at high doses; excess is methylated in the liver and excreted in urine. Inositol hexanicotinate is less bioavailable than nicotinic acid or nicotinamide.</t>
        </is>
      </c>
      <c r="I325" s="181" t="inlineStr">
        <is>
          <t>Supplemental nicotinic acid at 30–50 mg or more often causes flushing. Pharmacologic doses can cause hypotension, GI effects, hyperglycemia, and hepatotoxicity; extended-release nicotinic acid has higher liver-risk concern.</t>
        </is>
      </c>
      <c r="J325" s="181" t="inlineStr">
        <is>
          <t>Isoniazid/pyrazinamide (can impair niacin formation from tryptophan); antidiabetic medications (high-dose nicotinic acid can worsen glycemic control).</t>
        </is>
      </c>
      <c r="K325" s="181" t="inlineStr">
        <is>
          <t>High</t>
        </is>
      </c>
      <c r="L325" s="181" t="inlineStr">
        <is>
          <t>Sprint7</t>
        </is>
      </c>
      <c r="M325" s="181" t="inlineStr">
        <is>
          <t>https://ods.od.nih.gov/factsheets/Niacin-HealthProfessional/</t>
        </is>
      </c>
      <c r="N325" s="181" t="str"/>
      <c r="O325" s="181" t="str"/>
      <c r="P325" s="181" t="inlineStr">
        <is>
          <t>precision_monographs_sprint7.xlsx</t>
        </is>
      </c>
      <c r="Q325" s="181" t="str"/>
      <c r="R325" s="181" t="n">
        <v>0</v>
      </c>
      <c r="S325" s="181" t="inlineStr">
        <is>
          <t>No</t>
        </is>
      </c>
      <c r="T325" s="181" t="inlineStr">
        <is>
          <t>Integrated from compound monograph workbook</t>
        </is>
      </c>
    </row>
    <row r="326">
      <c r="A326" s="181" t="inlineStr">
        <is>
          <t>nicotine</t>
        </is>
      </c>
      <c r="B326" s="181" t="inlineStr">
        <is>
          <t>nicotine</t>
        </is>
      </c>
      <c r="C326" s="181" t="str"/>
      <c r="D326" s="181" t="inlineStr">
        <is>
          <t>other</t>
        </is>
      </c>
      <c r="E326" s="181" t="inlineStr">
        <is>
          <t>Nicotine acts as an agonist at nicotinic acetylcholine receptors, increasing dopamine and norepinephrine release.</t>
        </is>
      </c>
      <c r="F326" s="181" t="inlineStr">
        <is>
          <t>multi-target signaling modulation; muscarinic receptor interaction</t>
        </is>
      </c>
      <c r="G326" s="181" t="inlineStr">
        <is>
          <t>cholinergic_modulation; dopaminergic_modulation; general or unknown targets</t>
        </is>
      </c>
      <c r="H326" s="181" t="inlineStr">
        <is>
          <t>rapid systemic absorption; crosses BBB; hepatic metabolism</t>
        </is>
      </c>
      <c r="I326" s="181" t="inlineStr">
        <is>
          <t>low</t>
        </is>
      </c>
      <c r="J326" s="181" t="inlineStr">
        <is>
          <t>no well-documented interactions</t>
        </is>
      </c>
      <c r="K326" s="181" t="str"/>
      <c r="L326" s="181" t="inlineStr">
        <is>
          <t>compound_level</t>
        </is>
      </c>
      <c r="M326" s="181" t="inlineStr">
        <is>
          <t>https://plants.sc.egov.usda.gov/home/search?query=Duboisia%20hopwoodii | https://plants.sc.egov.usda.gov/home/search?query=Nicotiana%20spp.%20%28Polynesian%29 | https://plants.sc.egov.usda.gov/home/search?query=nicotiana%20rustica | https://pubchem.ncbi.nlm.nih.gov/#query=nicotine</t>
        </is>
      </c>
      <c r="N326" s="181" t="inlineStr">
        <is>
          <t>inferred_plus_trusted_gov; trusted_gov_added</t>
        </is>
      </c>
      <c r="O326" s="181" t="inlineStr">
        <is>
          <t>PubChem compound page (NIH); USDA Plants database; scientific name; PubChem compound page (NIH); USDA Plants database</t>
        </is>
      </c>
      <c r="P326" s="181" t="str"/>
      <c r="Q326" s="181" t="inlineStr">
        <is>
          <t>duboisia-hopwoodii; nicotiana-rustica; nicotiana-spp-polynesian</t>
        </is>
      </c>
      <c r="R326" s="181" t="n">
        <v>3</v>
      </c>
      <c r="S326" s="181" t="inlineStr">
        <is>
          <t>Yes</t>
        </is>
      </c>
      <c r="T326" s="181" t="inlineStr">
        <is>
          <t>Integrated from cleaned high-signal dataset</t>
        </is>
      </c>
    </row>
    <row r="327">
      <c r="A327" s="181" t="inlineStr">
        <is>
          <t>nigellone</t>
        </is>
      </c>
      <c r="B327" s="181" t="inlineStr">
        <is>
          <t>nigellone</t>
        </is>
      </c>
      <c r="C327" s="181" t="str"/>
      <c r="D327" s="181" t="inlineStr">
        <is>
          <t>Thymoquinone, nigellone, essential oils</t>
        </is>
      </c>
      <c r="E327" s="181" t="inlineStr">
        <is>
          <t>insufficient evidence</t>
        </is>
      </c>
      <c r="F327" s="181" t="inlineStr">
        <is>
          <t>multi-target signaling modulation</t>
        </is>
      </c>
      <c r="G327" s="181" t="inlineStr">
        <is>
          <t>general or unknown targets</t>
        </is>
      </c>
      <c r="H327" s="181" t="inlineStr">
        <is>
          <t>Oral; hepatic and pulmonary tonic</t>
        </is>
      </c>
      <c r="I327" s="181" t="inlineStr">
        <is>
          <t>low</t>
        </is>
      </c>
      <c r="J327" s="181" t="inlineStr">
        <is>
          <t>no well-documented interactions</t>
        </is>
      </c>
      <c r="K327" s="181" t="str"/>
      <c r="L327" s="181" t="inlineStr">
        <is>
          <t>compound_level</t>
        </is>
      </c>
      <c r="M327" s="181" t="inlineStr">
        <is>
          <t>https://plants.sc.egov.usda.gov/home/search?query=Nigella%20sativa | https://pubchem.ncbi.nlm.nih.gov/#query=nigellone</t>
        </is>
      </c>
      <c r="N327" s="181" t="inlineStr">
        <is>
          <t>inferred_plus_trusted_gov</t>
        </is>
      </c>
      <c r="O327" s="181" t="inlineStr">
        <is>
          <t>scientific name; PubChem compound page (NIH); USDA Plants database</t>
        </is>
      </c>
      <c r="P327" s="181" t="str"/>
      <c r="Q327" s="181" t="inlineStr">
        <is>
          <t>nigella-sativa</t>
        </is>
      </c>
      <c r="R327" s="181" t="n">
        <v>1</v>
      </c>
      <c r="S327" s="181" t="inlineStr">
        <is>
          <t>Yes</t>
        </is>
      </c>
      <c r="T327" s="181" t="inlineStr">
        <is>
          <t>Integrated from cleaned high-signal dataset</t>
        </is>
      </c>
    </row>
    <row r="328">
      <c r="A328" s="181" t="inlineStr">
        <is>
          <t>nimbin</t>
        </is>
      </c>
      <c r="B328" s="181" t="inlineStr">
        <is>
          <t>nimbin</t>
        </is>
      </c>
      <c r="C328" s="181" t="str"/>
      <c r="D328" s="181" t="inlineStr">
        <is>
          <t>other</t>
        </is>
      </c>
      <c r="E328" s="181" t="inlineStr">
        <is>
          <t>insufficient evidence</t>
        </is>
      </c>
      <c r="F328" s="181" t="inlineStr">
        <is>
          <t>multi-target signaling modulation</t>
        </is>
      </c>
      <c r="G328" s="181" t="inlineStr">
        <is>
          <t>general or unknown targets</t>
        </is>
      </c>
      <c r="H328" s="181" t="inlineStr">
        <is>
          <t>Oral/topical; antimicrobial and immune tonic</t>
        </is>
      </c>
      <c r="I328" s="181" t="inlineStr">
        <is>
          <t>low</t>
        </is>
      </c>
      <c r="J328" s="181" t="inlineStr">
        <is>
          <t>no well-documented interactions</t>
        </is>
      </c>
      <c r="K328" s="181" t="str"/>
      <c r="L328" s="181" t="inlineStr">
        <is>
          <t>compound_level</t>
        </is>
      </c>
      <c r="M328" s="181" t="inlineStr">
        <is>
          <t>https://plants.sc.egov.usda.gov/home/search?query=Azadirachta%20indica | https://pubchem.ncbi.nlm.nih.gov/#query=nimbin</t>
        </is>
      </c>
      <c r="N328" s="181" t="inlineStr">
        <is>
          <t>inferred_plus_trusted_gov</t>
        </is>
      </c>
      <c r="O328" s="181" t="inlineStr">
        <is>
          <t>scientific name; PubChem compound page (NIH); USDA Plants database</t>
        </is>
      </c>
      <c r="P328" s="181" t="str"/>
      <c r="Q328" s="181" t="inlineStr">
        <is>
          <t>azadirachta-indica</t>
        </is>
      </c>
      <c r="R328" s="181" t="n">
        <v>1</v>
      </c>
      <c r="S328" s="181" t="inlineStr">
        <is>
          <t>Yes</t>
        </is>
      </c>
      <c r="T328" s="181" t="inlineStr">
        <is>
          <t>Integrated from cleaned high-signal dataset</t>
        </is>
      </c>
    </row>
    <row r="329">
      <c r="A329" s="181" t="inlineStr">
        <is>
          <t>nordihydrocapsaicin</t>
        </is>
      </c>
      <c r="B329" s="181" t="inlineStr">
        <is>
          <t>nordihydrocapsaicin</t>
        </is>
      </c>
      <c r="C329" s="181" t="str"/>
      <c r="D329" s="181" t="inlineStr">
        <is>
          <t>other</t>
        </is>
      </c>
      <c r="E329" s="181" t="inlineStr">
        <is>
          <t>Capsaicinoids, especially capsaicin, act primarily as TRPV1 agonists; downstream effects include sensory neuron activation followed by desensitization and antinociceptive effects.</t>
        </is>
      </c>
      <c r="F329" s="181" t="inlineStr">
        <is>
          <t>multi-target signaling modulation</t>
        </is>
      </c>
      <c r="G329" s="181" t="inlineStr">
        <is>
          <t>general or unknown targets</t>
        </is>
      </c>
      <c r="H329" s="181" t="inlineStr">
        <is>
          <t>moderate absorption; hepatic metabolism</t>
        </is>
      </c>
      <c r="I329" s="181" t="inlineStr">
        <is>
          <t>low</t>
        </is>
      </c>
      <c r="J329" s="181" t="inlineStr">
        <is>
          <t>no well-documented interactions</t>
        </is>
      </c>
      <c r="K329" s="181" t="str"/>
      <c r="L329" s="181" t="inlineStr">
        <is>
          <t>compound_level</t>
        </is>
      </c>
      <c r="M329" s="181" t="inlineStr">
        <is>
          <t>https://plants.sc.egov.usda.gov/home/search?query=capsicum%20annuum | https://pubchem.ncbi.nlm.nih.gov/#query=nordihydrocapsaicin</t>
        </is>
      </c>
      <c r="N329" s="181" t="inlineStr">
        <is>
          <t>trusted_gov_added</t>
        </is>
      </c>
      <c r="O329" s="181" t="inlineStr">
        <is>
          <t>PubChem compound page (NIH); USDA Plants database</t>
        </is>
      </c>
      <c r="P329" s="181" t="str"/>
      <c r="Q329" s="181" t="inlineStr">
        <is>
          <t>capsicum-annuum</t>
        </is>
      </c>
      <c r="R329" s="181" t="n">
        <v>1</v>
      </c>
      <c r="S329" s="181" t="inlineStr">
        <is>
          <t>Yes</t>
        </is>
      </c>
      <c r="T329" s="181" t="inlineStr">
        <is>
          <t>Integrated from cleaned high-signal dataset</t>
        </is>
      </c>
    </row>
    <row r="330">
      <c r="A330" s="181" t="inlineStr">
        <is>
          <t>norephedrine</t>
        </is>
      </c>
      <c r="B330" s="181" t="inlineStr">
        <is>
          <t>norephedrine</t>
        </is>
      </c>
      <c r="C330" s="181" t="str"/>
      <c r="D330" s="181" t="inlineStr">
        <is>
          <t>other</t>
        </is>
      </c>
      <c r="E330" s="181" t="inlineStr">
        <is>
          <t>insufficient evidence</t>
        </is>
      </c>
      <c r="F330" s="181" t="inlineStr">
        <is>
          <t>multi-target signaling modulation</t>
        </is>
      </c>
      <c r="G330" s="181" t="inlineStr">
        <is>
          <t>dopaminergic_modulation</t>
        </is>
      </c>
      <c r="H330" s="181" t="inlineStr">
        <is>
          <t>moderate absorption; hepatic metabolism</t>
        </is>
      </c>
      <c r="I330" s="181" t="inlineStr">
        <is>
          <t>low</t>
        </is>
      </c>
      <c r="J330" s="181" t="inlineStr">
        <is>
          <t>no well-documented interactions</t>
        </is>
      </c>
      <c r="K330" s="181" t="str"/>
      <c r="L330" s="181" t="inlineStr">
        <is>
          <t>compound_level</t>
        </is>
      </c>
      <c r="M330" s="181" t="inlineStr">
        <is>
          <t>https://plants.sc.egov.usda.gov/home/search?query=catha%20edulis | https://pubchem.ncbi.nlm.nih.gov/#query=norephedrine</t>
        </is>
      </c>
      <c r="N330" s="181" t="inlineStr">
        <is>
          <t>trusted_gov_added</t>
        </is>
      </c>
      <c r="O330" s="181" t="inlineStr">
        <is>
          <t>PubChem compound page (NIH); USDA Plants database</t>
        </is>
      </c>
      <c r="P330" s="181" t="str"/>
      <c r="Q330" s="181" t="inlineStr">
        <is>
          <t>catha-edulis</t>
        </is>
      </c>
      <c r="R330" s="181" t="n">
        <v>1</v>
      </c>
      <c r="S330" s="181" t="inlineStr">
        <is>
          <t>Yes</t>
        </is>
      </c>
      <c r="T330" s="181" t="inlineStr">
        <is>
          <t>Integrated from cleaned high-signal dataset</t>
        </is>
      </c>
    </row>
    <row r="331">
      <c r="A331" s="181" t="inlineStr">
        <is>
          <t>nornicotine</t>
        </is>
      </c>
      <c r="B331" s="181" t="inlineStr">
        <is>
          <t>nornicotine</t>
        </is>
      </c>
      <c r="C331" s="181" t="str"/>
      <c r="D331" s="181" t="inlineStr">
        <is>
          <t>other</t>
        </is>
      </c>
      <c r="E331" s="181" t="inlineStr">
        <is>
          <t>Nicotine acts as an agonist at nicotinic acetylcholine receptors, increasing dopamine and norepinephrine release.</t>
        </is>
      </c>
      <c r="F331" s="181" t="inlineStr">
        <is>
          <t>multi-target signaling modulation; muscarinic receptor interaction</t>
        </is>
      </c>
      <c r="G331" s="181" t="inlineStr">
        <is>
          <t>cholinergic_modulation; dopaminergic_modulation; general or unknown targets</t>
        </is>
      </c>
      <c r="H331" s="181" t="inlineStr">
        <is>
          <t>rapid systemic absorption; crosses BBB; hepatic metabolism</t>
        </is>
      </c>
      <c r="I331" s="181" t="inlineStr">
        <is>
          <t>low</t>
        </is>
      </c>
      <c r="J331" s="181" t="inlineStr">
        <is>
          <t>no well-documented interactions</t>
        </is>
      </c>
      <c r="K331" s="181" t="str"/>
      <c r="L331" s="181" t="inlineStr">
        <is>
          <t>compound_level</t>
        </is>
      </c>
      <c r="M331" s="181" t="inlineStr">
        <is>
          <t>https://plants.sc.egov.usda.gov/home/search?query=Duboisia%20hopwoodii | https://plants.sc.egov.usda.gov/home/search?query=nicotiana%20rustica | https://pubchem.ncbi.nlm.nih.gov/#query=nornicotine</t>
        </is>
      </c>
      <c r="N331" s="181" t="inlineStr">
        <is>
          <t>inferred_plus_trusted_gov; trusted_gov_added</t>
        </is>
      </c>
      <c r="O331" s="181" t="inlineStr">
        <is>
          <t>PubChem compound page (NIH); USDA Plants database; scientific name; PubChem compound page (NIH); USDA Plants database</t>
        </is>
      </c>
      <c r="P331" s="181" t="str"/>
      <c r="Q331" s="181" t="inlineStr">
        <is>
          <t>duboisia-hopwoodii; nicotiana-rustica</t>
        </is>
      </c>
      <c r="R331" s="181" t="n">
        <v>2</v>
      </c>
      <c r="S331" s="181" t="inlineStr">
        <is>
          <t>Yes</t>
        </is>
      </c>
      <c r="T331" s="181" t="inlineStr">
        <is>
          <t>Integrated from cleaned high-signal dataset</t>
        </is>
      </c>
    </row>
    <row r="332">
      <c r="A332" s="181" t="inlineStr">
        <is>
          <t>nuciferine</t>
        </is>
      </c>
      <c r="B332" s="181" t="inlineStr">
        <is>
          <t>nuciferine</t>
        </is>
      </c>
      <c r="C332" s="181" t="str"/>
      <c r="D332" s="181" t="inlineStr">
        <is>
          <t>other</t>
        </is>
      </c>
      <c r="E332" s="181" t="inlineStr">
        <is>
          <t>Compounds show dopaminergic receptor interaction and mild sedative effects.</t>
        </is>
      </c>
      <c r="F332" s="181" t="inlineStr">
        <is>
          <t>multi-target signaling modulation</t>
        </is>
      </c>
      <c r="G332" s="181" t="inlineStr">
        <is>
          <t>dopaminergic_modulation; general or unknown targets</t>
        </is>
      </c>
      <c r="H332" s="181" t="inlineStr">
        <is>
          <t>moderate absorption; hepatic metabolism</t>
        </is>
      </c>
      <c r="I332" s="181" t="inlineStr">
        <is>
          <t>low</t>
        </is>
      </c>
      <c r="J332" s="181" t="inlineStr">
        <is>
          <t>no well-documented interactions</t>
        </is>
      </c>
      <c r="K332" s="181" t="str"/>
      <c r="L332" s="181" t="inlineStr">
        <is>
          <t>compound_level</t>
        </is>
      </c>
      <c r="M332" s="181" t="inlineStr">
        <is>
          <t>https://plants.sc.egov.usda.gov/home/search?query=Blue%20Lotus | https://plants.sc.egov.usda.gov/home/search?query=Nymphaea%20caerulea | https://plants.sc.egov.usda.gov/home/search?query=Nymphaea%20nouchali | https://plants.sc.egov.usda.gov/home/search?query=american%20yellow%20lotus | https://pubchem.ncbi.nlm.nih.gov/#query=nuciferine</t>
        </is>
      </c>
      <c r="N332" s="181" t="inlineStr">
        <is>
          <t>inferred_plus_trusted_gov; trusted_gov_added</t>
        </is>
      </c>
      <c r="O332" s="181" t="inlineStr">
        <is>
          <t>PubChem compound page (NIH); USDA Plants database; scientific name; PubChem compound page (NIH); USDA Plants database</t>
        </is>
      </c>
      <c r="P332" s="181" t="str"/>
      <c r="Q332" s="181" t="inlineStr">
        <is>
          <t>blue-lotus-nymphaea-caerulea; nelumbo-lutea; nymphaea-caerulea; nymphaea-nouchali</t>
        </is>
      </c>
      <c r="R332" s="181" t="n">
        <v>4</v>
      </c>
      <c r="S332" s="181" t="inlineStr">
        <is>
          <t>Yes</t>
        </is>
      </c>
      <c r="T332" s="181" t="inlineStr">
        <is>
          <t>Integrated from cleaned high-signal dataset</t>
        </is>
      </c>
    </row>
    <row r="333">
      <c r="A333" s="181" t="inlineStr">
        <is>
          <t>oleandrin</t>
        </is>
      </c>
      <c r="B333" s="181" t="inlineStr">
        <is>
          <t>oleandrin</t>
        </is>
      </c>
      <c r="C333" s="181" t="str"/>
      <c r="D333" s="181" t="inlineStr">
        <is>
          <t>cardiac glycosides</t>
        </is>
      </c>
      <c r="E333" s="181" t="inlineStr">
        <is>
          <t>insufficient evidence</t>
        </is>
      </c>
      <c r="F333" s="181" t="inlineStr">
        <is>
          <t>multi-target signaling modulation</t>
        </is>
      </c>
      <c r="G333" s="181" t="inlineStr">
        <is>
          <t>general or unknown targets</t>
        </is>
      </c>
      <c r="H333" s="181" t="inlineStr">
        <is>
          <t>Absorption and bioavailability vary; some compounds metabolized via cytochrome P450 enzymes.</t>
        </is>
      </c>
      <c r="I333" s="181" t="inlineStr">
        <is>
          <t>low</t>
        </is>
      </c>
      <c r="J333" s="181" t="inlineStr">
        <is>
          <t>no well-documented interactions</t>
        </is>
      </c>
      <c r="K333" s="181" t="str"/>
      <c r="L333" s="181" t="inlineStr">
        <is>
          <t>compound_level</t>
        </is>
      </c>
      <c r="M333" s="181" t="inlineStr">
        <is>
          <t>https://plants.sc.egov.usda.gov/home/search?query=Nerium%20oleander | https://pubchem.ncbi.nlm.nih.gov/#query=oleandrin</t>
        </is>
      </c>
      <c r="N333" s="181" t="inlineStr">
        <is>
          <t>inferred_plus_trusted_gov</t>
        </is>
      </c>
      <c r="O333" s="181" t="inlineStr">
        <is>
          <t>scientific name; PubChem compound page (NIH); USDA Plants database</t>
        </is>
      </c>
      <c r="P333" s="181" t="str"/>
      <c r="Q333" s="181" t="inlineStr">
        <is>
          <t>nerium-oleander</t>
        </is>
      </c>
      <c r="R333" s="181" t="n">
        <v>1</v>
      </c>
      <c r="S333" s="181" t="inlineStr">
        <is>
          <t>Yes</t>
        </is>
      </c>
      <c r="T333" s="181" t="inlineStr">
        <is>
          <t>Integrated from cleaned high-signal dataset</t>
        </is>
      </c>
    </row>
    <row r="334">
      <c r="A334" s="181" t="inlineStr">
        <is>
          <t>omega-3 fatty acids</t>
        </is>
      </c>
      <c r="B334" s="181" t="inlineStr">
        <is>
          <t>omega-3 fatty acids</t>
        </is>
      </c>
      <c r="C334" s="181" t="str"/>
      <c r="D334" s="181" t="inlineStr">
        <is>
          <t>polyunsaturated fatty acids</t>
        </is>
      </c>
      <c r="E334" s="181" t="inlineStr">
        <is>
          <t>Incorporation into cell membranes with downstream modulation of eicosanoid/resolvin signaling and reduction of hepatic triglyceride production.</t>
        </is>
      </c>
      <c r="F334" s="181" t="str"/>
      <c r="G334" s="181" t="inlineStr">
        <is>
          <t>Eicosanoid pathway modulation; specialized pro-resolving mediator pathways; triglyceride synthesis reduction</t>
        </is>
      </c>
      <c r="H334" s="181" t="inlineStr">
        <is>
          <t>Absorbed with dietary fat; disposition depends on formulation and EPA/DHA composition rather than a single uniform PK profile.</t>
        </is>
      </c>
      <c r="I334" s="181" t="inlineStr">
        <is>
          <t>Usually causes GI/fishy aftertaste rather than serious toxicity; interpretation should stay indication- and dose-specific.</t>
        </is>
      </c>
      <c r="J334" s="181" t="inlineStr">
        <is>
          <t>Anticoagulants/antiplatelets (potential additive bleeding risk, especially at higher doses); antihypertensives (possible additive blood-pressure lowering).</t>
        </is>
      </c>
      <c r="K334" s="181" t="str"/>
      <c r="L334" s="181" t="inlineStr">
        <is>
          <t>Sprint5</t>
        </is>
      </c>
      <c r="M334" s="181" t="inlineStr">
        <is>
          <t>https://ods.od.nih.gov/factsheets/Omega3FattyAcids-HealthProfessional/ | https://pubchem.ncbi.nlm.nih.gov/compound/Omega-3-Fatty-Acids | https://www.nccih.nih.gov/health/omega3-supplements-what-you-need-to-know</t>
        </is>
      </c>
      <c r="N334" s="181" t="str"/>
      <c r="O334" s="181" t="str"/>
      <c r="P334" s="181" t="inlineStr">
        <is>
          <t>precision_monographs_sprint5.xlsx</t>
        </is>
      </c>
      <c r="Q334" s="181" t="str"/>
      <c r="R334" s="181" t="n">
        <v>0</v>
      </c>
      <c r="S334" s="181" t="inlineStr">
        <is>
          <t>No</t>
        </is>
      </c>
      <c r="T334" s="181" t="inlineStr">
        <is>
          <t>Integrated from compound monograph workbook</t>
        </is>
      </c>
    </row>
    <row r="335">
      <c r="A335" s="181" t="inlineStr">
        <is>
          <t>osthole</t>
        </is>
      </c>
      <c r="B335" s="181" t="inlineStr">
        <is>
          <t>osthole</t>
        </is>
      </c>
      <c r="C335" s="181" t="str"/>
      <c r="D335" s="181" t="inlineStr">
        <is>
          <t>Osthole, coumarins, volatile oils</t>
        </is>
      </c>
      <c r="E335" s="181" t="inlineStr">
        <is>
          <t>insufficient evidence</t>
        </is>
      </c>
      <c r="F335" s="181" t="inlineStr">
        <is>
          <t>multi-target signaling modulation</t>
        </is>
      </c>
      <c r="G335" s="181" t="inlineStr">
        <is>
          <t>general or unknown targets</t>
        </is>
      </c>
      <c r="H335" s="181" t="inlineStr">
        <is>
          <t>Oral; aphrodisiac and vasodilator</t>
        </is>
      </c>
      <c r="I335" s="181" t="inlineStr">
        <is>
          <t>low</t>
        </is>
      </c>
      <c r="J335" s="181" t="inlineStr">
        <is>
          <t>no well-documented interactions</t>
        </is>
      </c>
      <c r="K335" s="181" t="str"/>
      <c r="L335" s="181" t="inlineStr">
        <is>
          <t>compound_level</t>
        </is>
      </c>
      <c r="M335" s="181" t="inlineStr">
        <is>
          <t>https://plants.sc.egov.usda.gov/home/search?query=Cnidium%20monnieri | https://pubchem.ncbi.nlm.nih.gov/#query=osthole</t>
        </is>
      </c>
      <c r="N335" s="181" t="inlineStr">
        <is>
          <t>inferred_plus_trusted_gov</t>
        </is>
      </c>
      <c r="O335" s="181" t="inlineStr">
        <is>
          <t>scientific name; PubChem compound page (NIH); USDA Plants database</t>
        </is>
      </c>
      <c r="P335" s="181" t="str"/>
      <c r="Q335" s="181" t="inlineStr">
        <is>
          <t>cnidium-monnieri</t>
        </is>
      </c>
      <c r="R335" s="181" t="n">
        <v>1</v>
      </c>
      <c r="S335" s="181" t="inlineStr">
        <is>
          <t>Yes</t>
        </is>
      </c>
      <c r="T335" s="181" t="inlineStr">
        <is>
          <t>Integrated from cleaned high-signal dataset</t>
        </is>
      </c>
    </row>
    <row r="336">
      <c r="A336" s="181" t="inlineStr">
        <is>
          <t>oxyacanthine</t>
        </is>
      </c>
      <c r="B336" s="181" t="inlineStr">
        <is>
          <t>oxyacanthine</t>
        </is>
      </c>
      <c r="C336" s="181" t="str"/>
      <c r="D336" s="181" t="inlineStr">
        <is>
          <t>other</t>
        </is>
      </c>
      <c r="E336" s="181" t="inlineStr">
        <is>
          <t>insufficient evidence</t>
        </is>
      </c>
      <c r="F336" s="181" t="inlineStr">
        <is>
          <t>multi-target signaling modulation</t>
        </is>
      </c>
      <c r="G336" s="181" t="inlineStr">
        <is>
          <t>general or unknown targets</t>
        </is>
      </c>
      <c r="H336" s="181" t="inlineStr">
        <is>
          <t>Oral; AMPK activation and microbial inhibition</t>
        </is>
      </c>
      <c r="I336" s="181" t="inlineStr">
        <is>
          <t>low</t>
        </is>
      </c>
      <c r="J336" s="181" t="inlineStr">
        <is>
          <t>no well-documented interactions</t>
        </is>
      </c>
      <c r="K336" s="181" t="str"/>
      <c r="L336" s="181" t="inlineStr">
        <is>
          <t>compound_level</t>
        </is>
      </c>
      <c r="M336" s="181" t="inlineStr">
        <is>
          <t>https://plants.sc.egov.usda.gov/home/search?query=Berberis%20vulgaris | https://pubchem.ncbi.nlm.nih.gov/#query=oxyacanthine</t>
        </is>
      </c>
      <c r="N336" s="181" t="inlineStr">
        <is>
          <t>inferred_plus_trusted_gov</t>
        </is>
      </c>
      <c r="O336" s="181" t="inlineStr">
        <is>
          <t>scientific name; PubChem compound page (NIH); USDA Plants database</t>
        </is>
      </c>
      <c r="P336" s="181" t="str"/>
      <c r="Q336" s="181" t="inlineStr">
        <is>
          <t>berberis-vulgaris</t>
        </is>
      </c>
      <c r="R336" s="181" t="n">
        <v>1</v>
      </c>
      <c r="S336" s="181" t="inlineStr">
        <is>
          <t>Yes</t>
        </is>
      </c>
      <c r="T336" s="181" t="inlineStr">
        <is>
          <t>Integrated from cleaned high-signal dataset</t>
        </is>
      </c>
    </row>
    <row r="337">
      <c r="A337" s="181" t="inlineStr">
        <is>
          <t>oxyberberine</t>
        </is>
      </c>
      <c r="B337" s="181" t="inlineStr">
        <is>
          <t>oxyberberine</t>
        </is>
      </c>
      <c r="C337" s="181" t="str"/>
      <c r="D337" s="181" t="inlineStr">
        <is>
          <t>protopine alkaloids</t>
        </is>
      </c>
      <c r="E337" s="181" t="inlineStr">
        <is>
          <t>insufficient evidence</t>
        </is>
      </c>
      <c r="F337" s="181" t="inlineStr">
        <is>
          <t>multi-target signaling modulation</t>
        </is>
      </c>
      <c r="G337" s="181" t="inlineStr">
        <is>
          <t>general or unknown targets</t>
        </is>
      </c>
      <c r="H337" s="181" t="inlineStr">
        <is>
          <t>good oral absorption; CNS penetration; hepatic metabolism</t>
        </is>
      </c>
      <c r="I337" s="181" t="inlineStr">
        <is>
          <t>low</t>
        </is>
      </c>
      <c r="J337" s="181" t="inlineStr">
        <is>
          <t>no well-documented interactions</t>
        </is>
      </c>
      <c r="K337" s="181" t="str"/>
      <c r="L337" s="181" t="inlineStr">
        <is>
          <t>compound_level</t>
        </is>
      </c>
      <c r="M337" s="181" t="inlineStr">
        <is>
          <t>https://plants.sc.egov.usda.gov/home/search?query=argemone%20mexicana | https://pubchem.ncbi.nlm.nih.gov/#query=oxyberberine</t>
        </is>
      </c>
      <c r="N337" s="181" t="inlineStr">
        <is>
          <t>trusted_gov_added</t>
        </is>
      </c>
      <c r="O337" s="181" t="inlineStr">
        <is>
          <t>PubChem compound page (NIH); USDA Plants database</t>
        </is>
      </c>
      <c r="P337" s="181" t="str"/>
      <c r="Q337" s="181" t="inlineStr">
        <is>
          <t>argemone-mexicana</t>
        </is>
      </c>
      <c r="R337" s="181" t="n">
        <v>1</v>
      </c>
      <c r="S337" s="181" t="inlineStr">
        <is>
          <t>Yes</t>
        </is>
      </c>
      <c r="T337" s="181" t="inlineStr">
        <is>
          <t>Integrated from cleaned high-signal dataset</t>
        </is>
      </c>
    </row>
    <row r="338">
      <c r="A338" s="181" t="inlineStr">
        <is>
          <t>oxymatrine</t>
        </is>
      </c>
      <c r="B338" s="181" t="inlineStr">
        <is>
          <t>oxymatrine</t>
        </is>
      </c>
      <c r="C338" s="181" t="str"/>
      <c r="D338" s="181" t="inlineStr">
        <is>
          <t>other</t>
        </is>
      </c>
      <c r="E338" s="181" t="inlineStr">
        <is>
          <t>insufficient evidence</t>
        </is>
      </c>
      <c r="F338" s="181" t="inlineStr">
        <is>
          <t>multi-target signaling modulation</t>
        </is>
      </c>
      <c r="G338" s="181" t="inlineStr">
        <is>
          <t>general or unknown targets</t>
        </is>
      </c>
      <c r="H338" s="181" t="inlineStr">
        <is>
          <t>Absorption and bioavailability vary; some compounds metabolized via cytochrome P450 enzymes.</t>
        </is>
      </c>
      <c r="I338" s="181" t="inlineStr">
        <is>
          <t>low</t>
        </is>
      </c>
      <c r="J338" s="181" t="inlineStr">
        <is>
          <t>no well-documented interactions</t>
        </is>
      </c>
      <c r="K338" s="181" t="str"/>
      <c r="L338" s="181" t="inlineStr">
        <is>
          <t>compound_level</t>
        </is>
      </c>
      <c r="M338" s="181" t="inlineStr">
        <is>
          <t>https://plants.sc.egov.usda.gov/home/search?query=Sophora%20flavescens | https://pubchem.ncbi.nlm.nih.gov/#query=oxymatrine</t>
        </is>
      </c>
      <c r="N338" s="181" t="inlineStr">
        <is>
          <t>inferred_plus_trusted_gov</t>
        </is>
      </c>
      <c r="O338" s="181" t="inlineStr">
        <is>
          <t>scientific name; PubChem compound page (NIH); USDA Plants database</t>
        </is>
      </c>
      <c r="P338" s="181" t="str"/>
      <c r="Q338" s="181" t="inlineStr">
        <is>
          <t>sophora-flavescens</t>
        </is>
      </c>
      <c r="R338" s="181" t="n">
        <v>1</v>
      </c>
      <c r="S338" s="181" t="inlineStr">
        <is>
          <t>Yes</t>
        </is>
      </c>
      <c r="T338" s="181" t="inlineStr">
        <is>
          <t>Integrated from cleaned high-signal dataset</t>
        </is>
      </c>
    </row>
    <row r="339">
      <c r="A339" s="181" t="inlineStr">
        <is>
          <t>pachymic acid</t>
        </is>
      </c>
      <c r="B339" s="181" t="inlineStr">
        <is>
          <t>pachymic acid</t>
        </is>
      </c>
      <c r="C339" s="181" t="str"/>
      <c r="D339" s="181" t="inlineStr">
        <is>
          <t>polysaccharides; triterpenes</t>
        </is>
      </c>
      <c r="E339" s="181" t="inlineStr">
        <is>
          <t>insufficient evidence</t>
        </is>
      </c>
      <c r="F339" s="181" t="inlineStr">
        <is>
          <t>multi-target signaling modulation</t>
        </is>
      </c>
      <c r="G339" s="181" t="inlineStr">
        <is>
          <t>general or unknown targets</t>
        </is>
      </c>
      <c r="H339" s="181" t="inlineStr">
        <is>
          <t>Absorption and bioavailability vary; some compounds metabolized via cytochrome P450 enzymes.</t>
        </is>
      </c>
      <c r="I339" s="181" t="inlineStr">
        <is>
          <t>low</t>
        </is>
      </c>
      <c r="J339" s="181" t="inlineStr">
        <is>
          <t>no well-documented interactions</t>
        </is>
      </c>
      <c r="K339" s="181" t="str"/>
      <c r="L339" s="181" t="inlineStr">
        <is>
          <t>compound_level</t>
        </is>
      </c>
      <c r="M339" s="181" t="inlineStr">
        <is>
          <t>https://plants.sc.egov.usda.gov/home/search?query=Poria%20cocos | https://pubchem.ncbi.nlm.nih.gov/#query=pachymic%20acid</t>
        </is>
      </c>
      <c r="N339" s="181" t="inlineStr">
        <is>
          <t>inferred_plus_trusted_gov</t>
        </is>
      </c>
      <c r="O339" s="181" t="inlineStr">
        <is>
          <t>scientific name; PubChem compound page (NIH); USDA Plants database</t>
        </is>
      </c>
      <c r="P339" s="181" t="str"/>
      <c r="Q339" s="181" t="inlineStr">
        <is>
          <t>poria-cocos</t>
        </is>
      </c>
      <c r="R339" s="181" t="n">
        <v>1</v>
      </c>
      <c r="S339" s="181" t="inlineStr">
        <is>
          <t>Yes</t>
        </is>
      </c>
      <c r="T339" s="181" t="inlineStr">
        <is>
          <t>Integrated from cleaned high-signal dataset</t>
        </is>
      </c>
    </row>
    <row r="340">
      <c r="A340" s="181" t="inlineStr">
        <is>
          <t>palmatine</t>
        </is>
      </c>
      <c r="B340" s="181" t="inlineStr">
        <is>
          <t>palmatine</t>
        </is>
      </c>
      <c r="C340" s="181" t="str"/>
      <c r="D340" s="181" t="inlineStr">
        <is>
          <t>other</t>
        </is>
      </c>
      <c r="E340" s="181" t="inlineStr">
        <is>
          <t>insufficient evidence</t>
        </is>
      </c>
      <c r="F340" s="181" t="inlineStr">
        <is>
          <t>multi-target signaling modulation</t>
        </is>
      </c>
      <c r="G340" s="181" t="inlineStr">
        <is>
          <t>general or unknown targets</t>
        </is>
      </c>
      <c r="H340" s="181" t="inlineStr">
        <is>
          <t>Oral; antibacterial and hepatic</t>
        </is>
      </c>
      <c r="I340" s="181" t="inlineStr">
        <is>
          <t>low</t>
        </is>
      </c>
      <c r="J340" s="181" t="inlineStr">
        <is>
          <t>no well-documented interactions</t>
        </is>
      </c>
      <c r="K340" s="181" t="str"/>
      <c r="L340" s="181" t="inlineStr">
        <is>
          <t>compound_level</t>
        </is>
      </c>
      <c r="M340" s="181" t="inlineStr">
        <is>
          <t>https://plants.sc.egov.usda.gov/home/search?query=Coptis%20chinensis | https://plants.sc.egov.usda.gov/home/search?query=Phellodendron%20amurense | https://pubchem.ncbi.nlm.nih.gov/#query=palmatine</t>
        </is>
      </c>
      <c r="N340" s="181" t="inlineStr">
        <is>
          <t>inferred_plus_trusted_gov</t>
        </is>
      </c>
      <c r="O340" s="181" t="inlineStr">
        <is>
          <t>scientific name; PubChem compound page (NIH); USDA Plants database</t>
        </is>
      </c>
      <c r="P340" s="181" t="str"/>
      <c r="Q340" s="181" t="inlineStr">
        <is>
          <t>coptis-chinensis; phellodendron-amurense</t>
        </is>
      </c>
      <c r="R340" s="181" t="n">
        <v>2</v>
      </c>
      <c r="S340" s="181" t="inlineStr">
        <is>
          <t>Yes</t>
        </is>
      </c>
      <c r="T340" s="181" t="inlineStr">
        <is>
          <t>Integrated from cleaned high-signal dataset</t>
        </is>
      </c>
    </row>
    <row r="341">
      <c r="A341" s="181" t="inlineStr">
        <is>
          <t>palustrol</t>
        </is>
      </c>
      <c r="B341" s="181" t="inlineStr">
        <is>
          <t>palustrol</t>
        </is>
      </c>
      <c r="C341" s="181" t="str"/>
      <c r="D341" s="181" t="inlineStr">
        <is>
          <t>essential oils</t>
        </is>
      </c>
      <c r="E341" s="181" t="inlineStr">
        <is>
          <t>insufficient evidence</t>
        </is>
      </c>
      <c r="F341" s="181" t="inlineStr">
        <is>
          <t>multi-target signaling modulation</t>
        </is>
      </c>
      <c r="G341" s="181" t="inlineStr">
        <is>
          <t>general or unknown targets</t>
        </is>
      </c>
      <c r="H341" s="181" t="inlineStr">
        <is>
          <t>Absorption and bioavailability vary; some compounds metabolized via cytochrome P450 enzymes.</t>
        </is>
      </c>
      <c r="I341" s="181" t="inlineStr">
        <is>
          <t>low</t>
        </is>
      </c>
      <c r="J341" s="181" t="inlineStr">
        <is>
          <t>no well-documented interactions</t>
        </is>
      </c>
      <c r="K341" s="181" t="str"/>
      <c r="L341" s="181" t="inlineStr">
        <is>
          <t>compound_level</t>
        </is>
      </c>
      <c r="M341" s="181" t="inlineStr">
        <is>
          <t>https://plants.sc.egov.usda.gov/home/search?query=Rhododendron%20tomentosum | https://pubchem.ncbi.nlm.nih.gov/#query=palustrol</t>
        </is>
      </c>
      <c r="N341" s="181" t="inlineStr">
        <is>
          <t>inferred_plus_trusted_gov</t>
        </is>
      </c>
      <c r="O341" s="181" t="inlineStr">
        <is>
          <t>scientific name; PubChem compound page (NIH); USDA Plants database</t>
        </is>
      </c>
      <c r="P341" s="181" t="str"/>
      <c r="Q341" s="181" t="inlineStr">
        <is>
          <t>rhododendron-tomentosum</t>
        </is>
      </c>
      <c r="R341" s="181" t="n">
        <v>1</v>
      </c>
      <c r="S341" s="181" t="inlineStr">
        <is>
          <t>Yes</t>
        </is>
      </c>
      <c r="T341" s="181" t="inlineStr">
        <is>
          <t>Integrated from cleaned high-signal dataset</t>
        </is>
      </c>
    </row>
    <row r="342">
      <c r="A342" s="181" t="inlineStr">
        <is>
          <t>panduratin a</t>
        </is>
      </c>
      <c r="B342" s="181" t="inlineStr">
        <is>
          <t>panduratin a</t>
        </is>
      </c>
      <c r="C342" s="181" t="str"/>
      <c r="D342" s="181" t="inlineStr">
        <is>
          <t>other</t>
        </is>
      </c>
      <c r="E342" s="181" t="inlineStr">
        <is>
          <t>insufficient evidence</t>
        </is>
      </c>
      <c r="F342" s="181" t="inlineStr">
        <is>
          <t>multi-target signaling modulation</t>
        </is>
      </c>
      <c r="G342" s="181" t="inlineStr">
        <is>
          <t>general or unknown targets</t>
        </is>
      </c>
      <c r="H342" s="181" t="inlineStr">
        <is>
          <t>Absorption and bioavailability vary; some compounds metabolized via cytochrome P450 enzymes.</t>
        </is>
      </c>
      <c r="I342" s="181" t="inlineStr">
        <is>
          <t>low</t>
        </is>
      </c>
      <c r="J342" s="181" t="inlineStr">
        <is>
          <t>no well-documented interactions</t>
        </is>
      </c>
      <c r="K342" s="181" t="str"/>
      <c r="L342" s="181" t="inlineStr">
        <is>
          <t>compound_level</t>
        </is>
      </c>
      <c r="M342" s="181" t="inlineStr">
        <is>
          <t>https://plants.sc.egov.usda.gov/home/search?query=Boesenbergia%20rotunda | https://pubchem.ncbi.nlm.nih.gov/#query=panduratin%20a</t>
        </is>
      </c>
      <c r="N342" s="181" t="inlineStr">
        <is>
          <t>inferred_plus_trusted_gov</t>
        </is>
      </c>
      <c r="O342" s="181" t="inlineStr">
        <is>
          <t>scientific name; PubChem compound page (NIH); USDA Plants database</t>
        </is>
      </c>
      <c r="P342" s="181" t="str"/>
      <c r="Q342" s="181" t="inlineStr">
        <is>
          <t>boesenbergia-rotunda</t>
        </is>
      </c>
      <c r="R342" s="181" t="n">
        <v>1</v>
      </c>
      <c r="S342" s="181" t="inlineStr">
        <is>
          <t>Yes</t>
        </is>
      </c>
      <c r="T342" s="181" t="inlineStr">
        <is>
          <t>Integrated from cleaned high-signal dataset</t>
        </is>
      </c>
    </row>
    <row r="343">
      <c r="A343" s="181" t="inlineStr">
        <is>
          <t>paniculatin</t>
        </is>
      </c>
      <c r="B343" s="181" t="inlineStr">
        <is>
          <t>paniculatin</t>
        </is>
      </c>
      <c r="C343" s="181" t="str"/>
      <c r="D343" s="181" t="inlineStr">
        <is>
          <t>other</t>
        </is>
      </c>
      <c r="E343" s="181" t="inlineStr">
        <is>
          <t>insufficient evidence</t>
        </is>
      </c>
      <c r="F343" s="181" t="inlineStr">
        <is>
          <t>multi-target signaling modulation</t>
        </is>
      </c>
      <c r="G343" s="181" t="inlineStr">
        <is>
          <t>general or unknown targets</t>
        </is>
      </c>
      <c r="H343" s="181" t="inlineStr">
        <is>
          <t>moderate absorption; hepatic metabolism</t>
        </is>
      </c>
      <c r="I343" s="181" t="inlineStr">
        <is>
          <t>low</t>
        </is>
      </c>
      <c r="J343" s="181" t="inlineStr">
        <is>
          <t>no well-documented interactions</t>
        </is>
      </c>
      <c r="K343" s="181" t="str"/>
      <c r="L343" s="181" t="inlineStr">
        <is>
          <t>compound_level</t>
        </is>
      </c>
      <c r="M343" s="181" t="inlineStr">
        <is>
          <t>https://plants.sc.egov.usda.gov/home/search?query=Celastrus%20Paniculatus | https://plants.sc.egov.usda.gov/home/search?query=celastrus%20paniculatus | https://pubchem.ncbi.nlm.nih.gov/#query=paniculatin</t>
        </is>
      </c>
      <c r="N343" s="181" t="inlineStr">
        <is>
          <t>trusted_gov_added</t>
        </is>
      </c>
      <c r="O343" s="181" t="inlineStr">
        <is>
          <t>PubChem compound page (NIH); USDA Plants database</t>
        </is>
      </c>
      <c r="P343" s="181" t="str"/>
      <c r="Q343" s="181" t="inlineStr">
        <is>
          <t>celastrus-paniculatus; celastrus-paniculatus-intellect-tree</t>
        </is>
      </c>
      <c r="R343" s="181" t="n">
        <v>2</v>
      </c>
      <c r="S343" s="181" t="inlineStr">
        <is>
          <t>Yes</t>
        </is>
      </c>
      <c r="T343" s="181" t="inlineStr">
        <is>
          <t>Integrated from cleaned high-signal dataset</t>
        </is>
      </c>
    </row>
    <row r="344">
      <c r="A344" s="181" t="inlineStr">
        <is>
          <t>papain</t>
        </is>
      </c>
      <c r="B344" s="181" t="inlineStr">
        <is>
          <t>papain</t>
        </is>
      </c>
      <c r="C344" s="181" t="str"/>
      <c r="D344" s="181" t="inlineStr">
        <is>
          <t>other</t>
        </is>
      </c>
      <c r="E344" s="181" t="inlineStr">
        <is>
          <t>insufficient evidence</t>
        </is>
      </c>
      <c r="F344" s="181" t="inlineStr">
        <is>
          <t>multi-target signaling modulation</t>
        </is>
      </c>
      <c r="G344" s="181" t="inlineStr">
        <is>
          <t>general or unknown targets</t>
        </is>
      </c>
      <c r="H344" s="181" t="inlineStr">
        <is>
          <t>moderate absorption; hepatic metabolism</t>
        </is>
      </c>
      <c r="I344" s="181" t="inlineStr">
        <is>
          <t>low</t>
        </is>
      </c>
      <c r="J344" s="181" t="inlineStr">
        <is>
          <t>no well-documented interactions</t>
        </is>
      </c>
      <c r="K344" s="181" t="str"/>
      <c r="L344" s="181" t="inlineStr">
        <is>
          <t>compound_level</t>
        </is>
      </c>
      <c r="M344" s="181" t="inlineStr">
        <is>
          <t>https://plants.sc.egov.usda.gov/home/search?query=carica%20papaya | https://pubchem.ncbi.nlm.nih.gov/#query=papain</t>
        </is>
      </c>
      <c r="N344" s="181" t="inlineStr">
        <is>
          <t>trusted_gov_added</t>
        </is>
      </c>
      <c r="O344" s="181" t="inlineStr">
        <is>
          <t>PubChem compound page (NIH); USDA Plants database</t>
        </is>
      </c>
      <c r="P344" s="181" t="str"/>
      <c r="Q344" s="181" t="inlineStr">
        <is>
          <t>carica-papaya</t>
        </is>
      </c>
      <c r="R344" s="181" t="n">
        <v>1</v>
      </c>
      <c r="S344" s="181" t="inlineStr">
        <is>
          <t>Yes</t>
        </is>
      </c>
      <c r="T344" s="181" t="inlineStr">
        <is>
          <t>Integrated from cleaned high-signal dataset</t>
        </is>
      </c>
    </row>
    <row r="345">
      <c r="A345" s="181" t="inlineStr">
        <is>
          <t>pectin</t>
        </is>
      </c>
      <c r="B345" s="181" t="inlineStr">
        <is>
          <t>pectin</t>
        </is>
      </c>
      <c r="C345" s="181" t="str"/>
      <c r="D345" s="181" t="inlineStr">
        <is>
          <t>mucilage polysaccharides; flavonoids</t>
        </is>
      </c>
      <c r="E345" s="181" t="inlineStr">
        <is>
          <t>insufficient evidence</t>
        </is>
      </c>
      <c r="F345" s="181" t="inlineStr">
        <is>
          <t>multi-target signaling modulation</t>
        </is>
      </c>
      <c r="G345" s="181" t="inlineStr">
        <is>
          <t>general or unknown targets</t>
        </is>
      </c>
      <c r="H345" s="181" t="inlineStr">
        <is>
          <t>Absorption and bioavailability vary; some compounds metabolized via cytochrome P450 enzymes.</t>
        </is>
      </c>
      <c r="I345" s="181" t="inlineStr">
        <is>
          <t>low</t>
        </is>
      </c>
      <c r="J345" s="181" t="inlineStr">
        <is>
          <t>no well-documented interactions</t>
        </is>
      </c>
      <c r="K345" s="181" t="str"/>
      <c r="L345" s="181" t="inlineStr">
        <is>
          <t>compound_level</t>
        </is>
      </c>
      <c r="M345" s="181" t="inlineStr">
        <is>
          <t>https://plants.sc.egov.usda.gov/home/search?query=Althaea%20officinalis | https://pubchem.ncbi.nlm.nih.gov/#query=pectin</t>
        </is>
      </c>
      <c r="N345" s="181" t="inlineStr">
        <is>
          <t>inferred_plus_trusted_gov</t>
        </is>
      </c>
      <c r="O345" s="181" t="inlineStr">
        <is>
          <t>scientific name; PubChem compound page (NIH); USDA Plants database</t>
        </is>
      </c>
      <c r="P345" s="181" t="str"/>
      <c r="Q345" s="181" t="inlineStr">
        <is>
          <t>althaea-officinalis</t>
        </is>
      </c>
      <c r="R345" s="181" t="n">
        <v>1</v>
      </c>
      <c r="S345" s="181" t="inlineStr">
        <is>
          <t>Yes</t>
        </is>
      </c>
      <c r="T345" s="181" t="inlineStr">
        <is>
          <t>Integrated from cleaned high-signal dataset</t>
        </is>
      </c>
    </row>
    <row r="346">
      <c r="A346" s="181" t="inlineStr">
        <is>
          <t>pellucidin a</t>
        </is>
      </c>
      <c r="B346" s="181" t="inlineStr">
        <is>
          <t>pellucidin a</t>
        </is>
      </c>
      <c r="C346" s="181" t="str"/>
      <c r="D346" s="181" t="inlineStr">
        <is>
          <t>flavonoids; secolignans</t>
        </is>
      </c>
      <c r="E346" s="181" t="inlineStr">
        <is>
          <t>insufficient evidence</t>
        </is>
      </c>
      <c r="F346" s="181" t="inlineStr">
        <is>
          <t>multi-target signaling modulation</t>
        </is>
      </c>
      <c r="G346" s="181" t="inlineStr">
        <is>
          <t>general or unknown targets</t>
        </is>
      </c>
      <c r="H346" s="181" t="inlineStr">
        <is>
          <t>Absorption and bioavailability vary; some compounds metabolized via cytochrome P450 enzymes.</t>
        </is>
      </c>
      <c r="I346" s="181" t="inlineStr">
        <is>
          <t>low</t>
        </is>
      </c>
      <c r="J346" s="181" t="inlineStr">
        <is>
          <t>no well-documented interactions</t>
        </is>
      </c>
      <c r="K346" s="181" t="str"/>
      <c r="L346" s="181" t="inlineStr">
        <is>
          <t>compound_level</t>
        </is>
      </c>
      <c r="M346" s="181" t="inlineStr">
        <is>
          <t>https://plants.sc.egov.usda.gov/home/search?query=Peperomia%20pellucida | https://pubchem.ncbi.nlm.nih.gov/#query=pellucidin%20a</t>
        </is>
      </c>
      <c r="N346" s="181" t="inlineStr">
        <is>
          <t>inferred_plus_trusted_gov</t>
        </is>
      </c>
      <c r="O346" s="181" t="inlineStr">
        <is>
          <t>scientific name; PubChem compound page (NIH); USDA Plants database</t>
        </is>
      </c>
      <c r="P346" s="181" t="str"/>
      <c r="Q346" s="181" t="inlineStr">
        <is>
          <t>peperomia-pellucida</t>
        </is>
      </c>
      <c r="R346" s="181" t="n">
        <v>1</v>
      </c>
      <c r="S346" s="181" t="inlineStr">
        <is>
          <t>Yes</t>
        </is>
      </c>
      <c r="T346" s="181" t="inlineStr">
        <is>
          <t>Integrated from cleaned high-signal dataset</t>
        </is>
      </c>
    </row>
    <row r="347">
      <c r="A347" s="181" t="inlineStr">
        <is>
          <t>peruvoside</t>
        </is>
      </c>
      <c r="B347" s="181" t="inlineStr">
        <is>
          <t>peruvoside</t>
        </is>
      </c>
      <c r="C347" s="181" t="str"/>
      <c r="D347" s="181" t="inlineStr">
        <is>
          <t>cardiac glycosides</t>
        </is>
      </c>
      <c r="E347" s="181" t="inlineStr">
        <is>
          <t>insufficient evidence</t>
        </is>
      </c>
      <c r="F347" s="181" t="inlineStr">
        <is>
          <t>multi-target signaling modulation</t>
        </is>
      </c>
      <c r="G347" s="181" t="inlineStr">
        <is>
          <t>general or unknown targets</t>
        </is>
      </c>
      <c r="H347" s="181" t="inlineStr">
        <is>
          <t>Absorption and bioavailability vary; some compounds metabolized via cytochrome P450 enzymes.</t>
        </is>
      </c>
      <c r="I347" s="181" t="inlineStr">
        <is>
          <t>low</t>
        </is>
      </c>
      <c r="J347" s="181" t="inlineStr">
        <is>
          <t>no well-documented interactions</t>
        </is>
      </c>
      <c r="K347" s="181" t="str"/>
      <c r="L347" s="181" t="inlineStr">
        <is>
          <t>compound_level</t>
        </is>
      </c>
      <c r="M347" s="181" t="inlineStr">
        <is>
          <t>https://plants.sc.egov.usda.gov/home/search?query=Thevetia%20peruviana | https://pubchem.ncbi.nlm.nih.gov/#query=peruvoside</t>
        </is>
      </c>
      <c r="N347" s="181" t="inlineStr">
        <is>
          <t>inferred_plus_trusted_gov</t>
        </is>
      </c>
      <c r="O347" s="181" t="inlineStr">
        <is>
          <t>scientific name; PubChem compound page (NIH); USDA Plants database</t>
        </is>
      </c>
      <c r="P347" s="181" t="str"/>
      <c r="Q347" s="181" t="inlineStr">
        <is>
          <t>thevetia-peruviana</t>
        </is>
      </c>
      <c r="R347" s="181" t="n">
        <v>1</v>
      </c>
      <c r="S347" s="181" t="inlineStr">
        <is>
          <t>Yes</t>
        </is>
      </c>
      <c r="T347" s="181" t="inlineStr">
        <is>
          <t>Integrated from cleaned high-signal dataset</t>
        </is>
      </c>
    </row>
    <row r="348">
      <c r="A348" s="181" t="inlineStr">
        <is>
          <t>phosphatidylserine</t>
        </is>
      </c>
      <c r="B348" s="181" t="inlineStr">
        <is>
          <t>phosphatidylserine</t>
        </is>
      </c>
      <c r="C348" s="181" t="str"/>
      <c r="D348" s="181" t="inlineStr">
        <is>
          <t>phospholipid</t>
        </is>
      </c>
      <c r="E348" s="181" t="inlineStr">
        <is>
          <t>Membrane phospholipid involved in neuronal membrane structure, signaling, and apoptosis-related membrane dynamics; supplemental use is usually framed around membrane support and stress-response modulation rather than a single receptor target.</t>
        </is>
      </c>
      <c r="F348" s="181" t="str"/>
      <c r="G348" s="181" t="inlineStr">
        <is>
          <t>Cell-membrane phospholipid signaling; apoptotic membrane signaling; cortisol/stress-response modulation</t>
        </is>
      </c>
      <c r="H348" s="181" t="inlineStr">
        <is>
          <t>Dietary/supplement phosphatidylserine is absorbed as lipid digestion products and reincorporated into phospholipid pools; concise single-molecule PK claims remain limited.</t>
        </is>
      </c>
      <c r="I348" s="181" t="inlineStr">
        <is>
          <t>Generally well tolerated in supplement studies; insomnia or GI upset can occur. Avoid exaggerated anticoagulant claims because evidence is limited.</t>
        </is>
      </c>
      <c r="J348" s="181" t="inlineStr">
        <is>
          <t>Anticoagulants/antiplatelets (theoretical additive bleeding-risk caution, stronger at product level than molecule-specific level); cholinergic agents (no strong direct interaction retained).</t>
        </is>
      </c>
      <c r="K348" s="181" t="inlineStr">
        <is>
          <t>Moderate</t>
        </is>
      </c>
      <c r="L348" s="181" t="inlineStr">
        <is>
          <t>mixed</t>
        </is>
      </c>
      <c r="M348" s="181" t="inlineStr">
        <is>
          <t>https://pubchem.ncbi.nlm.nih.gov/compound/Phosphatidylserine | https://pubmed.ncbi.nlm.nih.gov/11842879/ | https://pubmed.ncbi.nlm.nih.gov/25933483/</t>
        </is>
      </c>
      <c r="N348" s="181" t="str"/>
      <c r="O348" s="181" t="str"/>
      <c r="P348" s="181" t="inlineStr">
        <is>
          <t>Batch12_cholinergic_cognition_2026-04-07</t>
        </is>
      </c>
      <c r="Q348" s="181" t="str"/>
      <c r="R348" s="181" t="n">
        <v>0</v>
      </c>
      <c r="S348" s="181" t="inlineStr">
        <is>
          <t>No</t>
        </is>
      </c>
      <c r="T348" s="181" t="inlineStr">
        <is>
          <t>Integrated from compound monograph workbook</t>
        </is>
      </c>
    </row>
    <row r="349">
      <c r="A349" s="181" t="inlineStr">
        <is>
          <t>picrocrocin</t>
        </is>
      </c>
      <c r="B349" s="181" t="inlineStr">
        <is>
          <t>picrocrocin</t>
        </is>
      </c>
      <c r="C349" s="181" t="str"/>
      <c r="D349" s="181" t="inlineStr">
        <is>
          <t>other</t>
        </is>
      </c>
      <c r="E349" s="181" t="inlineStr">
        <is>
          <t>insufficient evidence</t>
        </is>
      </c>
      <c r="F349" s="181" t="inlineStr">
        <is>
          <t>multi-target signaling modulation</t>
        </is>
      </c>
      <c r="G349" s="181" t="inlineStr">
        <is>
          <t>general or unknown targets</t>
        </is>
      </c>
      <c r="H349" s="181" t="inlineStr">
        <is>
          <t>moderate absorption; hepatic metabolism</t>
        </is>
      </c>
      <c r="I349" s="181" t="inlineStr">
        <is>
          <t>low</t>
        </is>
      </c>
      <c r="J349" s="181" t="inlineStr">
        <is>
          <t>no well-documented interactions</t>
        </is>
      </c>
      <c r="K349" s="181" t="str"/>
      <c r="L349" s="181" t="inlineStr">
        <is>
          <t>compound_level</t>
        </is>
      </c>
      <c r="M349" s="181" t="inlineStr">
        <is>
          <t>https://plants.sc.egov.usda.gov/home/search?query=crocus%20sativus | https://pubchem.ncbi.nlm.nih.gov/#query=picrocrocin</t>
        </is>
      </c>
      <c r="N349" s="181" t="inlineStr">
        <is>
          <t>trusted_gov_added</t>
        </is>
      </c>
      <c r="O349" s="181" t="inlineStr">
        <is>
          <t>PubChem compound page (NIH); USDA Plants database</t>
        </is>
      </c>
      <c r="P349" s="181" t="str"/>
      <c r="Q349" s="181" t="inlineStr">
        <is>
          <t>crocus-sativus</t>
        </is>
      </c>
      <c r="R349" s="181" t="n">
        <v>1</v>
      </c>
      <c r="S349" s="181" t="inlineStr">
        <is>
          <t>Yes</t>
        </is>
      </c>
      <c r="T349" s="181" t="inlineStr">
        <is>
          <t>Integrated from cleaned high-signal dataset</t>
        </is>
      </c>
    </row>
    <row r="350">
      <c r="A350" s="181" t="inlineStr">
        <is>
          <t>pinene</t>
        </is>
      </c>
      <c r="B350" s="181" t="inlineStr">
        <is>
          <t>pinene)</t>
        </is>
      </c>
      <c r="C350" s="181" t="str"/>
      <c r="D350" s="181" t="inlineStr">
        <is>
          <t>terpenes (myrcene</t>
        </is>
      </c>
      <c r="E350" s="181" t="inlineStr">
        <is>
          <t>THC acts at CB1 receptors; terpenes may modulate neurotransmitter systems and pharmacokinetics.</t>
        </is>
      </c>
      <c r="F350" s="181" t="inlineStr">
        <is>
          <t>multi-target signaling modulation</t>
        </is>
      </c>
      <c r="G350" s="181" t="inlineStr">
        <is>
          <t>endocannabinoid_modulation</t>
        </is>
      </c>
      <c r="H350" s="181" t="inlineStr">
        <is>
          <t>lipophilic; rapid absorption; tissue distribution</t>
        </is>
      </c>
      <c r="I350" s="181" t="inlineStr">
        <is>
          <t>low</t>
        </is>
      </c>
      <c r="J350" s="181" t="inlineStr">
        <is>
          <t>no well-documented interactions</t>
        </is>
      </c>
      <c r="K350" s="181" t="str"/>
      <c r="L350" s="181" t="inlineStr">
        <is>
          <t>compound_level</t>
        </is>
      </c>
      <c r="M350" s="181" t="inlineStr">
        <is>
          <t>https://plants.sc.egov.usda.gov/home/search?query=cannabis%20sativa | https://pubchem.ncbi.nlm.nih.gov/#query=pinene%29</t>
        </is>
      </c>
      <c r="N350" s="181" t="inlineStr">
        <is>
          <t>trusted_gov_added</t>
        </is>
      </c>
      <c r="O350" s="181" t="inlineStr">
        <is>
          <t>PubChem compound page (NIH); USDA Plants database</t>
        </is>
      </c>
      <c r="P350" s="181" t="str"/>
      <c r="Q350" s="181" t="inlineStr">
        <is>
          <t>cannabis-sativa</t>
        </is>
      </c>
      <c r="R350" s="181" t="n">
        <v>1</v>
      </c>
      <c r="S350" s="181" t="inlineStr">
        <is>
          <t>Yes</t>
        </is>
      </c>
      <c r="T350" s="181" t="inlineStr">
        <is>
          <t>Integrated from cleaned high-signal dataset</t>
        </is>
      </c>
    </row>
    <row r="351">
      <c r="A351" s="181" t="inlineStr">
        <is>
          <t>pinocembrin</t>
        </is>
      </c>
      <c r="B351" s="181" t="inlineStr">
        <is>
          <t>pinocembrin</t>
        </is>
      </c>
      <c r="C351" s="181" t="str"/>
      <c r="D351" s="181" t="inlineStr">
        <is>
          <t>other</t>
        </is>
      </c>
      <c r="E351" s="181" t="inlineStr">
        <is>
          <t>insufficient evidence</t>
        </is>
      </c>
      <c r="F351" s="181" t="inlineStr">
        <is>
          <t>multi-target signaling modulation</t>
        </is>
      </c>
      <c r="G351" s="181" t="inlineStr">
        <is>
          <t>general or unknown targets</t>
        </is>
      </c>
      <c r="H351" s="181" t="inlineStr">
        <is>
          <t>Absorption and bioavailability vary; some compounds metabolized via cytochrome P450 enzymes.</t>
        </is>
      </c>
      <c r="I351" s="181" t="inlineStr">
        <is>
          <t>low</t>
        </is>
      </c>
      <c r="J351" s="181" t="inlineStr">
        <is>
          <t>no well-documented interactions</t>
        </is>
      </c>
      <c r="K351" s="181" t="str"/>
      <c r="L351" s="181" t="inlineStr">
        <is>
          <t>compound_level</t>
        </is>
      </c>
      <c r="M351" s="181" t="inlineStr">
        <is>
          <t>https://plants.sc.egov.usda.gov/home/search?query=Boesenbergia%20rotunda | https://pubchem.ncbi.nlm.nih.gov/#query=pinocembrin</t>
        </is>
      </c>
      <c r="N351" s="181" t="inlineStr">
        <is>
          <t>inferred_plus_trusted_gov</t>
        </is>
      </c>
      <c r="O351" s="181" t="inlineStr">
        <is>
          <t>scientific name; PubChem compound page (NIH); USDA Plants database</t>
        </is>
      </c>
      <c r="P351" s="181" t="str"/>
      <c r="Q351" s="181" t="inlineStr">
        <is>
          <t>boesenbergia-rotunda</t>
        </is>
      </c>
      <c r="R351" s="181" t="n">
        <v>1</v>
      </c>
      <c r="S351" s="181" t="inlineStr">
        <is>
          <t>Yes</t>
        </is>
      </c>
      <c r="T351" s="181" t="inlineStr">
        <is>
          <t>Integrated from cleaned high-signal dataset</t>
        </is>
      </c>
    </row>
    <row r="352">
      <c r="A352" s="181" t="inlineStr">
        <is>
          <t>pinostrobin</t>
        </is>
      </c>
      <c r="B352" s="181" t="inlineStr">
        <is>
          <t>pinostrobin</t>
        </is>
      </c>
      <c r="C352" s="181" t="str"/>
      <c r="D352" s="181" t="inlineStr">
        <is>
          <t>other</t>
        </is>
      </c>
      <c r="E352" s="181" t="inlineStr">
        <is>
          <t>insufficient evidence</t>
        </is>
      </c>
      <c r="F352" s="181" t="inlineStr">
        <is>
          <t>multi-target signaling modulation</t>
        </is>
      </c>
      <c r="G352" s="181" t="inlineStr">
        <is>
          <t>general or unknown targets</t>
        </is>
      </c>
      <c r="H352" s="181" t="inlineStr">
        <is>
          <t>Absorption and bioavailability vary; some compounds metabolized via cytochrome P450 enzymes.</t>
        </is>
      </c>
      <c r="I352" s="181" t="inlineStr">
        <is>
          <t>low</t>
        </is>
      </c>
      <c r="J352" s="181" t="inlineStr">
        <is>
          <t>no well-documented interactions</t>
        </is>
      </c>
      <c r="K352" s="181" t="str"/>
      <c r="L352" s="181" t="inlineStr">
        <is>
          <t>compound_level</t>
        </is>
      </c>
      <c r="M352" s="181" t="inlineStr">
        <is>
          <t>https://plants.sc.egov.usda.gov/home/search?query=Boesenbergia%20rotunda | https://pubchem.ncbi.nlm.nih.gov/#query=pinostrobin</t>
        </is>
      </c>
      <c r="N352" s="181" t="inlineStr">
        <is>
          <t>inferred_plus_trusted_gov</t>
        </is>
      </c>
      <c r="O352" s="181" t="inlineStr">
        <is>
          <t>scientific name; PubChem compound page (NIH); USDA Plants database</t>
        </is>
      </c>
      <c r="P352" s="181" t="str"/>
      <c r="Q352" s="181" t="inlineStr">
        <is>
          <t>boesenbergia-rotunda</t>
        </is>
      </c>
      <c r="R352" s="181" t="n">
        <v>1</v>
      </c>
      <c r="S352" s="181" t="inlineStr">
        <is>
          <t>Yes</t>
        </is>
      </c>
      <c r="T352" s="181" t="inlineStr">
        <is>
          <t>Integrated from cleaned high-signal dataset</t>
        </is>
      </c>
    </row>
    <row r="353">
      <c r="A353" s="181" t="inlineStr">
        <is>
          <t>piperine</t>
        </is>
      </c>
      <c r="B353" s="181" t="inlineStr">
        <is>
          <t>piperine</t>
        </is>
      </c>
      <c r="C353" s="181" t="str"/>
      <c r="D353" s="181" t="inlineStr">
        <is>
          <t>alkaloid</t>
        </is>
      </c>
      <c r="E353" s="181" t="inlineStr">
        <is>
          <t>Inhibits drug metabolism enzymes and enhances bioavailability</t>
        </is>
      </c>
      <c r="F353" s="181" t="str"/>
      <c r="G353" s="181" t="inlineStr">
        <is>
          <t>CYP3A4 inhibition; P-gp inhibition</t>
        </is>
      </c>
      <c r="H353" s="181" t="str"/>
      <c r="I353" s="181" t="str"/>
      <c r="J353" s="181" t="inlineStr">
        <is>
          <t>Multiple drugs (↑ exposure)</t>
        </is>
      </c>
      <c r="K353" s="181" t="str"/>
      <c r="L353" s="181" t="inlineStr">
        <is>
          <t>Batch9</t>
        </is>
      </c>
      <c r="M353" s="181" t="str"/>
      <c r="N353" s="181" t="str"/>
      <c r="O353" s="181" t="str"/>
      <c r="P353" s="181" t="inlineStr">
        <is>
          <t>master_monographs_v3.xlsx</t>
        </is>
      </c>
      <c r="Q353" s="181" t="str"/>
      <c r="R353" s="181" t="n">
        <v>0</v>
      </c>
      <c r="S353" s="181" t="inlineStr">
        <is>
          <t>No</t>
        </is>
      </c>
      <c r="T353" s="181" t="inlineStr">
        <is>
          <t>Integrated from compound monograph workbook</t>
        </is>
      </c>
    </row>
    <row r="354">
      <c r="A354" s="181" t="inlineStr">
        <is>
          <t>podophyllotoxin</t>
        </is>
      </c>
      <c r="B354" s="181" t="inlineStr">
        <is>
          <t>podophyllotoxin</t>
        </is>
      </c>
      <c r="C354" s="181" t="str"/>
      <c r="D354" s="181" t="inlineStr">
        <is>
          <t>lignans</t>
        </is>
      </c>
      <c r="E354" s="181" t="inlineStr">
        <is>
          <t>insufficient evidence</t>
        </is>
      </c>
      <c r="F354" s="181" t="inlineStr">
        <is>
          <t>multi-target signaling modulation</t>
        </is>
      </c>
      <c r="G354" s="181" t="inlineStr">
        <is>
          <t>general or unknown targets</t>
        </is>
      </c>
      <c r="H354" s="181" t="inlineStr">
        <is>
          <t>Absorption and bioavailability vary; some compounds metabolized via cytochrome P450 enzymes.</t>
        </is>
      </c>
      <c r="I354" s="181" t="inlineStr">
        <is>
          <t>low</t>
        </is>
      </c>
      <c r="J354" s="181" t="inlineStr">
        <is>
          <t>no well-documented interactions</t>
        </is>
      </c>
      <c r="K354" s="181" t="str"/>
      <c r="L354" s="181" t="inlineStr">
        <is>
          <t>compound_level</t>
        </is>
      </c>
      <c r="M354" s="181" t="inlineStr">
        <is>
          <t>https://plants.sc.egov.usda.gov/home/search?query=Podophyllum%20peltatum | https://pubchem.ncbi.nlm.nih.gov/#query=podophyllotoxin</t>
        </is>
      </c>
      <c r="N354" s="181" t="inlineStr">
        <is>
          <t>inferred_plus_trusted_gov</t>
        </is>
      </c>
      <c r="O354" s="181" t="inlineStr">
        <is>
          <t>scientific name; PubChem compound page (NIH); USDA Plants database</t>
        </is>
      </c>
      <c r="P354" s="181" t="str"/>
      <c r="Q354" s="181" t="inlineStr">
        <is>
          <t>podophyllum-peltatum</t>
        </is>
      </c>
      <c r="R354" s="181" t="n">
        <v>1</v>
      </c>
      <c r="S354" s="181" t="inlineStr">
        <is>
          <t>Yes</t>
        </is>
      </c>
      <c r="T354" s="181" t="inlineStr">
        <is>
          <t>Integrated from cleaned high-signal dataset</t>
        </is>
      </c>
    </row>
    <row r="355">
      <c r="A355" s="181" t="inlineStr">
        <is>
          <t>polygodial</t>
        </is>
      </c>
      <c r="B355" s="181" t="inlineStr">
        <is>
          <t>polygodial</t>
        </is>
      </c>
      <c r="C355" s="181" t="str"/>
      <c r="D355" s="181" t="inlineStr">
        <is>
          <t>Polygodial, flavonoids</t>
        </is>
      </c>
      <c r="E355" s="181" t="inlineStr">
        <is>
          <t>insufficient evidence</t>
        </is>
      </c>
      <c r="F355" s="181" t="inlineStr">
        <is>
          <t>multi-target signaling modulation</t>
        </is>
      </c>
      <c r="G355" s="181" t="inlineStr">
        <is>
          <t>general or unknown targets</t>
        </is>
      </c>
      <c r="H355" s="181" t="inlineStr">
        <is>
          <t>Oral; membrane disruption in microbes</t>
        </is>
      </c>
      <c r="I355" s="181" t="inlineStr">
        <is>
          <t>low</t>
        </is>
      </c>
      <c r="J355" s="181" t="inlineStr">
        <is>
          <t>no well-documented interactions</t>
        </is>
      </c>
      <c r="K355" s="181" t="str"/>
      <c r="L355" s="181" t="inlineStr">
        <is>
          <t>compound_level</t>
        </is>
      </c>
      <c r="M355" s="181" t="inlineStr">
        <is>
          <t>https://plants.sc.egov.usda.gov/home/search?query=Tasmannia%20lanceolata | https://pubchem.ncbi.nlm.nih.gov/#query=polygodial</t>
        </is>
      </c>
      <c r="N355" s="181" t="inlineStr">
        <is>
          <t>inferred_plus_trusted_gov</t>
        </is>
      </c>
      <c r="O355" s="181" t="inlineStr">
        <is>
          <t>scientific name; PubChem compound page (NIH); USDA Plants database</t>
        </is>
      </c>
      <c r="P355" s="181" t="str"/>
      <c r="Q355" s="181" t="inlineStr">
        <is>
          <t>tasmannia-lanceolata</t>
        </is>
      </c>
      <c r="R355" s="181" t="n">
        <v>1</v>
      </c>
      <c r="S355" s="181" t="inlineStr">
        <is>
          <t>Yes</t>
        </is>
      </c>
      <c r="T355" s="181" t="inlineStr">
        <is>
          <t>Integrated from cleaned high-signal dataset</t>
        </is>
      </c>
    </row>
    <row r="356">
      <c r="A356" s="181" t="inlineStr">
        <is>
          <t>polypeptide-p</t>
        </is>
      </c>
      <c r="B356" s="181" t="inlineStr">
        <is>
          <t>polypeptide-p</t>
        </is>
      </c>
      <c r="C356" s="181" t="str"/>
      <c r="D356" s="181" t="inlineStr">
        <is>
          <t>other</t>
        </is>
      </c>
      <c r="E356" s="181" t="inlineStr">
        <is>
          <t>insufficient evidence</t>
        </is>
      </c>
      <c r="F356" s="181" t="inlineStr">
        <is>
          <t>multi-target signaling modulation</t>
        </is>
      </c>
      <c r="G356" s="181" t="inlineStr">
        <is>
          <t>general or unknown targets</t>
        </is>
      </c>
      <c r="H356" s="181" t="inlineStr">
        <is>
          <t>Oral; insulin mimetic and antidiabetic</t>
        </is>
      </c>
      <c r="I356" s="181" t="inlineStr">
        <is>
          <t>low</t>
        </is>
      </c>
      <c r="J356" s="181" t="inlineStr">
        <is>
          <t>no well-documented interactions</t>
        </is>
      </c>
      <c r="K356" s="181" t="str"/>
      <c r="L356" s="181" t="inlineStr">
        <is>
          <t>compound_level</t>
        </is>
      </c>
      <c r="M356" s="181" t="inlineStr">
        <is>
          <t>https://plants.sc.egov.usda.gov/home/search?query=Momordica%20charantia | https://pubchem.ncbi.nlm.nih.gov/#query=polypeptide-p</t>
        </is>
      </c>
      <c r="N356" s="181" t="inlineStr">
        <is>
          <t>inferred_plus_trusted_gov</t>
        </is>
      </c>
      <c r="O356" s="181" t="inlineStr">
        <is>
          <t>scientific name; PubChem compound page (NIH); USDA Plants database</t>
        </is>
      </c>
      <c r="P356" s="181" t="str"/>
      <c r="Q356" s="181" t="inlineStr">
        <is>
          <t>momordica-charantia</t>
        </is>
      </c>
      <c r="R356" s="181" t="n">
        <v>1</v>
      </c>
      <c r="S356" s="181" t="inlineStr">
        <is>
          <t>Yes</t>
        </is>
      </c>
      <c r="T356" s="181" t="inlineStr">
        <is>
          <t>Integrated from cleaned high-signal dataset</t>
        </is>
      </c>
    </row>
    <row r="357">
      <c r="A357" s="181" t="inlineStr">
        <is>
          <t>pristimerin</t>
        </is>
      </c>
      <c r="B357" s="181" t="inlineStr">
        <is>
          <t>pristimerin</t>
        </is>
      </c>
      <c r="C357" s="181" t="str"/>
      <c r="D357" s="181" t="inlineStr">
        <is>
          <t>other</t>
        </is>
      </c>
      <c r="E357" s="181" t="inlineStr">
        <is>
          <t>insufficient evidence</t>
        </is>
      </c>
      <c r="F357" s="181" t="inlineStr">
        <is>
          <t>multi-target signaling modulation</t>
        </is>
      </c>
      <c r="G357" s="181" t="inlineStr">
        <is>
          <t>general or unknown targets</t>
        </is>
      </c>
      <c r="H357" s="181" t="inlineStr">
        <is>
          <t>moderate absorption; hepatic metabolism</t>
        </is>
      </c>
      <c r="I357" s="181" t="inlineStr">
        <is>
          <t>low</t>
        </is>
      </c>
      <c r="J357" s="181" t="inlineStr">
        <is>
          <t>no well-documented interactions</t>
        </is>
      </c>
      <c r="K357" s="181" t="str"/>
      <c r="L357" s="181" t="inlineStr">
        <is>
          <t>compound_level</t>
        </is>
      </c>
      <c r="M357" s="181" t="inlineStr">
        <is>
          <t>https://plants.sc.egov.usda.gov/home/search?query=Celastrus%20Paniculatus | https://plants.sc.egov.usda.gov/home/search?query=celastrus%20paniculatus | https://pubchem.ncbi.nlm.nih.gov/#query=pristimerin</t>
        </is>
      </c>
      <c r="N357" s="181" t="inlineStr">
        <is>
          <t>trusted_gov_added</t>
        </is>
      </c>
      <c r="O357" s="181" t="inlineStr">
        <is>
          <t>PubChem compound page (NIH); USDA Plants database</t>
        </is>
      </c>
      <c r="P357" s="181" t="str"/>
      <c r="Q357" s="181" t="inlineStr">
        <is>
          <t>celastrus-paniculatus; celastrus-paniculatus-intellect-tree</t>
        </is>
      </c>
      <c r="R357" s="181" t="n">
        <v>2</v>
      </c>
      <c r="S357" s="181" t="inlineStr">
        <is>
          <t>Yes</t>
        </is>
      </c>
      <c r="T357" s="181" t="inlineStr">
        <is>
          <t>Integrated from cleaned high-signal dataset</t>
        </is>
      </c>
    </row>
    <row r="358">
      <c r="A358" s="181" t="inlineStr">
        <is>
          <t>probiotics</t>
        </is>
      </c>
      <c r="B358" s="181" t="inlineStr">
        <is>
          <t>probiotics</t>
        </is>
      </c>
      <c r="C358" s="181" t="str"/>
      <c r="D358" s="181" t="inlineStr">
        <is>
          <t>live biotherapeutic / microbiome-active category</t>
        </is>
      </c>
      <c r="E358" s="181" t="inlineStr">
        <is>
          <t>Strain-specific effects that can include colonization resistance, gut barrier support, immune modulation, and altered short-chain fatty acid production.</t>
        </is>
      </c>
      <c r="F358" s="181" t="str"/>
      <c r="G358" s="181" t="inlineStr">
        <is>
          <t>Gut barrier integrity; colonization resistance; immune modulation; short-chain fatty acid production</t>
        </is>
      </c>
      <c r="H358" s="181" t="inlineStr">
        <is>
          <t>Not meaningful as a single-compound PK field; viability, strain, dose, and delivery format are more relevant than classical absorption metrics.</t>
        </is>
      </c>
      <c r="I358" s="181" t="inlineStr">
        <is>
          <t>Generally safe in healthy people, but rare bloodstream infection/sepsis has occurred in high-risk or severely immunocompromised patients.</t>
        </is>
      </c>
      <c r="J358" s="181" t="inlineStr">
        <is>
          <t>Systemic antibiotics (timing can reduce viability); immunosuppressive states or central-line settings increase rare infection risk rather than classic DDI risk.</t>
        </is>
      </c>
      <c r="K358" s="181" t="inlineStr">
        <is>
          <t>moderate</t>
        </is>
      </c>
      <c r="L358" s="181" t="inlineStr">
        <is>
          <t>Sprint5</t>
        </is>
      </c>
      <c r="M358" s="181" t="inlineStr">
        <is>
          <t>https://pmc.ncbi.nlm.nih.gov/articles/PMC10470842/ | https://pmc.ncbi.nlm.nih.gov/articles/PMC7230973/ | https://www.nccih.nih.gov/health/probiotics-usefulness-and-safety</t>
        </is>
      </c>
      <c r="N358" s="181" t="str"/>
      <c r="O358" s="181" t="str"/>
      <c r="P358" s="181" t="inlineStr">
        <is>
          <t>precision_monographs_sprint5.xlsx</t>
        </is>
      </c>
      <c r="Q358" s="181" t="str"/>
      <c r="R358" s="181" t="n">
        <v>0</v>
      </c>
      <c r="S358" s="181" t="inlineStr">
        <is>
          <t>No</t>
        </is>
      </c>
      <c r="T358" s="181" t="inlineStr">
        <is>
          <t>Integrated from compound monograph workbook</t>
        </is>
      </c>
    </row>
    <row r="359">
      <c r="A359" s="181" t="inlineStr">
        <is>
          <t>protoanemonin</t>
        </is>
      </c>
      <c r="B359" s="181" t="inlineStr">
        <is>
          <t>protoanemonin</t>
        </is>
      </c>
      <c r="C359" s="181" t="str"/>
      <c r="D359" s="181" t="inlineStr">
        <is>
          <t>Protoanemonin, flavonoids, triterpenes</t>
        </is>
      </c>
      <c r="E359" s="181" t="inlineStr">
        <is>
          <t>insufficient evidence</t>
        </is>
      </c>
      <c r="F359" s="181" t="inlineStr">
        <is>
          <t>multi-target signaling modulation</t>
        </is>
      </c>
      <c r="G359" s="181" t="inlineStr">
        <is>
          <t>general or unknown targets</t>
        </is>
      </c>
      <c r="H359" s="181" t="inlineStr">
        <is>
          <t>Topical (low dose); rheumatic applications</t>
        </is>
      </c>
      <c r="I359" s="181" t="inlineStr">
        <is>
          <t>low</t>
        </is>
      </c>
      <c r="J359" s="181" t="inlineStr">
        <is>
          <t>no well-documented interactions</t>
        </is>
      </c>
      <c r="K359" s="181" t="str"/>
      <c r="L359" s="181" t="inlineStr">
        <is>
          <t>compound_level</t>
        </is>
      </c>
      <c r="M359" s="181" t="inlineStr">
        <is>
          <t>https://plants.sc.egov.usda.gov/home/search?query=Clematis%20vitalba | https://pubchem.ncbi.nlm.nih.gov/#query=protoanemonin</t>
        </is>
      </c>
      <c r="N359" s="181" t="inlineStr">
        <is>
          <t>inferred_plus_trusted_gov</t>
        </is>
      </c>
      <c r="O359" s="181" t="inlineStr">
        <is>
          <t>scientific name; PubChem compound page (NIH); USDA Plants database</t>
        </is>
      </c>
      <c r="P359" s="181" t="str"/>
      <c r="Q359" s="181" t="inlineStr">
        <is>
          <t>clematis-vitalba</t>
        </is>
      </c>
      <c r="R359" s="181" t="n">
        <v>1</v>
      </c>
      <c r="S359" s="181" t="inlineStr">
        <is>
          <t>Yes</t>
        </is>
      </c>
      <c r="T359" s="181" t="inlineStr">
        <is>
          <t>Integrated from cleaned high-signal dataset</t>
        </is>
      </c>
    </row>
    <row r="360">
      <c r="A360" s="181" t="inlineStr">
        <is>
          <t>protopine</t>
        </is>
      </c>
      <c r="B360" s="181" t="inlineStr">
        <is>
          <t>protopine</t>
        </is>
      </c>
      <c r="C360" s="181" t="str"/>
      <c r="D360" s="181" t="inlineStr">
        <is>
          <t>other</t>
        </is>
      </c>
      <c r="E360" s="181" t="inlineStr">
        <is>
          <t>insufficient evidence</t>
        </is>
      </c>
      <c r="F360" s="181" t="inlineStr">
        <is>
          <t>multi-target signaling modulation</t>
        </is>
      </c>
      <c r="G360" s="181" t="inlineStr">
        <is>
          <t>general or unknown targets</t>
        </is>
      </c>
      <c r="H360" s="181" t="inlineStr">
        <is>
          <t>Absorption and bioavailability vary; some compounds metabolized via cytochrome P450 enzymes.</t>
        </is>
      </c>
      <c r="I360" s="181" t="inlineStr">
        <is>
          <t>low</t>
        </is>
      </c>
      <c r="J360" s="181" t="inlineStr">
        <is>
          <t>no well-documented interactions</t>
        </is>
      </c>
      <c r="K360" s="181" t="str"/>
      <c r="L360" s="181" t="inlineStr">
        <is>
          <t>compound_level</t>
        </is>
      </c>
      <c r="M360" s="181" t="inlineStr">
        <is>
          <t>https://plants.sc.egov.usda.gov/home/search?query=Corydalis%20cava | https://pubchem.ncbi.nlm.nih.gov/#query=protopine</t>
        </is>
      </c>
      <c r="N360" s="181" t="inlineStr">
        <is>
          <t>inferred_plus_trusted_gov</t>
        </is>
      </c>
      <c r="O360" s="181" t="inlineStr">
        <is>
          <t>scientific name; PubChem compound page (NIH); USDA Plants database</t>
        </is>
      </c>
      <c r="P360" s="181" t="str"/>
      <c r="Q360" s="181" t="inlineStr">
        <is>
          <t>corydalis-cava</t>
        </is>
      </c>
      <c r="R360" s="181" t="n">
        <v>1</v>
      </c>
      <c r="S360" s="181" t="inlineStr">
        <is>
          <t>Yes</t>
        </is>
      </c>
      <c r="T360" s="181" t="inlineStr">
        <is>
          <t>Integrated from cleaned high-signal dataset</t>
        </is>
      </c>
    </row>
    <row r="361">
      <c r="A361" s="181" t="inlineStr">
        <is>
          <t>pseudoephedrine</t>
        </is>
      </c>
      <c r="B361" s="181" t="inlineStr">
        <is>
          <t>pseudoephedrine</t>
        </is>
      </c>
      <c r="C361" s="181" t="str"/>
      <c r="D361" s="181" t="inlineStr">
        <is>
          <t>other</t>
        </is>
      </c>
      <c r="E361" s="181" t="inlineStr">
        <is>
          <t>Ephedrine alkaloids act as mixed sympathomimetics, directly stimulating alpha- and beta-adrenergic receptors and indirectly increasing synaptic norepinephrine.</t>
        </is>
      </c>
      <c r="F361" s="181" t="inlineStr">
        <is>
          <t>multi-target signaling modulation</t>
        </is>
      </c>
      <c r="G361" s="181" t="inlineStr">
        <is>
          <t>dopaminergic_modulation; general or unknown targets</t>
        </is>
      </c>
      <c r="H361" s="181" t="inlineStr">
        <is>
          <t>Oral; onset ~30 min; duration 4–6 hours.</t>
        </is>
      </c>
      <c r="I361" s="181" t="inlineStr">
        <is>
          <t>low</t>
        </is>
      </c>
      <c r="J361" s="181" t="inlineStr">
        <is>
          <t>stimulants, beta-blockers, maois.</t>
        </is>
      </c>
      <c r="K361" s="181" t="str"/>
      <c r="L361" s="181" t="inlineStr">
        <is>
          <t>compound_level</t>
        </is>
      </c>
      <c r="M361" s="181" t="inlineStr">
        <is>
          <t>https://plants.sc.egov.usda.gov/home/search?query=Ephedra%20sinica | https://plants.sc.egov.usda.gov/home/search?query=ephedra%20sinica | https://pubchem.ncbi.nlm.nih.gov/#query=pseudoephedrine</t>
        </is>
      </c>
      <c r="N361" s="181" t="inlineStr">
        <is>
          <t>inferred_plus_trusted_gov; trusted_gov_added</t>
        </is>
      </c>
      <c r="O361" s="181" t="inlineStr">
        <is>
          <t>PubChem compound page (NIH); USDA Plants database; scientific name; PubChem compound page (NIH); USDA Plants database</t>
        </is>
      </c>
      <c r="P361" s="181" t="str"/>
      <c r="Q361" s="181" t="inlineStr">
        <is>
          <t>ephedra; ephedra-sinica</t>
        </is>
      </c>
      <c r="R361" s="181" t="n">
        <v>2</v>
      </c>
      <c r="S361" s="181" t="inlineStr">
        <is>
          <t>Yes</t>
        </is>
      </c>
      <c r="T361" s="181" t="inlineStr">
        <is>
          <t>Integrated from cleaned high-signal dataset</t>
        </is>
      </c>
    </row>
    <row r="362">
      <c r="A362" s="181" t="inlineStr">
        <is>
          <t>psilocin</t>
        </is>
      </c>
      <c r="B362" s="181" t="inlineStr">
        <is>
          <t>psilocin</t>
        </is>
      </c>
      <c r="C362" s="181" t="str"/>
      <c r="D362" s="181" t="inlineStr">
        <is>
          <t>other</t>
        </is>
      </c>
      <c r="E362" s="181" t="inlineStr">
        <is>
          <t>insufficient evidence</t>
        </is>
      </c>
      <c r="F362" s="181" t="inlineStr">
        <is>
          <t>serotonin receptor interaction</t>
        </is>
      </c>
      <c r="G362" s="181" t="inlineStr">
        <is>
          <t>serotonergic_5HT2A_agonism</t>
        </is>
      </c>
      <c r="H362" s="181" t="inlineStr">
        <is>
          <t>Absorption and bioavailability vary; some compounds metabolized via cytochrome P450 enzymes.</t>
        </is>
      </c>
      <c r="I362" s="181" t="inlineStr">
        <is>
          <t>low</t>
        </is>
      </c>
      <c r="J362" s="181" t="inlineStr">
        <is>
          <t>no well-documented interactions</t>
        </is>
      </c>
      <c r="K362" s="181" t="str"/>
      <c r="L362" s="181" t="inlineStr">
        <is>
          <t>compound_level</t>
        </is>
      </c>
      <c r="M362" s="181" t="inlineStr">
        <is>
          <t>https://plants.sc.egov.usda.gov/home/search?query=Psilocybe%20mexicana | https://pubchem.ncbi.nlm.nih.gov/#query=psilocin</t>
        </is>
      </c>
      <c r="N362" s="181" t="inlineStr">
        <is>
          <t>inferred_plus_trusted_gov</t>
        </is>
      </c>
      <c r="O362" s="181" t="inlineStr">
        <is>
          <t>scientific name; PubChem compound page (NIH); USDA Plants database</t>
        </is>
      </c>
      <c r="P362" s="181" t="str"/>
      <c r="Q362" s="181" t="inlineStr">
        <is>
          <t>psilocybe-mexicana</t>
        </is>
      </c>
      <c r="R362" s="181" t="n">
        <v>1</v>
      </c>
      <c r="S362" s="181" t="inlineStr">
        <is>
          <t>Yes</t>
        </is>
      </c>
      <c r="T362" s="181" t="inlineStr">
        <is>
          <t>Integrated from cleaned high-signal dataset</t>
        </is>
      </c>
    </row>
    <row r="363">
      <c r="A363" s="181" t="inlineStr">
        <is>
          <t>psilocybin</t>
        </is>
      </c>
      <c r="B363" s="181" t="inlineStr">
        <is>
          <t>psilocybin</t>
        </is>
      </c>
      <c r="C363" s="181" t="str"/>
      <c r="D363" s="181" t="inlineStr">
        <is>
          <t>other</t>
        </is>
      </c>
      <c r="E363" s="181" t="inlineStr">
        <is>
          <t>Converted to psilocin which acts as 5-HT2A agonist.</t>
        </is>
      </c>
      <c r="F363" s="181" t="inlineStr">
        <is>
          <t>serotonin receptor interaction</t>
        </is>
      </c>
      <c r="G363" s="181" t="inlineStr">
        <is>
          <t>serotonergic_5HT2A_agonism</t>
        </is>
      </c>
      <c r="H363" s="181" t="inlineStr">
        <is>
          <t>Absorption and bioavailability vary; some compounds metabolized via cytochrome P450 enzymes.</t>
        </is>
      </c>
      <c r="I363" s="181" t="inlineStr">
        <is>
          <t>low</t>
        </is>
      </c>
      <c r="J363" s="181" t="inlineStr">
        <is>
          <t>no well-documented interactions</t>
        </is>
      </c>
      <c r="K363" s="181" t="str"/>
      <c r="L363" s="181" t="inlineStr">
        <is>
          <t>compound_level</t>
        </is>
      </c>
      <c r="M363" s="181" t="inlineStr">
        <is>
          <t>https://plants.sc.egov.usda.gov/home/search?query=Psilocybe%20mexicana | https://plants.sc.egov.usda.gov/home/search?query=Psilocybin | https://pubchem.ncbi.nlm.nih.gov/#query=psilocybin</t>
        </is>
      </c>
      <c r="N363" s="181" t="inlineStr">
        <is>
          <t>inferred_plus_trusted_gov</t>
        </is>
      </c>
      <c r="O363" s="181" t="inlineStr">
        <is>
          <t>Psilocybin; PubChem compound page (NIH); USDA Plants database; scientific name; PubChem compound page (NIH); USDA Plants database</t>
        </is>
      </c>
      <c r="P363" s="181" t="str"/>
      <c r="Q363" s="181" t="inlineStr">
        <is>
          <t>psilocybe-mexicana; psilocybin</t>
        </is>
      </c>
      <c r="R363" s="181" t="n">
        <v>2</v>
      </c>
      <c r="S363" s="181" t="inlineStr">
        <is>
          <t>Yes</t>
        </is>
      </c>
      <c r="T363" s="181" t="inlineStr">
        <is>
          <t>Integrated from cleaned high-signal dataset</t>
        </is>
      </c>
    </row>
    <row r="364">
      <c r="A364" s="181" t="inlineStr">
        <is>
          <t>punarnavine</t>
        </is>
      </c>
      <c r="B364" s="181" t="inlineStr">
        <is>
          <t>punarnavine</t>
        </is>
      </c>
      <c r="C364" s="181" t="str"/>
      <c r="D364" s="181" t="inlineStr">
        <is>
          <t>Punarnavine, alkaloids, flavonoids</t>
        </is>
      </c>
      <c r="E364" s="181" t="inlineStr">
        <is>
          <t>insufficient evidence</t>
        </is>
      </c>
      <c r="F364" s="181" t="inlineStr">
        <is>
          <t>multi-target signaling modulation</t>
        </is>
      </c>
      <c r="G364" s="181" t="inlineStr">
        <is>
          <t>general or unknown targets</t>
        </is>
      </c>
      <c r="H364" s="181" t="inlineStr">
        <is>
          <t>Oral; hepatoprotective and anti-inflammatory</t>
        </is>
      </c>
      <c r="I364" s="181" t="inlineStr">
        <is>
          <t>low</t>
        </is>
      </c>
      <c r="J364" s="181" t="inlineStr">
        <is>
          <t>no well-documented interactions</t>
        </is>
      </c>
      <c r="K364" s="181" t="str"/>
      <c r="L364" s="181" t="inlineStr">
        <is>
          <t>compound_level</t>
        </is>
      </c>
      <c r="M364" s="181" t="inlineStr">
        <is>
          <t>https://plants.sc.egov.usda.gov/home/search?query=Boerhavia%20diffusa | https://pubchem.ncbi.nlm.nih.gov/#query=punarnavine</t>
        </is>
      </c>
      <c r="N364" s="181" t="inlineStr">
        <is>
          <t>inferred_plus_trusted_gov</t>
        </is>
      </c>
      <c r="O364" s="181" t="inlineStr">
        <is>
          <t>scientific name; PubChem compound page (NIH); USDA Plants database</t>
        </is>
      </c>
      <c r="P364" s="181" t="str"/>
      <c r="Q364" s="181" t="inlineStr">
        <is>
          <t>boerhavia-diffusa</t>
        </is>
      </c>
      <c r="R364" s="181" t="n">
        <v>1</v>
      </c>
      <c r="S364" s="181" t="inlineStr">
        <is>
          <t>Yes</t>
        </is>
      </c>
      <c r="T364" s="181" t="inlineStr">
        <is>
          <t>Integrated from cleaned high-signal dataset</t>
        </is>
      </c>
    </row>
    <row r="365">
      <c r="A365" s="181" t="inlineStr">
        <is>
          <t>pyridoxine</t>
        </is>
      </c>
      <c r="B365" s="181" t="inlineStr">
        <is>
          <t>pyridoxine</t>
        </is>
      </c>
      <c r="C365" s="181" t="str"/>
      <c r="D365" s="181" t="inlineStr">
        <is>
          <t>water-soluble vitamin</t>
        </is>
      </c>
      <c r="E365" s="181" t="inlineStr">
        <is>
          <t>Converted to active coenzyme forms PLP and PMP, which participate in more than 100 enzyme reactions, especially amino-acid metabolism, neurotransmitter biosynthesis, hemoglobin formation, and homocysteine regulation.</t>
        </is>
      </c>
      <c r="F365" s="181" t="str"/>
      <c r="G365" s="181" t="inlineStr">
        <is>
          <t>PLP/PMP-dependent amino-acid metabolism; glycogenolysis; neurotransmitter biosynthesis; one-carbon metabolism</t>
        </is>
      </c>
      <c r="H365" s="181" t="inlineStr">
        <is>
          <t>Absorbed in the jejunum after dephosphorylation of phosphorylated vitamers; plasma PLP is the most common status marker.</t>
        </is>
      </c>
      <c r="I365" s="181" t="inlineStr">
        <is>
          <t>Chronic high-dose pyridoxine can cause sensory neuropathy and ataxia. The adult UL in the ODS fact sheet is 100 mg/day.</t>
        </is>
      </c>
      <c r="J365" s="181" t="inlineStr">
        <is>
          <t>Cycloserine (increases urinary pyridoxine loss); antiepileptic drugs such as valproate, carbamazepine, and phenytoin (can lower B6 status); high-dose pyridoxine may lower phenytoin/phenobarbital concentrations.</t>
        </is>
      </c>
      <c r="K365" s="181" t="inlineStr">
        <is>
          <t>High</t>
        </is>
      </c>
      <c r="L365" s="181" t="inlineStr">
        <is>
          <t>Sprint7</t>
        </is>
      </c>
      <c r="M365" s="181" t="inlineStr">
        <is>
          <t>https://ods.od.nih.gov/factsheets/VitaminB6-HealthProfessional/</t>
        </is>
      </c>
      <c r="N365" s="181" t="str"/>
      <c r="O365" s="181" t="str"/>
      <c r="P365" s="181" t="inlineStr">
        <is>
          <t>precision_monographs_sprint7.xlsx</t>
        </is>
      </c>
      <c r="Q365" s="181" t="str"/>
      <c r="R365" s="181" t="n">
        <v>0</v>
      </c>
      <c r="S365" s="181" t="inlineStr">
        <is>
          <t>No</t>
        </is>
      </c>
      <c r="T365" s="181" t="inlineStr">
        <is>
          <t>Integrated from compound monograph workbook</t>
        </is>
      </c>
    </row>
    <row r="366">
      <c r="A366" s="181" t="inlineStr">
        <is>
          <t>quassin</t>
        </is>
      </c>
      <c r="B366" s="181" t="inlineStr">
        <is>
          <t>quassin</t>
        </is>
      </c>
      <c r="C366" s="181" t="str"/>
      <c r="D366" s="181" t="inlineStr">
        <is>
          <t>other</t>
        </is>
      </c>
      <c r="E366" s="181" t="inlineStr">
        <is>
          <t>insufficient evidence</t>
        </is>
      </c>
      <c r="F366" s="181" t="inlineStr">
        <is>
          <t>multi-target signaling modulation</t>
        </is>
      </c>
      <c r="G366" s="181" t="inlineStr">
        <is>
          <t>general or unknown targets</t>
        </is>
      </c>
      <c r="H366" s="181" t="inlineStr">
        <is>
          <t>Oral; cholagogue and vermifuge</t>
        </is>
      </c>
      <c r="I366" s="181" t="inlineStr">
        <is>
          <t>low</t>
        </is>
      </c>
      <c r="J366" s="181" t="inlineStr">
        <is>
          <t>no well-documented interactions</t>
        </is>
      </c>
      <c r="K366" s="181" t="str"/>
      <c r="L366" s="181" t="inlineStr">
        <is>
          <t>compound_level</t>
        </is>
      </c>
      <c r="M366" s="181" t="inlineStr">
        <is>
          <t>https://plants.sc.egov.usda.gov/home/search?query=Quassia%20amara | https://pubchem.ncbi.nlm.nih.gov/#query=quassin</t>
        </is>
      </c>
      <c r="N366" s="181" t="inlineStr">
        <is>
          <t>inferred_plus_trusted_gov</t>
        </is>
      </c>
      <c r="O366" s="181" t="inlineStr">
        <is>
          <t>scientific name; PubChem compound page (NIH); USDA Plants database</t>
        </is>
      </c>
      <c r="P366" s="181" t="str"/>
      <c r="Q366" s="181" t="inlineStr">
        <is>
          <t>quassia-amara</t>
        </is>
      </c>
      <c r="R366" s="181" t="n">
        <v>1</v>
      </c>
      <c r="S366" s="181" t="inlineStr">
        <is>
          <t>Yes</t>
        </is>
      </c>
      <c r="T366" s="181" t="inlineStr">
        <is>
          <t>Integrated from cleaned high-signal dataset</t>
        </is>
      </c>
    </row>
    <row r="367">
      <c r="A367" s="181" t="inlineStr">
        <is>
          <t>quebrachine</t>
        </is>
      </c>
      <c r="B367" s="181" t="inlineStr">
        <is>
          <t>quebrachine</t>
        </is>
      </c>
      <c r="C367" s="181" t="str"/>
      <c r="D367" s="181" t="inlineStr">
        <is>
          <t>yohimbine-type alkaloids</t>
        </is>
      </c>
      <c r="E367" s="181" t="inlineStr">
        <is>
          <t>insufficient evidence</t>
        </is>
      </c>
      <c r="F367" s="181" t="inlineStr">
        <is>
          <t>multi-target signaling modulation</t>
        </is>
      </c>
      <c r="G367" s="181" t="inlineStr">
        <is>
          <t>general or unknown targets</t>
        </is>
      </c>
      <c r="H367" s="181" t="inlineStr">
        <is>
          <t>Absorption and bioavailability vary; some compounds metabolized via cytochrome P450 enzymes.</t>
        </is>
      </c>
      <c r="I367" s="181" t="inlineStr">
        <is>
          <t>low</t>
        </is>
      </c>
      <c r="J367" s="181" t="inlineStr">
        <is>
          <t>no well-documented interactions</t>
        </is>
      </c>
      <c r="K367" s="181" t="str"/>
      <c r="L367" s="181" t="inlineStr">
        <is>
          <t>compound_level</t>
        </is>
      </c>
      <c r="M367" s="181" t="inlineStr">
        <is>
          <t>https://plants.sc.egov.usda.gov/home/search?query=Aspidosperma%20quebracho-blanco | https://pubchem.ncbi.nlm.nih.gov/#query=quebrachine</t>
        </is>
      </c>
      <c r="N367" s="181" t="inlineStr">
        <is>
          <t>inferred_plus_trusted_gov</t>
        </is>
      </c>
      <c r="O367" s="181" t="inlineStr">
        <is>
          <t>scientific name; PubChem compound page (NIH); USDA Plants database</t>
        </is>
      </c>
      <c r="P367" s="181" t="str"/>
      <c r="Q367" s="181" t="inlineStr">
        <is>
          <t>aspidosperma-quebracho-blanco</t>
        </is>
      </c>
      <c r="R367" s="181" t="n">
        <v>1</v>
      </c>
      <c r="S367" s="181" t="inlineStr">
        <is>
          <t>Yes</t>
        </is>
      </c>
      <c r="T367" s="181" t="inlineStr">
        <is>
          <t>Integrated from cleaned high-signal dataset</t>
        </is>
      </c>
    </row>
    <row r="368">
      <c r="A368" s="181" t="inlineStr">
        <is>
          <t>quercetin</t>
        </is>
      </c>
      <c r="B368" s="181" t="inlineStr">
        <is>
          <t>quercetin</t>
        </is>
      </c>
      <c r="C368" s="181" t="str"/>
      <c r="D368" s="181" t="inlineStr">
        <is>
          <t>flavonoid</t>
        </is>
      </c>
      <c r="E368" s="181" t="inlineStr">
        <is>
          <t>Broad anti-inflammatory and antioxidant flavonol activity with inhibition of NF-kB-linked inflammatory signaling and enzyme-level effects that include xanthine oxidase inhibition in experimental systems.</t>
        </is>
      </c>
      <c r="F368" s="181" t="inlineStr">
        <is>
          <t>multi-target signaling modulation; muscarinic receptor interaction</t>
        </is>
      </c>
      <c r="G368" s="181" t="inlineStr">
        <is>
          <t>NF-kB pathway inhibition; Nrf2 pathway activation; cholinergic_modulation; general or unknown targets; xanthine oxidase inhibition</t>
        </is>
      </c>
      <c r="H368" s="181" t="inlineStr">
        <is>
          <t>Poor and variable oral bioavailability; extensively metabolized to conjugates after absorption.</t>
        </is>
      </c>
      <c r="I368" s="181" t="inlineStr">
        <is>
          <t>Generally tolerated in studies, but formulation and dose matter. Human outcome evidence remains mixed for many uses.</t>
        </is>
      </c>
      <c r="J368" s="181" t="inlineStr">
        <is>
          <t>CYP-metabolized drugs (possible altered exposure; limited clinical certainty); anticoagulants/antiplatelets (theoretical additive bleeding concern)</t>
        </is>
      </c>
      <c r="K368" s="181" t="inlineStr">
        <is>
          <t>moderate</t>
        </is>
      </c>
      <c r="L368" s="181" t="inlineStr">
        <is>
          <t>Sprint4</t>
        </is>
      </c>
      <c r="M368" s="181" t="inlineStr">
        <is>
          <t>https://plants.sc.egov.usda.gov/home/search?query=Annona%20muricata | https://plants.sc.egov.usda.gov/home/search?query=Moringa%20oleifera | https://plants.sc.egov.usda.gov/home/search?query=amorpha%20fruticosa | https://plants.sc.egov.usda.gov/home/search?query=hibiscus%20sabdariffa | https://pubchem.ncbi.nlm.nih.gov/#query=quercetin</t>
        </is>
      </c>
      <c r="N368" s="181" t="inlineStr">
        <is>
          <t>inferred_plus_trusted_gov; trusted_gov_added</t>
        </is>
      </c>
      <c r="O368" s="181" t="inlineStr">
        <is>
          <t>PubChem compound page (NIH); USDA Plants database; scientific name; PubChem compound page (NIH); USDA Plants database</t>
        </is>
      </c>
      <c r="P368" s="181" t="inlineStr">
        <is>
          <t>precision_monographs_sprint4.xlsx</t>
        </is>
      </c>
      <c r="Q368" s="181" t="inlineStr">
        <is>
          <t>amorpha-fruticosa; annona-muricata; hibiscus-sabdariffa; moringa-oleifera</t>
        </is>
      </c>
      <c r="R368" s="181" t="n">
        <v>4</v>
      </c>
      <c r="S368" s="181" t="inlineStr">
        <is>
          <t>Yes</t>
        </is>
      </c>
      <c r="T368" s="181" t="inlineStr">
        <is>
          <t>Integrated from cleaned high-signal dataset; Integrated from compound monograph workbook</t>
        </is>
      </c>
    </row>
    <row r="369">
      <c r="A369" s="181" t="inlineStr">
        <is>
          <t>quercitrin</t>
        </is>
      </c>
      <c r="B369" s="181" t="inlineStr">
        <is>
          <t>quercitrin</t>
        </is>
      </c>
      <c r="C369" s="181" t="str"/>
      <c r="D369" s="181" t="inlineStr">
        <is>
          <t>protopine alkaloids</t>
        </is>
      </c>
      <c r="E369" s="181" t="inlineStr">
        <is>
          <t>insufficient evidence</t>
        </is>
      </c>
      <c r="F369" s="181" t="inlineStr">
        <is>
          <t>multi-target signaling modulation</t>
        </is>
      </c>
      <c r="G369" s="181" t="inlineStr">
        <is>
          <t>general or unknown targets</t>
        </is>
      </c>
      <c r="H369" s="181" t="inlineStr">
        <is>
          <t>good oral absorption; CNS penetration; hepatic metabolism</t>
        </is>
      </c>
      <c r="I369" s="181" t="inlineStr">
        <is>
          <t>low</t>
        </is>
      </c>
      <c r="J369" s="181" t="inlineStr">
        <is>
          <t>no well-documented interactions</t>
        </is>
      </c>
      <c r="K369" s="181" t="str"/>
      <c r="L369" s="181" t="inlineStr">
        <is>
          <t>compound_level</t>
        </is>
      </c>
      <c r="M369" s="181" t="inlineStr">
        <is>
          <t>https://plants.sc.egov.usda.gov/home/search?query=argemone%20mexicana | https://pubchem.ncbi.nlm.nih.gov/#query=quercitrin</t>
        </is>
      </c>
      <c r="N369" s="181" t="inlineStr">
        <is>
          <t>trusted_gov_added</t>
        </is>
      </c>
      <c r="O369" s="181" t="inlineStr">
        <is>
          <t>PubChem compound page (NIH); USDA Plants database</t>
        </is>
      </c>
      <c r="P369" s="181" t="str"/>
      <c r="Q369" s="181" t="inlineStr">
        <is>
          <t>argemone-mexicana</t>
        </is>
      </c>
      <c r="R369" s="181" t="n">
        <v>1</v>
      </c>
      <c r="S369" s="181" t="inlineStr">
        <is>
          <t>Yes</t>
        </is>
      </c>
      <c r="T369" s="181" t="inlineStr">
        <is>
          <t>Integrated from cleaned high-signal dataset</t>
        </is>
      </c>
    </row>
    <row r="370">
      <c r="A370" s="181" t="inlineStr">
        <is>
          <t>rb2</t>
        </is>
      </c>
      <c r="B370" s="181" t="inlineStr">
        <is>
          <t>rb2</t>
        </is>
      </c>
      <c r="C370" s="181" t="str"/>
      <c r="D370" s="181" t="inlineStr">
        <is>
          <t>other</t>
        </is>
      </c>
      <c r="E370" s="181" t="inlineStr">
        <is>
          <t>insufficient evidence</t>
        </is>
      </c>
      <c r="F370" s="181" t="inlineStr">
        <is>
          <t>GABAergic modulation</t>
        </is>
      </c>
      <c r="G370" s="181" t="inlineStr">
        <is>
          <t>gabaergic_modulation; inflammatory_pathway_modulation</t>
        </is>
      </c>
      <c r="H370" s="181" t="inlineStr">
        <is>
          <t>moderate absorption; hepatic metabolism</t>
        </is>
      </c>
      <c r="I370" s="181" t="inlineStr">
        <is>
          <t>low</t>
        </is>
      </c>
      <c r="J370" s="181" t="inlineStr">
        <is>
          <t>no well-documented interactions</t>
        </is>
      </c>
      <c r="K370" s="181" t="str"/>
      <c r="L370" s="181" t="inlineStr">
        <is>
          <t>compound_level</t>
        </is>
      </c>
      <c r="M370" s="181" t="inlineStr">
        <is>
          <t>https://plants.sc.egov.usda.gov/home/search?query=american%20ginseng | https://pubchem.ncbi.nlm.nih.gov/#query=rb2</t>
        </is>
      </c>
      <c r="N370" s="181" t="inlineStr">
        <is>
          <t>trusted_gov_added</t>
        </is>
      </c>
      <c r="O370" s="181" t="inlineStr">
        <is>
          <t>PubChem compound page (NIH); USDA Plants database</t>
        </is>
      </c>
      <c r="P370" s="181" t="str"/>
      <c r="Q370" s="181" t="inlineStr">
        <is>
          <t>american-ginseng</t>
        </is>
      </c>
      <c r="R370" s="181" t="n">
        <v>1</v>
      </c>
      <c r="S370" s="181" t="inlineStr">
        <is>
          <t>Yes</t>
        </is>
      </c>
      <c r="T370" s="181" t="inlineStr">
        <is>
          <t>Integrated from cleaned high-signal dataset</t>
        </is>
      </c>
    </row>
    <row r="371">
      <c r="A371" s="181" t="inlineStr">
        <is>
          <t>re</t>
        </is>
      </c>
      <c r="B371" s="181" t="inlineStr">
        <is>
          <t>re)</t>
        </is>
      </c>
      <c r="C371" s="181" t="str"/>
      <c r="D371" s="181" t="inlineStr">
        <is>
          <t>Ginsenosides (Rb1, Re), polysaccharides</t>
        </is>
      </c>
      <c r="E371" s="181" t="inlineStr">
        <is>
          <t>insufficient evidence</t>
        </is>
      </c>
      <c r="F371" s="181" t="inlineStr">
        <is>
          <t>multi-target signaling modulation</t>
        </is>
      </c>
      <c r="G371" s="181" t="inlineStr">
        <is>
          <t>general or unknown targets</t>
        </is>
      </c>
      <c r="H371" s="181" t="inlineStr">
        <is>
          <t>Oral; cognitive and metabolic support</t>
        </is>
      </c>
      <c r="I371" s="181" t="inlineStr">
        <is>
          <t>low</t>
        </is>
      </c>
      <c r="J371" s="181" t="inlineStr">
        <is>
          <t>no well-documented interactions</t>
        </is>
      </c>
      <c r="K371" s="181" t="str"/>
      <c r="L371" s="181" t="inlineStr">
        <is>
          <t>compound_level</t>
        </is>
      </c>
      <c r="M371" s="181" t="inlineStr">
        <is>
          <t>https://plants.sc.egov.usda.gov/home/search?query=Panax%20quinquefolius | https://pubchem.ncbi.nlm.nih.gov/#query=re%29</t>
        </is>
      </c>
      <c r="N371" s="181" t="inlineStr">
        <is>
          <t>inferred_plus_trusted_gov</t>
        </is>
      </c>
      <c r="O371" s="181" t="inlineStr">
        <is>
          <t>scientific name; PubChem compound page (NIH); USDA Plants database</t>
        </is>
      </c>
      <c r="P371" s="181" t="str"/>
      <c r="Q371" s="181" t="inlineStr">
        <is>
          <t>panax-quinquefolius</t>
        </is>
      </c>
      <c r="R371" s="181" t="n">
        <v>1</v>
      </c>
      <c r="S371" s="181" t="inlineStr">
        <is>
          <t>Yes</t>
        </is>
      </c>
      <c r="T371" s="181" t="inlineStr">
        <is>
          <t>Integrated from cleaned high-signal dataset</t>
        </is>
      </c>
    </row>
    <row r="372">
      <c r="A372" s="181" t="inlineStr">
        <is>
          <t>reserpine</t>
        </is>
      </c>
      <c r="B372" s="181" t="inlineStr">
        <is>
          <t>reserpine</t>
        </is>
      </c>
      <c r="C372" s="181" t="str"/>
      <c r="D372" s="181" t="inlineStr">
        <is>
          <t>other</t>
        </is>
      </c>
      <c r="E372" s="181" t="inlineStr">
        <is>
          <t>insufficient evidence</t>
        </is>
      </c>
      <c r="F372" s="181" t="inlineStr">
        <is>
          <t>multi-target signaling modulation</t>
        </is>
      </c>
      <c r="G372" s="181" t="inlineStr">
        <is>
          <t>general or unknown targets</t>
        </is>
      </c>
      <c r="H372" s="181" t="inlineStr">
        <is>
          <t>Absorption and bioavailability vary; some compounds metabolized via cytochrome P450 enzymes.</t>
        </is>
      </c>
      <c r="I372" s="181" t="inlineStr">
        <is>
          <t>low</t>
        </is>
      </c>
      <c r="J372" s="181" t="inlineStr">
        <is>
          <t>no well-documented interactions</t>
        </is>
      </c>
      <c r="K372" s="181" t="str"/>
      <c r="L372" s="181" t="inlineStr">
        <is>
          <t>compound_level</t>
        </is>
      </c>
      <c r="M372" s="181" t="inlineStr">
        <is>
          <t>https://plants.sc.egov.usda.gov/home/search?query=Rauvolfia%20serpentina | https://plants.sc.egov.usda.gov/home/search?query=Rauvolfia%20vomitoria | https://pubchem.ncbi.nlm.nih.gov/#query=reserpine</t>
        </is>
      </c>
      <c r="N372" s="181" t="inlineStr">
        <is>
          <t>inferred_plus_trusted_gov</t>
        </is>
      </c>
      <c r="O372" s="181" t="inlineStr">
        <is>
          <t>scientific name; PubChem compound page (NIH); USDA Plants database</t>
        </is>
      </c>
      <c r="P372" s="181" t="str"/>
      <c r="Q372" s="181" t="inlineStr">
        <is>
          <t>rauvolfia-serpentina; rauvolfia-vomitoria</t>
        </is>
      </c>
      <c r="R372" s="181" t="n">
        <v>2</v>
      </c>
      <c r="S372" s="181" t="inlineStr">
        <is>
          <t>Yes</t>
        </is>
      </c>
      <c r="T372" s="181" t="inlineStr">
        <is>
          <t>Integrated from cleaned high-signal dataset</t>
        </is>
      </c>
    </row>
    <row r="373">
      <c r="A373" s="181" t="inlineStr">
        <is>
          <t>resveratrol</t>
        </is>
      </c>
      <c r="B373" s="181" t="inlineStr">
        <is>
          <t>resveratrol</t>
        </is>
      </c>
      <c r="C373" s="181" t="str"/>
      <c r="D373" s="181" t="inlineStr">
        <is>
          <t>phenolic</t>
        </is>
      </c>
      <c r="E373" s="181" t="inlineStr">
        <is>
          <t>Polyphenolic signaling modulator with reported activation of SIRT1/AMPK-related pathways and suppression of NF-kB-associated inflammatory signaling; many claims remain formulation- and context-dependent.</t>
        </is>
      </c>
      <c r="F373" s="181" t="str"/>
      <c r="G373" s="181" t="inlineStr">
        <is>
          <t>AMPK activation; NF-kB pathway inhibition; SIRT1 activation</t>
        </is>
      </c>
      <c r="H373" s="181" t="inlineStr">
        <is>
          <t>Rapid absorption but very low oral bioavailability because of extensive first-pass metabolism to sulfate and glucuronide metabolites.</t>
        </is>
      </c>
      <c r="I373" s="181" t="inlineStr">
        <is>
          <t>Usually tolerated in trials, but GI effects occur at higher doses. Bioavailability limitations are central to interpretation.</t>
        </is>
      </c>
      <c r="J373" s="181" t="inlineStr">
        <is>
          <t>Anticoagulants/antiplatelets (potential additive bleeding risk); CYP-metabolized drugs (possible altered exposure; limited clinical certainty)</t>
        </is>
      </c>
      <c r="K373" s="181" t="inlineStr">
        <is>
          <t>moderate</t>
        </is>
      </c>
      <c r="L373" s="181" t="inlineStr">
        <is>
          <t>Sprint4</t>
        </is>
      </c>
      <c r="M373" s="181" t="str"/>
      <c r="N373" s="181" t="str"/>
      <c r="O373" s="181" t="str"/>
      <c r="P373" s="181" t="inlineStr">
        <is>
          <t>precision_monographs_sprint4.xlsx</t>
        </is>
      </c>
      <c r="Q373" s="181" t="str"/>
      <c r="R373" s="181" t="n">
        <v>0</v>
      </c>
      <c r="S373" s="181" t="inlineStr">
        <is>
          <t>No</t>
        </is>
      </c>
      <c r="T373" s="181" t="inlineStr">
        <is>
          <t>Integrated from compound monograph workbook</t>
        </is>
      </c>
    </row>
    <row r="374">
      <c r="A374" s="181" t="inlineStr">
        <is>
          <t>rg1</t>
        </is>
      </c>
      <c r="B374" s="181" t="inlineStr">
        <is>
          <t>rg1)</t>
        </is>
      </c>
      <c r="C374" s="181" t="str"/>
      <c r="D374" s="181" t="inlineStr">
        <is>
          <t>other</t>
        </is>
      </c>
      <c r="E374" s="181" t="inlineStr">
        <is>
          <t>insufficient evidence</t>
        </is>
      </c>
      <c r="F374" s="181" t="inlineStr">
        <is>
          <t>GABAergic modulation</t>
        </is>
      </c>
      <c r="G374" s="181" t="inlineStr">
        <is>
          <t>gabaergic_modulation; inflammatory_pathway_modulation</t>
        </is>
      </c>
      <c r="H374" s="181" t="inlineStr">
        <is>
          <t>moderate absorption; hepatic metabolism</t>
        </is>
      </c>
      <c r="I374" s="181" t="inlineStr">
        <is>
          <t>low</t>
        </is>
      </c>
      <c r="J374" s="181" t="inlineStr">
        <is>
          <t>no well-documented interactions</t>
        </is>
      </c>
      <c r="K374" s="181" t="str"/>
      <c r="L374" s="181" t="inlineStr">
        <is>
          <t>compound_level</t>
        </is>
      </c>
      <c r="M374" s="181" t="inlineStr">
        <is>
          <t>https://plants.sc.egov.usda.gov/home/search?query=american%20ginseng | https://pubchem.ncbi.nlm.nih.gov/#query=rg1%29</t>
        </is>
      </c>
      <c r="N374" s="181" t="inlineStr">
        <is>
          <t>trusted_gov_added</t>
        </is>
      </c>
      <c r="O374" s="181" t="inlineStr">
        <is>
          <t>PubChem compound page (NIH); USDA Plants database</t>
        </is>
      </c>
      <c r="P374" s="181" t="str"/>
      <c r="Q374" s="181" t="inlineStr">
        <is>
          <t>american-ginseng</t>
        </is>
      </c>
      <c r="R374" s="181" t="n">
        <v>1</v>
      </c>
      <c r="S374" s="181" t="inlineStr">
        <is>
          <t>Yes</t>
        </is>
      </c>
      <c r="T374" s="181" t="inlineStr">
        <is>
          <t>Integrated from cleaned high-signal dataset</t>
        </is>
      </c>
    </row>
    <row r="375">
      <c r="A375" s="181" t="inlineStr">
        <is>
          <t>rhodiola salidroside rosavin</t>
        </is>
      </c>
      <c r="B375" s="181" t="inlineStr">
        <is>
          <t>rhodiola (salidroside/rosavin)</t>
        </is>
      </c>
      <c r="C375" s="181" t="str"/>
      <c r="D375" s="181" t="inlineStr">
        <is>
          <t>phenolic glycoside</t>
        </is>
      </c>
      <c r="E375" s="181" t="inlineStr">
        <is>
          <t>Modulates AMPK and stress-response pathways</t>
        </is>
      </c>
      <c r="F375" s="181" t="str"/>
      <c r="G375" s="181" t="inlineStr">
        <is>
          <t>AMPK activation; HPA-axis modulation</t>
        </is>
      </c>
      <c r="H375" s="181" t="str"/>
      <c r="I375" s="181" t="str"/>
      <c r="J375" s="181" t="inlineStr">
        <is>
          <t>Stimulants (additive effects)</t>
        </is>
      </c>
      <c r="K375" s="181" t="str"/>
      <c r="L375" s="181" t="inlineStr">
        <is>
          <t>Sprint6</t>
        </is>
      </c>
      <c r="M375" s="181" t="str"/>
      <c r="N375" s="181" t="str"/>
      <c r="O375" s="181" t="str"/>
      <c r="P375" s="181" t="inlineStr">
        <is>
          <t>precision_monographs_sprint6.xlsx</t>
        </is>
      </c>
      <c r="Q375" s="181" t="str"/>
      <c r="R375" s="181" t="n">
        <v>0</v>
      </c>
      <c r="S375" s="181" t="inlineStr">
        <is>
          <t>No</t>
        </is>
      </c>
      <c r="T375" s="181" t="inlineStr">
        <is>
          <t>Integrated from compound monograph workbook</t>
        </is>
      </c>
    </row>
    <row r="376">
      <c r="A376" s="181" t="inlineStr">
        <is>
          <t>riboflavin</t>
        </is>
      </c>
      <c r="B376" s="181" t="inlineStr">
        <is>
          <t>riboflavin</t>
        </is>
      </c>
      <c r="C376" s="181" t="str"/>
      <c r="D376" s="181" t="inlineStr">
        <is>
          <t>water-soluble vitamin</t>
        </is>
      </c>
      <c r="E376" s="181" t="inlineStr">
        <is>
          <t>Essential component of the coenzymes FMN and FAD, which support energy production, cellular function, growth and development, and metabolism of fats, drugs, and steroids.</t>
        </is>
      </c>
      <c r="F376" s="181" t="str"/>
      <c r="G376" s="181" t="inlineStr">
        <is>
          <t>FMN/FAD-dependent redox enzymes; energy production; tryptophan-to-niacin conversion; vitamin B6 activation</t>
        </is>
      </c>
      <c r="H376" s="181" t="inlineStr">
        <is>
          <t>Most absorbed in the proximal small intestine. Absorption from single doses beyond about 27 mg is limited; excess is not absorbed or is excreted in urine. Stores are small.</t>
        </is>
      </c>
      <c r="I376" s="181" t="inlineStr">
        <is>
          <t>No observable toxicity has been reported from high intakes from food or supplements; no UL established, though excess intake beyond need offers no clear benefit.</t>
        </is>
      </c>
      <c r="J376" s="181" t="inlineStr">
        <is>
          <t>No clinically relevant medication interactions are established in the ODS fact sheet.</t>
        </is>
      </c>
      <c r="K376" s="181" t="inlineStr">
        <is>
          <t>High</t>
        </is>
      </c>
      <c r="L376" s="181" t="inlineStr">
        <is>
          <t>Sprint7</t>
        </is>
      </c>
      <c r="M376" s="181" t="inlineStr">
        <is>
          <t>https://ods.od.nih.gov/factsheets/Riboflavin-HealthProfessional/</t>
        </is>
      </c>
      <c r="N376" s="181" t="str"/>
      <c r="O376" s="181" t="str"/>
      <c r="P376" s="181" t="inlineStr">
        <is>
          <t>precision_monographs_sprint7.xlsx</t>
        </is>
      </c>
      <c r="Q376" s="181" t="str"/>
      <c r="R376" s="181" t="n">
        <v>0</v>
      </c>
      <c r="S376" s="181" t="inlineStr">
        <is>
          <t>No</t>
        </is>
      </c>
      <c r="T376" s="181" t="inlineStr">
        <is>
          <t>Integrated from compound monograph workbook</t>
        </is>
      </c>
    </row>
    <row r="377">
      <c r="A377" s="181" t="inlineStr">
        <is>
          <t>ricin</t>
        </is>
      </c>
      <c r="B377" s="181" t="inlineStr">
        <is>
          <t>ricin</t>
        </is>
      </c>
      <c r="C377" s="181" t="str"/>
      <c r="D377" s="181" t="inlineStr">
        <is>
          <t>other</t>
        </is>
      </c>
      <c r="E377" s="181" t="inlineStr">
        <is>
          <t>insufficient evidence</t>
        </is>
      </c>
      <c r="F377" s="181" t="inlineStr">
        <is>
          <t>multi-target signaling modulation</t>
        </is>
      </c>
      <c r="G377" s="181" t="inlineStr">
        <is>
          <t>general or unknown targets</t>
        </is>
      </c>
      <c r="H377" s="181" t="inlineStr">
        <is>
          <t>Absorption and bioavailability vary; some compounds metabolized via cytochrome P450 enzymes.</t>
        </is>
      </c>
      <c r="I377" s="181" t="inlineStr">
        <is>
          <t>low</t>
        </is>
      </c>
      <c r="J377" s="181" t="inlineStr">
        <is>
          <t>no well-documented interactions</t>
        </is>
      </c>
      <c r="K377" s="181" t="str"/>
      <c r="L377" s="181" t="inlineStr">
        <is>
          <t>compound_level</t>
        </is>
      </c>
      <c r="M377" s="181" t="inlineStr">
        <is>
          <t>https://plants.sc.egov.usda.gov/home/search?query=Ricinus%20communis | https://pubchem.ncbi.nlm.nih.gov/#query=ricin</t>
        </is>
      </c>
      <c r="N377" s="181" t="inlineStr">
        <is>
          <t>inferred_plus_trusted_gov</t>
        </is>
      </c>
      <c r="O377" s="181" t="inlineStr">
        <is>
          <t>scientific name; PubChem compound page (NIH); USDA Plants database</t>
        </is>
      </c>
      <c r="P377" s="181" t="str"/>
      <c r="Q377" s="181" t="inlineStr">
        <is>
          <t>ricinus-communis</t>
        </is>
      </c>
      <c r="R377" s="181" t="n">
        <v>1</v>
      </c>
      <c r="S377" s="181" t="inlineStr">
        <is>
          <t>Yes</t>
        </is>
      </c>
      <c r="T377" s="181" t="inlineStr">
        <is>
          <t>Integrated from cleaned high-signal dataset</t>
        </is>
      </c>
    </row>
    <row r="378">
      <c r="A378" s="181" t="inlineStr">
        <is>
          <t>ricinoleic acid</t>
        </is>
      </c>
      <c r="B378" s="181" t="inlineStr">
        <is>
          <t>ricinoleic acid</t>
        </is>
      </c>
      <c r="C378" s="181" t="str"/>
      <c r="D378" s="181" t="inlineStr">
        <is>
          <t>organic acid</t>
        </is>
      </c>
      <c r="E378" s="181" t="inlineStr">
        <is>
          <t>insufficient evidence</t>
        </is>
      </c>
      <c r="F378" s="181" t="inlineStr">
        <is>
          <t>multi-target signaling modulation</t>
        </is>
      </c>
      <c r="G378" s="181" t="inlineStr">
        <is>
          <t>general or unknown targets</t>
        </is>
      </c>
      <c r="H378" s="181" t="inlineStr">
        <is>
          <t>Absorption and bioavailability vary; some compounds metabolized via cytochrome P450 enzymes.</t>
        </is>
      </c>
      <c r="I378" s="181" t="inlineStr">
        <is>
          <t>low</t>
        </is>
      </c>
      <c r="J378" s="181" t="inlineStr">
        <is>
          <t>no well-documented interactions</t>
        </is>
      </c>
      <c r="K378" s="181" t="str"/>
      <c r="L378" s="181" t="inlineStr">
        <is>
          <t>compound_level</t>
        </is>
      </c>
      <c r="M378" s="181" t="inlineStr">
        <is>
          <t>https://plants.sc.egov.usda.gov/home/search?query=Ricinus%20communis | https://pubchem.ncbi.nlm.nih.gov/#query=ricinoleic%20acid</t>
        </is>
      </c>
      <c r="N378" s="181" t="inlineStr">
        <is>
          <t>inferred_plus_trusted_gov</t>
        </is>
      </c>
      <c r="O378" s="181" t="inlineStr">
        <is>
          <t>scientific name; PubChem compound page (NIH); USDA Plants database</t>
        </is>
      </c>
      <c r="P378" s="181" t="str"/>
      <c r="Q378" s="181" t="inlineStr">
        <is>
          <t>ricinus-communis</t>
        </is>
      </c>
      <c r="R378" s="181" t="n">
        <v>1</v>
      </c>
      <c r="S378" s="181" t="inlineStr">
        <is>
          <t>Yes</t>
        </is>
      </c>
      <c r="T378" s="181" t="inlineStr">
        <is>
          <t>Integrated from cleaned high-signal dataset</t>
        </is>
      </c>
    </row>
    <row r="379">
      <c r="A379" s="181" t="inlineStr">
        <is>
          <t>roemerine</t>
        </is>
      </c>
      <c r="B379" s="181" t="inlineStr">
        <is>
          <t>roemerine</t>
        </is>
      </c>
      <c r="C379" s="181" t="str"/>
      <c r="D379" s="181" t="inlineStr">
        <is>
          <t>other</t>
        </is>
      </c>
      <c r="E379" s="181" t="inlineStr">
        <is>
          <t>insufficient evidence</t>
        </is>
      </c>
      <c r="F379" s="181" t="inlineStr">
        <is>
          <t>multi-target signaling modulation</t>
        </is>
      </c>
      <c r="G379" s="181" t="inlineStr">
        <is>
          <t>general or unknown targets</t>
        </is>
      </c>
      <c r="H379" s="181" t="inlineStr">
        <is>
          <t>moderate absorption; hepatic metabolism</t>
        </is>
      </c>
      <c r="I379" s="181" t="inlineStr">
        <is>
          <t>low</t>
        </is>
      </c>
      <c r="J379" s="181" t="inlineStr">
        <is>
          <t>no well-documented interactions</t>
        </is>
      </c>
      <c r="K379" s="181" t="str"/>
      <c r="L379" s="181" t="inlineStr">
        <is>
          <t>compound_level</t>
        </is>
      </c>
      <c r="M379" s="181" t="inlineStr">
        <is>
          <t>https://plants.sc.egov.usda.gov/home/search?query=american%20yellow%20lotus | https://pubchem.ncbi.nlm.nih.gov/#query=roemerine</t>
        </is>
      </c>
      <c r="N379" s="181" t="inlineStr">
        <is>
          <t>trusted_gov_added</t>
        </is>
      </c>
      <c r="O379" s="181" t="inlineStr">
        <is>
          <t>PubChem compound page (NIH); USDA Plants database</t>
        </is>
      </c>
      <c r="P379" s="181" t="str"/>
      <c r="Q379" s="181" t="inlineStr">
        <is>
          <t>nelumbo-lutea</t>
        </is>
      </c>
      <c r="R379" s="181" t="n">
        <v>1</v>
      </c>
      <c r="S379" s="181" t="inlineStr">
        <is>
          <t>Yes</t>
        </is>
      </c>
      <c r="T379" s="181" t="inlineStr">
        <is>
          <t>Integrated from cleaned high-signal dataset</t>
        </is>
      </c>
    </row>
    <row r="380">
      <c r="A380" s="181" t="inlineStr">
        <is>
          <t>rosavin</t>
        </is>
      </c>
      <c r="B380" s="181" t="inlineStr">
        <is>
          <t>rosavin</t>
        </is>
      </c>
      <c r="C380" s="181" t="str"/>
      <c r="D380" s="181" t="inlineStr">
        <is>
          <t>Rosavin, salidroside, flavonoids</t>
        </is>
      </c>
      <c r="E380" s="181" t="inlineStr">
        <is>
          <t>insufficient evidence</t>
        </is>
      </c>
      <c r="F380" s="181" t="inlineStr">
        <is>
          <t>multi-target signaling modulation</t>
        </is>
      </c>
      <c r="G380" s="181" t="inlineStr">
        <is>
          <t>general or unknown targets</t>
        </is>
      </c>
      <c r="H380" s="181" t="inlineStr">
        <is>
          <t>Oral; modulates serotonin, dopamine</t>
        </is>
      </c>
      <c r="I380" s="181" t="inlineStr">
        <is>
          <t>low</t>
        </is>
      </c>
      <c r="J380" s="181" t="inlineStr">
        <is>
          <t>ssris, maois, stimulants.</t>
        </is>
      </c>
      <c r="K380" s="181" t="str"/>
      <c r="L380" s="181" t="inlineStr">
        <is>
          <t>compound_level</t>
        </is>
      </c>
      <c r="M380" s="181" t="inlineStr">
        <is>
          <t>https://plants.sc.egov.usda.gov/home/search?query=Rhodiola%20rosea | https://pubchem.ncbi.nlm.nih.gov/#query=rosavin</t>
        </is>
      </c>
      <c r="N380" s="181" t="inlineStr">
        <is>
          <t>inferred_plus_trusted_gov</t>
        </is>
      </c>
      <c r="O380" s="181" t="inlineStr">
        <is>
          <t>scientific name; PubChem compound page (NIH); USDA Plants database</t>
        </is>
      </c>
      <c r="P380" s="181" t="str"/>
      <c r="Q380" s="181" t="inlineStr">
        <is>
          <t>rhodiola</t>
        </is>
      </c>
      <c r="R380" s="181" t="n">
        <v>1</v>
      </c>
      <c r="S380" s="181" t="inlineStr">
        <is>
          <t>Yes</t>
        </is>
      </c>
      <c r="T380" s="181" t="inlineStr">
        <is>
          <t>Integrated from cleaned high-signal dataset</t>
        </is>
      </c>
    </row>
    <row r="381">
      <c r="A381" s="181" t="inlineStr">
        <is>
          <t>rosmarinic acid</t>
        </is>
      </c>
      <c r="B381" s="181" t="inlineStr">
        <is>
          <t>rosmarinic acid</t>
        </is>
      </c>
      <c r="C381" s="181" t="str"/>
      <c r="D381" s="181" t="inlineStr">
        <is>
          <t>phenolic compound</t>
        </is>
      </c>
      <c r="E381" s="181" t="inlineStr">
        <is>
          <t>insufficient evidence</t>
        </is>
      </c>
      <c r="F381" s="181" t="inlineStr">
        <is>
          <t>COX/NF-kB inhibition; GABAergic modulation; multi-target signaling modulation</t>
        </is>
      </c>
      <c r="G381" s="181" t="inlineStr">
        <is>
          <t>gabaergic_modulation; general or unknown targets; inflammatory_pathway_modulation</t>
        </is>
      </c>
      <c r="H381" s="181" t="inlineStr">
        <is>
          <t>moderate absorption; extensive metabolism</t>
        </is>
      </c>
      <c r="I381" s="181" t="inlineStr">
        <is>
          <t>low</t>
        </is>
      </c>
      <c r="J381" s="181" t="inlineStr">
        <is>
          <t>no well-documented interactions</t>
        </is>
      </c>
      <c r="K381" s="181" t="str"/>
      <c r="L381" s="181" t="inlineStr">
        <is>
          <t>compound_level</t>
        </is>
      </c>
      <c r="M381" s="181" t="inlineStr">
        <is>
          <t>https://plants.sc.egov.usda.gov/home/search?query=Dracocephalum%20moldavica | https://plants.sc.egov.usda.gov/home/search?query=Glechoma%20hederacea | https://plants.sc.egov.usda.gov/home/search?query=Melissa%20Officinalis | https://plants.sc.egov.usda.gov/home/search?query=Melissa%20officinalis | https://plants.sc.egov.usda.gov/home/search?query=Ocimum%20sanctum | https://plants.sc.egov.usda.gov/home/search?query=Ocimum%20tenuiflorum | https://plants.sc.egov.usda.gov/home/search?query=Prunella%20vulgaris | https://plants.sc.egov.usda.gov/home/search?query=Rosmarinus%20officinalis | https://plants.sc.egov.usda.gov/home/search?query=Salvia%20officinalis | https://plants.sc.egov.usda.gov/home/search?query=Symphytum%20officinale | https://plants.sc.egov.usda.gov/home/search?query=catnip | https://plants.sc.egov.usda.gov/home/search?query=holy%20basil | https://plants.sc.egov.usda.gov/home/search?query=lemon%20balm | https://plants.sc.egov.usda.gov/home/search?query=peppermint | https://pubchem.ncbi.nlm.nih.gov/#query=rosmarinic%20acid</t>
        </is>
      </c>
      <c r="N381" s="181" t="inlineStr">
        <is>
          <t>inferred_plus_trusted_gov; trusted_gov_added</t>
        </is>
      </c>
      <c r="O381" s="181" t="inlineStr">
        <is>
          <t>PubChem compound page (NIH); USDA Plants database; scientific name; PubChem compound page (NIH); USDA Plants database</t>
        </is>
      </c>
      <c r="P381" s="181" t="str"/>
      <c r="Q381" s="181" t="inlineStr">
        <is>
          <t>dracocephalum-moldavica; glechoma-hederacea; melissa-officinalis; melissa-officinalis-lemon-balm; mentha-piperita; nepeta-cataria; ocimum-sanctum; prunella-vulgaris; rosmarinus-officinalis; salvia-officinalis; symphytum-officinale; tulsi</t>
        </is>
      </c>
      <c r="R381" s="181" t="n">
        <v>12</v>
      </c>
      <c r="S381" s="181" t="inlineStr">
        <is>
          <t>Yes</t>
        </is>
      </c>
      <c r="T381" s="181" t="inlineStr">
        <is>
          <t>Integrated from cleaned high-signal dataset</t>
        </is>
      </c>
    </row>
    <row r="382">
      <c r="A382" s="181" t="inlineStr">
        <is>
          <t>rutaecarpine</t>
        </is>
      </c>
      <c r="B382" s="181" t="inlineStr">
        <is>
          <t>rutaecarpine</t>
        </is>
      </c>
      <c r="C382" s="181" t="str"/>
      <c r="D382" s="181" t="inlineStr">
        <is>
          <t>other</t>
        </is>
      </c>
      <c r="E382" s="181" t="inlineStr">
        <is>
          <t>insufficient evidence</t>
        </is>
      </c>
      <c r="F382" s="181" t="inlineStr">
        <is>
          <t>multi-target signaling modulation</t>
        </is>
      </c>
      <c r="G382" s="181" t="inlineStr">
        <is>
          <t>general or unknown targets</t>
        </is>
      </c>
      <c r="H382" s="181" t="inlineStr">
        <is>
          <t>Absorption and bioavailability vary; some compounds metabolized via cytochrome P450 enzymes.</t>
        </is>
      </c>
      <c r="I382" s="181" t="inlineStr">
        <is>
          <t>low</t>
        </is>
      </c>
      <c r="J382" s="181" t="inlineStr">
        <is>
          <t>no well-documented interactions</t>
        </is>
      </c>
      <c r="K382" s="181" t="str"/>
      <c r="L382" s="181" t="inlineStr">
        <is>
          <t>compound_level</t>
        </is>
      </c>
      <c r="M382" s="181" t="inlineStr">
        <is>
          <t>https://plants.sc.egov.usda.gov/home/search?query=Tetradium%20ruticarpum | https://pubchem.ncbi.nlm.nih.gov/#query=rutaecarpine</t>
        </is>
      </c>
      <c r="N382" s="181" t="inlineStr">
        <is>
          <t>inferred_plus_trusted_gov</t>
        </is>
      </c>
      <c r="O382" s="181" t="inlineStr">
        <is>
          <t>scientific name; PubChem compound page (NIH); USDA Plants database</t>
        </is>
      </c>
      <c r="P382" s="181" t="str"/>
      <c r="Q382" s="181" t="inlineStr">
        <is>
          <t>tetradium-ruticarpum</t>
        </is>
      </c>
      <c r="R382" s="181" t="n">
        <v>1</v>
      </c>
      <c r="S382" s="181" t="inlineStr">
        <is>
          <t>Yes</t>
        </is>
      </c>
      <c r="T382" s="181" t="inlineStr">
        <is>
          <t>Integrated from cleaned high-signal dataset</t>
        </is>
      </c>
    </row>
    <row r="383">
      <c r="A383" s="181" t="inlineStr">
        <is>
          <t>rutin</t>
        </is>
      </c>
      <c r="B383" s="181" t="inlineStr">
        <is>
          <t>rutin</t>
        </is>
      </c>
      <c r="C383" s="181" t="str"/>
      <c r="D383" s="181" t="inlineStr">
        <is>
          <t>other</t>
        </is>
      </c>
      <c r="E383" s="181" t="inlineStr">
        <is>
          <t>insufficient evidence</t>
        </is>
      </c>
      <c r="F383" s="181" t="inlineStr">
        <is>
          <t>multi-target signaling modulation; muscarinic receptor interaction</t>
        </is>
      </c>
      <c r="G383" s="181" t="inlineStr">
        <is>
          <t>cholinergic_modulation; general or unknown targets</t>
        </is>
      </c>
      <c r="H383" s="181" t="inlineStr">
        <is>
          <t>rapid systemic absorption; crosses BBB; hepatic metabolism</t>
        </is>
      </c>
      <c r="I383" s="181" t="inlineStr">
        <is>
          <t>low</t>
        </is>
      </c>
      <c r="J383" s="181" t="inlineStr">
        <is>
          <t>no well-documented interactions</t>
        </is>
      </c>
      <c r="K383" s="181" t="str"/>
      <c r="L383" s="181" t="inlineStr">
        <is>
          <t>compound_level</t>
        </is>
      </c>
      <c r="M383" s="181" t="inlineStr">
        <is>
          <t>https://plants.sc.egov.usda.gov/home/search?query=Ruta%20chalepensis | https://plants.sc.egov.usda.gov/home/search?query=amorpha%20fruticosa | https://pubchem.ncbi.nlm.nih.gov/#query=rutin</t>
        </is>
      </c>
      <c r="N383" s="181" t="inlineStr">
        <is>
          <t>inferred_plus_trusted_gov; trusted_gov_added</t>
        </is>
      </c>
      <c r="O383" s="181" t="inlineStr">
        <is>
          <t>PubChem compound page (NIH); USDA Plants database; scientific name; PubChem compound page (NIH); USDA Plants database</t>
        </is>
      </c>
      <c r="P383" s="181" t="str"/>
      <c r="Q383" s="181" t="inlineStr">
        <is>
          <t>amorpha-fruticosa; ruta-chalepensis</t>
        </is>
      </c>
      <c r="R383" s="181" t="n">
        <v>2</v>
      </c>
      <c r="S383" s="181" t="inlineStr">
        <is>
          <t>Yes</t>
        </is>
      </c>
      <c r="T383" s="181" t="inlineStr">
        <is>
          <t>Integrated from cleaned high-signal dataset</t>
        </is>
      </c>
    </row>
    <row r="384">
      <c r="A384" s="181" t="inlineStr">
        <is>
          <t>s-adenosyl-l-methionine</t>
        </is>
      </c>
      <c r="B384" s="181" t="inlineStr">
        <is>
          <t>s-adenosyl-l-methionine (same)</t>
        </is>
      </c>
      <c r="C384" s="181" t="str"/>
      <c r="D384" s="181" t="inlineStr">
        <is>
          <t>sulfonium metabolite / methyl donor</t>
        </is>
      </c>
      <c r="E384" s="181" t="inlineStr">
        <is>
          <t>Universal methyl donor in transmethylation reactions; also participates in transsulfuration and polyamine biosynthesis.</t>
        </is>
      </c>
      <c r="F384" s="181" t="str"/>
      <c r="G384" s="181" t="inlineStr">
        <is>
          <t>Methylation pathways; polyamine biosynthesis; transsulfuration pathway</t>
        </is>
      </c>
      <c r="H384" s="181" t="inlineStr">
        <is>
          <t>Oral supplement exposure is formulation-dependent; not handled like a typical receptor-targeting small molecule in dataset terms.</t>
        </is>
      </c>
      <c r="I384" s="181" t="inlineStr">
        <is>
          <t>GI upset and anxiety/insomnia can occur. Avoid unsupervised use in bipolar disorder because manic symptoms have been reported.</t>
        </is>
      </c>
      <c r="J384" s="181" t="inlineStr">
        <is>
          <t>Serotonergic antidepressants (possible additive serotonergic effects); caution in bipolar disorder because activation/mania can occur.</t>
        </is>
      </c>
      <c r="K384" s="181" t="str"/>
      <c r="L384" s="181" t="inlineStr">
        <is>
          <t>Sprint5</t>
        </is>
      </c>
      <c r="M384" s="181" t="inlineStr">
        <is>
          <t>https://pubchem.ncbi.nlm.nih.gov/compound/S-Adenosylmethionine | https://pubmed.ncbi.nlm.nih.gov/36891755/ | https://www.nccih.nih.gov/health/sadenosyllmethionine-same-in-depth</t>
        </is>
      </c>
      <c r="N384" s="181" t="str"/>
      <c r="O384" s="181" t="str"/>
      <c r="P384" s="181" t="inlineStr">
        <is>
          <t>precision_monographs_sprint5.xlsx</t>
        </is>
      </c>
      <c r="Q384" s="181" t="str"/>
      <c r="R384" s="181" t="n">
        <v>0</v>
      </c>
      <c r="S384" s="181" t="inlineStr">
        <is>
          <t>No</t>
        </is>
      </c>
      <c r="T384" s="181" t="inlineStr">
        <is>
          <t>Integrated from compound monograph workbook</t>
        </is>
      </c>
    </row>
    <row r="385">
      <c r="A385" s="181" t="inlineStr">
        <is>
          <t>safranal</t>
        </is>
      </c>
      <c r="B385" s="181" t="inlineStr">
        <is>
          <t>safranal</t>
        </is>
      </c>
      <c r="C385" s="181" t="str"/>
      <c r="D385" s="181" t="inlineStr">
        <is>
          <t>other</t>
        </is>
      </c>
      <c r="E385" s="181" t="inlineStr">
        <is>
          <t>insufficient evidence</t>
        </is>
      </c>
      <c r="F385" s="181" t="inlineStr">
        <is>
          <t>multi-target signaling modulation</t>
        </is>
      </c>
      <c r="G385" s="181" t="inlineStr">
        <is>
          <t>general or unknown targets</t>
        </is>
      </c>
      <c r="H385" s="181" t="inlineStr">
        <is>
          <t>moderate absorption; hepatic metabolism</t>
        </is>
      </c>
      <c r="I385" s="181" t="inlineStr">
        <is>
          <t>low</t>
        </is>
      </c>
      <c r="J385" s="181" t="inlineStr">
        <is>
          <t>no well-documented interactions</t>
        </is>
      </c>
      <c r="K385" s="181" t="str"/>
      <c r="L385" s="181" t="inlineStr">
        <is>
          <t>compound_level</t>
        </is>
      </c>
      <c r="M385" s="181" t="inlineStr">
        <is>
          <t>https://plants.sc.egov.usda.gov/home/search?query=crocus%20sativus | https://pubchem.ncbi.nlm.nih.gov/#query=safranal</t>
        </is>
      </c>
      <c r="N385" s="181" t="inlineStr">
        <is>
          <t>trusted_gov_added</t>
        </is>
      </c>
      <c r="O385" s="181" t="inlineStr">
        <is>
          <t>PubChem compound page (NIH); USDA Plants database</t>
        </is>
      </c>
      <c r="P385" s="181" t="str"/>
      <c r="Q385" s="181" t="inlineStr">
        <is>
          <t>crocus-sativus</t>
        </is>
      </c>
      <c r="R385" s="181" t="n">
        <v>1</v>
      </c>
      <c r="S385" s="181" t="inlineStr">
        <is>
          <t>Yes</t>
        </is>
      </c>
      <c r="T385" s="181" t="inlineStr">
        <is>
          <t>Integrated from cleaned high-signal dataset</t>
        </is>
      </c>
    </row>
    <row r="386">
      <c r="A386" s="181" t="inlineStr">
        <is>
          <t>safrole</t>
        </is>
      </c>
      <c r="B386" s="181" t="inlineStr">
        <is>
          <t>safrole</t>
        </is>
      </c>
      <c r="C386" s="181" t="str"/>
      <c r="D386" s="181" t="inlineStr">
        <is>
          <t>essential oils</t>
        </is>
      </c>
      <c r="E386" s="181" t="inlineStr">
        <is>
          <t>insufficient evidence</t>
        </is>
      </c>
      <c r="F386" s="181" t="inlineStr">
        <is>
          <t>multi-target signaling modulation</t>
        </is>
      </c>
      <c r="G386" s="181" t="inlineStr">
        <is>
          <t>general or unknown targets</t>
        </is>
      </c>
      <c r="H386" s="181" t="inlineStr">
        <is>
          <t>Absorption and bioavailability vary; some compounds metabolized via cytochrome P450 enzymes.</t>
        </is>
      </c>
      <c r="I386" s="181" t="inlineStr">
        <is>
          <t>low</t>
        </is>
      </c>
      <c r="J386" s="181" t="inlineStr">
        <is>
          <t>no well-documented interactions</t>
        </is>
      </c>
      <c r="K386" s="181" t="str"/>
      <c r="L386" s="181" t="inlineStr">
        <is>
          <t>compound_level</t>
        </is>
      </c>
      <c r="M386" s="181" t="inlineStr">
        <is>
          <t>https://plants.sc.egov.usda.gov/home/search?query=Piper%20auritum | https://pubchem.ncbi.nlm.nih.gov/#query=safrole</t>
        </is>
      </c>
      <c r="N386" s="181" t="inlineStr">
        <is>
          <t>inferred_plus_trusted_gov</t>
        </is>
      </c>
      <c r="O386" s="181" t="inlineStr">
        <is>
          <t>scientific name; PubChem compound page (NIH); USDA Plants database</t>
        </is>
      </c>
      <c r="P386" s="181" t="str"/>
      <c r="Q386" s="181" t="inlineStr">
        <is>
          <t>piper-auritum</t>
        </is>
      </c>
      <c r="R386" s="181" t="n">
        <v>1</v>
      </c>
      <c r="S386" s="181" t="inlineStr">
        <is>
          <t>Yes</t>
        </is>
      </c>
      <c r="T386" s="181" t="inlineStr">
        <is>
          <t>Integrated from cleaned high-signal dataset</t>
        </is>
      </c>
    </row>
    <row r="387">
      <c r="A387" s="181" t="inlineStr">
        <is>
          <t>salacinol</t>
        </is>
      </c>
      <c r="B387" s="181" t="inlineStr">
        <is>
          <t>salacinol</t>
        </is>
      </c>
      <c r="C387" s="181" t="str"/>
      <c r="D387" s="181" t="inlineStr">
        <is>
          <t>other</t>
        </is>
      </c>
      <c r="E387" s="181" t="inlineStr">
        <is>
          <t>insufficient evidence</t>
        </is>
      </c>
      <c r="F387" s="181" t="inlineStr">
        <is>
          <t>multi-target signaling modulation</t>
        </is>
      </c>
      <c r="G387" s="181" t="inlineStr">
        <is>
          <t>general or unknown targets</t>
        </is>
      </c>
      <c r="H387" s="181" t="inlineStr">
        <is>
          <t>Absorption and bioavailability vary; some compounds metabolized via cytochrome P450 enzymes.</t>
        </is>
      </c>
      <c r="I387" s="181" t="inlineStr">
        <is>
          <t>low</t>
        </is>
      </c>
      <c r="J387" s="181" t="inlineStr">
        <is>
          <t>no well-documented interactions</t>
        </is>
      </c>
      <c r="K387" s="181" t="str"/>
      <c r="L387" s="181" t="inlineStr">
        <is>
          <t>compound_level</t>
        </is>
      </c>
      <c r="M387" s="181" t="inlineStr">
        <is>
          <t>https://plants.sc.egov.usda.gov/home/search?query=Salacia%20reticulata | https://pubchem.ncbi.nlm.nih.gov/#query=salacinol</t>
        </is>
      </c>
      <c r="N387" s="181" t="inlineStr">
        <is>
          <t>inferred_plus_trusted_gov</t>
        </is>
      </c>
      <c r="O387" s="181" t="inlineStr">
        <is>
          <t>scientific name; PubChem compound page (NIH); USDA Plants database</t>
        </is>
      </c>
      <c r="P387" s="181" t="str"/>
      <c r="Q387" s="181" t="inlineStr">
        <is>
          <t>salacia-reticulata</t>
        </is>
      </c>
      <c r="R387" s="181" t="n">
        <v>1</v>
      </c>
      <c r="S387" s="181" t="inlineStr">
        <is>
          <t>Yes</t>
        </is>
      </c>
      <c r="T387" s="181" t="inlineStr">
        <is>
          <t>Integrated from cleaned high-signal dataset</t>
        </is>
      </c>
    </row>
    <row r="388">
      <c r="A388" s="181" t="inlineStr">
        <is>
          <t>salicin</t>
        </is>
      </c>
      <c r="B388" s="181" t="inlineStr">
        <is>
          <t>salicin</t>
        </is>
      </c>
      <c r="C388" s="181" t="str"/>
      <c r="D388" s="181" t="inlineStr">
        <is>
          <t>Salicin, polyphenols, flavonoids</t>
        </is>
      </c>
      <c r="E388" s="181" t="inlineStr">
        <is>
          <t>insufficient evidence</t>
        </is>
      </c>
      <c r="F388" s="181" t="inlineStr">
        <is>
          <t>multi-target signaling modulation</t>
        </is>
      </c>
      <c r="G388" s="181" t="inlineStr">
        <is>
          <t>general or unknown targets</t>
        </is>
      </c>
      <c r="H388" s="181" t="inlineStr">
        <is>
          <t>Oral; COX inhibition and antipyretic</t>
        </is>
      </c>
      <c r="I388" s="181" t="inlineStr">
        <is>
          <t>low</t>
        </is>
      </c>
      <c r="J388" s="181" t="inlineStr">
        <is>
          <t>no well-documented interactions</t>
        </is>
      </c>
      <c r="K388" s="181" t="str"/>
      <c r="L388" s="181" t="inlineStr">
        <is>
          <t>compound_level</t>
        </is>
      </c>
      <c r="M388" s="181" t="inlineStr">
        <is>
          <t>https://plants.sc.egov.usda.gov/home/search?query=Salix%20alba | https://plants.sc.egov.usda.gov/home/search?query=Viburnum%20opulus | https://pubchem.ncbi.nlm.nih.gov/#query=salicin</t>
        </is>
      </c>
      <c r="N388" s="181" t="inlineStr">
        <is>
          <t>inferred_plus_trusted_gov</t>
        </is>
      </c>
      <c r="O388" s="181" t="inlineStr">
        <is>
          <t>scientific name; PubChem compound page (NIH); USDA Plants database</t>
        </is>
      </c>
      <c r="P388" s="181" t="str"/>
      <c r="Q388" s="181" t="inlineStr">
        <is>
          <t>salix-alba; viburnum-opulus</t>
        </is>
      </c>
      <c r="R388" s="181" t="n">
        <v>2</v>
      </c>
      <c r="S388" s="181" t="inlineStr">
        <is>
          <t>Yes</t>
        </is>
      </c>
      <c r="T388" s="181" t="inlineStr">
        <is>
          <t>Integrated from cleaned high-signal dataset</t>
        </is>
      </c>
    </row>
    <row r="389">
      <c r="A389" s="181" t="inlineStr">
        <is>
          <t>salicylic acid</t>
        </is>
      </c>
      <c r="B389" s="181" t="inlineStr">
        <is>
          <t>salicylic acid</t>
        </is>
      </c>
      <c r="C389" s="181" t="str"/>
      <c r="D389" s="181" t="inlineStr">
        <is>
          <t>Tannins, salicylic acid, flavonoids</t>
        </is>
      </c>
      <c r="E389" s="181" t="inlineStr">
        <is>
          <t>insufficient evidence</t>
        </is>
      </c>
      <c r="F389" s="181" t="inlineStr">
        <is>
          <t>cox inhibition</t>
        </is>
      </c>
      <c r="G389" s="181" t="inlineStr">
        <is>
          <t>PTGS1, PTGS2 (COX-1, COX-2)</t>
        </is>
      </c>
      <c r="H389" s="181" t="inlineStr">
        <is>
          <t>Oral; astringent and anti-inflammatory</t>
        </is>
      </c>
      <c r="I389" s="181" t="inlineStr">
        <is>
          <t>low</t>
        </is>
      </c>
      <c r="J389" s="181" t="inlineStr">
        <is>
          <t>may interact with NSAIDs or anticoagulants</t>
        </is>
      </c>
      <c r="K389" s="181" t="str"/>
      <c r="L389" s="181" t="inlineStr">
        <is>
          <t>compound_level</t>
        </is>
      </c>
      <c r="M389" s="181" t="inlineStr">
        <is>
          <t>https://plants.sc.egov.usda.gov/home/search?query=Alchemilla%20vulgaris | https://pubchem.ncbi.nlm.nih.gov/#query=salicylic%20acid</t>
        </is>
      </c>
      <c r="N389" s="181" t="inlineStr">
        <is>
          <t>inferred_plus_trusted_gov</t>
        </is>
      </c>
      <c r="O389" s="181" t="inlineStr">
        <is>
          <t>scientific name; PubChem compound page (NIH); USDA Plants database</t>
        </is>
      </c>
      <c r="P389" s="181" t="str"/>
      <c r="Q389" s="181" t="inlineStr">
        <is>
          <t>alchemilla-vulgaris</t>
        </is>
      </c>
      <c r="R389" s="181" t="n">
        <v>1</v>
      </c>
      <c r="S389" s="181" t="inlineStr">
        <is>
          <t>Yes</t>
        </is>
      </c>
      <c r="T389" s="181" t="inlineStr">
        <is>
          <t>Integrated from cleaned high-signal dataset</t>
        </is>
      </c>
    </row>
    <row r="390">
      <c r="A390" s="181" t="inlineStr">
        <is>
          <t>salidroside</t>
        </is>
      </c>
      <c r="B390" s="181" t="inlineStr">
        <is>
          <t>salidroside</t>
        </is>
      </c>
      <c r="C390" s="181" t="str"/>
      <c r="D390" s="181" t="inlineStr">
        <is>
          <t>phenylpropanoid glycoside</t>
        </is>
      </c>
      <c r="E390" s="181" t="inlineStr">
        <is>
          <t>Pathway-level cytoprotective and metabolic signaling repeatedly linked to AMPK and PI3K/Akt.</t>
        </is>
      </c>
      <c r="F390" s="181" t="inlineStr">
        <is>
          <t>multi-target signaling modulation</t>
        </is>
      </c>
      <c r="G390" s="181" t="inlineStr">
        <is>
          <t>AMPK activation; Nrf2/ARE pathway activation; PI3K/Akt pathway modulation; general or unknown targets</t>
        </is>
      </c>
      <c r="H390" s="181" t="inlineStr">
        <is>
          <t>Strong human PK profile not locked for this pass; keep disposition claims conservative.</t>
        </is>
      </c>
      <c r="I390" s="181" t="inlineStr">
        <is>
          <t>Reviewed sources suggest a relatively clean safety profile, but human interaction evidence is sparse.</t>
        </is>
      </c>
      <c r="J390" s="181" t="inlineStr">
        <is>
          <t>No strong compound-specific clinical DDI retained; evidence for interaction risk remains limited.</t>
        </is>
      </c>
      <c r="K390" s="181" t="inlineStr">
        <is>
          <t>moderate</t>
        </is>
      </c>
      <c r="L390" s="181" t="inlineStr">
        <is>
          <t>Sprint3</t>
        </is>
      </c>
      <c r="M390" s="181" t="inlineStr">
        <is>
          <t>https://plants.sc.egov.usda.gov/home/search?query=Rhodiola%20rosea | https://plants.sc.egov.usda.gov/home/search?query=rhodiola%20rosea | https://pmc.ncbi.nlm.nih.gov/articles/PMC10420790/ | https://pmc.ncbi.nlm.nih.gov/articles/PMC11678419/ | https://pmc.ncbi.nlm.nih.gov/articles/PMC5651268/ | https://pubchem.ncbi.nlm.nih.gov/#query=salidroside</t>
        </is>
      </c>
      <c r="N390" s="181" t="inlineStr">
        <is>
          <t>inferred_plus_trusted_gov; trusted_gov_added</t>
        </is>
      </c>
      <c r="O390" s="181" t="inlineStr">
        <is>
          <t>PubChem compound page (NIH); USDA Plants database; scientific name; PubChem compound page (NIH); USDA Plants database</t>
        </is>
      </c>
      <c r="P390" s="181" t="inlineStr">
        <is>
          <t>precision_monographs_sprint3.xlsx</t>
        </is>
      </c>
      <c r="Q390" s="181" t="inlineStr">
        <is>
          <t>rhodiola; rhodiola-rosea</t>
        </is>
      </c>
      <c r="R390" s="181" t="n">
        <v>2</v>
      </c>
      <c r="S390" s="181" t="inlineStr">
        <is>
          <t>Yes</t>
        </is>
      </c>
      <c r="T390" s="181" t="inlineStr">
        <is>
          <t>Integrated from cleaned high-signal dataset; Integrated from compound monograph workbook</t>
        </is>
      </c>
    </row>
    <row r="391">
      <c r="A391" s="181" t="inlineStr">
        <is>
          <t>salvinorin a</t>
        </is>
      </c>
      <c r="B391" s="181" t="inlineStr">
        <is>
          <t>salvinorin a</t>
        </is>
      </c>
      <c r="C391" s="181" t="str"/>
      <c r="D391" s="181" t="inlineStr">
        <is>
          <t>other</t>
        </is>
      </c>
      <c r="E391" s="181" t="inlineStr">
        <is>
          <t>Salvinorin A is a potent kappa-opioid receptor agonist producing dissociative and hallucinogenic effects.</t>
        </is>
      </c>
      <c r="F391" s="181" t="inlineStr">
        <is>
          <t>multi-target signaling modulation</t>
        </is>
      </c>
      <c r="G391" s="181" t="inlineStr">
        <is>
          <t>general or unknown targets</t>
        </is>
      </c>
      <c r="H391" s="181" t="inlineStr">
        <is>
          <t>Absorbed via oral mucosa, smoking or vaporization; rapid onset (seconds–minutes), short duration (~15–30 min), quickly metabolized to inactive salvinorin B [3, 1].</t>
        </is>
      </c>
      <c r="I391" s="181" t="inlineStr">
        <is>
          <t>Low physiological toxicity; intense psychological effects.</t>
        </is>
      </c>
      <c r="J391" s="181" t="inlineStr">
        <is>
          <t>cns depressants may potentiate sedative effects; caution when coadministered [3, 3].</t>
        </is>
      </c>
      <c r="K391" s="181" t="str"/>
      <c r="L391" s="181" t="inlineStr">
        <is>
          <t>compound_level</t>
        </is>
      </c>
      <c r="M391" s="181" t="inlineStr">
        <is>
          <t>https://plants.sc.egov.usda.gov/home/search?query=salvia%20divinorum | https://pubchem.ncbi.nlm.nih.gov/#query=salvinorin%20a</t>
        </is>
      </c>
      <c r="N391" s="181" t="inlineStr">
        <is>
          <t>inferred_plus_trusted_gov</t>
        </is>
      </c>
      <c r="O391" s="181" t="inlineStr">
        <is>
          <t>Unknown; PubChem compound page (NIH); USDA Plants database</t>
        </is>
      </c>
      <c r="P391" s="181" t="str"/>
      <c r="Q391" s="181" t="inlineStr">
        <is>
          <t>salvia-divinorum</t>
        </is>
      </c>
      <c r="R391" s="181" t="n">
        <v>1</v>
      </c>
      <c r="S391" s="181" t="inlineStr">
        <is>
          <t>Yes</t>
        </is>
      </c>
      <c r="T391" s="181" t="inlineStr">
        <is>
          <t>Integrated from cleaned high-signal dataset</t>
        </is>
      </c>
    </row>
    <row r="392">
      <c r="A392" s="181" t="inlineStr">
        <is>
          <t>sambunigrin</t>
        </is>
      </c>
      <c r="B392" s="181" t="inlineStr">
        <is>
          <t>sambunigrin</t>
        </is>
      </c>
      <c r="C392" s="181" t="str"/>
      <c r="D392" s="181" t="inlineStr">
        <is>
          <t>Anthocyanins, flavonoids, sambunigrin</t>
        </is>
      </c>
      <c r="E392" s="181" t="inlineStr">
        <is>
          <t>insufficient evidence</t>
        </is>
      </c>
      <c r="F392" s="181" t="inlineStr">
        <is>
          <t>multi-target signaling modulation</t>
        </is>
      </c>
      <c r="G392" s="181" t="inlineStr">
        <is>
          <t>general or unknown targets</t>
        </is>
      </c>
      <c r="H392" s="181" t="inlineStr">
        <is>
          <t>Oral; cytokine modulation and antioxidant</t>
        </is>
      </c>
      <c r="I392" s="181" t="inlineStr">
        <is>
          <t>low</t>
        </is>
      </c>
      <c r="J392" s="181" t="inlineStr">
        <is>
          <t>no well-documented interactions</t>
        </is>
      </c>
      <c r="K392" s="181" t="str"/>
      <c r="L392" s="181" t="inlineStr">
        <is>
          <t>compound_level</t>
        </is>
      </c>
      <c r="M392" s="181" t="inlineStr">
        <is>
          <t>https://plants.sc.egov.usda.gov/home/search?query=Sambucus%20nigra | https://pubchem.ncbi.nlm.nih.gov/#query=sambunigrin</t>
        </is>
      </c>
      <c r="N392" s="181" t="inlineStr">
        <is>
          <t>inferred_plus_trusted_gov</t>
        </is>
      </c>
      <c r="O392" s="181" t="inlineStr">
        <is>
          <t>scientific name; PubChem compound page (NIH); USDA Plants database</t>
        </is>
      </c>
      <c r="P392" s="181" t="str"/>
      <c r="Q392" s="181" t="inlineStr">
        <is>
          <t>sambucus-nigra</t>
        </is>
      </c>
      <c r="R392" s="181" t="n">
        <v>1</v>
      </c>
      <c r="S392" s="181" t="inlineStr">
        <is>
          <t>Yes</t>
        </is>
      </c>
      <c r="T392" s="181" t="inlineStr">
        <is>
          <t>Integrated from cleaned high-signal dataset</t>
        </is>
      </c>
    </row>
    <row r="393">
      <c r="A393" s="181" t="inlineStr">
        <is>
          <t>sanguinarine</t>
        </is>
      </c>
      <c r="B393" s="181" t="inlineStr">
        <is>
          <t>sanguinarine</t>
        </is>
      </c>
      <c r="C393" s="181" t="str"/>
      <c r="D393" s="181" t="inlineStr">
        <is>
          <t>other</t>
        </is>
      </c>
      <c r="E393" s="181" t="inlineStr">
        <is>
          <t>insufficient evidence</t>
        </is>
      </c>
      <c r="F393" s="181" t="inlineStr">
        <is>
          <t>multi-target signaling modulation</t>
        </is>
      </c>
      <c r="G393" s="181" t="inlineStr">
        <is>
          <t>general or unknown targets</t>
        </is>
      </c>
      <c r="H393" s="181" t="inlineStr">
        <is>
          <t>Topical; cytotoxic and antimicrobial</t>
        </is>
      </c>
      <c r="I393" s="181" t="inlineStr">
        <is>
          <t>low</t>
        </is>
      </c>
      <c r="J393" s="181" t="inlineStr">
        <is>
          <t>no well-documented interactions</t>
        </is>
      </c>
      <c r="K393" s="181" t="str"/>
      <c r="L393" s="181" t="inlineStr">
        <is>
          <t>compound_level</t>
        </is>
      </c>
      <c r="M393" s="181" t="inlineStr">
        <is>
          <t>https://plants.sc.egov.usda.gov/home/search?query=Sanguinaria%20canadensis | https://pubchem.ncbi.nlm.nih.gov/#query=sanguinarine</t>
        </is>
      </c>
      <c r="N393" s="181" t="inlineStr">
        <is>
          <t>inferred_plus_trusted_gov</t>
        </is>
      </c>
      <c r="O393" s="181" t="inlineStr">
        <is>
          <t>scientific name; PubChem compound page (NIH); USDA Plants database</t>
        </is>
      </c>
      <c r="P393" s="181" t="str"/>
      <c r="Q393" s="181" t="inlineStr">
        <is>
          <t>sanguinaria-canadensis</t>
        </is>
      </c>
      <c r="R393" s="181" t="n">
        <v>1</v>
      </c>
      <c r="S393" s="181" t="inlineStr">
        <is>
          <t>Yes</t>
        </is>
      </c>
      <c r="T393" s="181" t="inlineStr">
        <is>
          <t>Integrated from cleaned high-signal dataset</t>
        </is>
      </c>
    </row>
    <row r="394">
      <c r="A394" s="181" t="inlineStr">
        <is>
          <t>saponins hederacoside</t>
        </is>
      </c>
      <c r="B394" s="181" t="inlineStr">
        <is>
          <t>saponins (hederacoside)</t>
        </is>
      </c>
      <c r="C394" s="181" t="str"/>
      <c r="D394" s="181" t="inlineStr">
        <is>
          <t>Saponins (hederacoside), flavonoids</t>
        </is>
      </c>
      <c r="E394" s="181" t="inlineStr">
        <is>
          <t>insufficient evidence</t>
        </is>
      </c>
      <c r="F394" s="181" t="inlineStr">
        <is>
          <t>multi-target signaling modulation</t>
        </is>
      </c>
      <c r="G394" s="181" t="inlineStr">
        <is>
          <t>general or unknown targets</t>
        </is>
      </c>
      <c r="H394" s="181" t="inlineStr">
        <is>
          <t>Oral; mucolytic and bronchodilator</t>
        </is>
      </c>
      <c r="I394" s="181" t="inlineStr">
        <is>
          <t>low</t>
        </is>
      </c>
      <c r="J394" s="181" t="inlineStr">
        <is>
          <t>no well-documented interactions</t>
        </is>
      </c>
      <c r="K394" s="181" t="str"/>
      <c r="L394" s="181" t="inlineStr">
        <is>
          <t>compound_level</t>
        </is>
      </c>
      <c r="M394" s="181" t="inlineStr">
        <is>
          <t>https://plants.sc.egov.usda.gov/home/search?query=Hedera%20helix | https://pubchem.ncbi.nlm.nih.gov/#query=saponins%20%28hederacoside%29</t>
        </is>
      </c>
      <c r="N394" s="181" t="inlineStr">
        <is>
          <t>inferred_plus_trusted_gov</t>
        </is>
      </c>
      <c r="O394" s="181" t="inlineStr">
        <is>
          <t>scientific name; PubChem compound page (NIH); USDA Plants database</t>
        </is>
      </c>
      <c r="P394" s="181" t="str"/>
      <c r="Q394" s="181" t="inlineStr">
        <is>
          <t>hedera-helix</t>
        </is>
      </c>
      <c r="R394" s="181" t="n">
        <v>1</v>
      </c>
      <c r="S394" s="181" t="inlineStr">
        <is>
          <t>Yes</t>
        </is>
      </c>
      <c r="T394" s="181" t="inlineStr">
        <is>
          <t>Integrated from cleaned high-signal dataset</t>
        </is>
      </c>
    </row>
    <row r="395">
      <c r="A395" s="181" t="inlineStr">
        <is>
          <t>sarsaponin</t>
        </is>
      </c>
      <c r="B395" s="181" t="inlineStr">
        <is>
          <t>sarsaponin</t>
        </is>
      </c>
      <c r="C395" s="181" t="str"/>
      <c r="D395" s="181" t="inlineStr">
        <is>
          <t>Sarsaponin, phytosterols</t>
        </is>
      </c>
      <c r="E395" s="181" t="inlineStr">
        <is>
          <t>insufficient evidence</t>
        </is>
      </c>
      <c r="F395" s="181" t="inlineStr">
        <is>
          <t>multi-target signaling modulation</t>
        </is>
      </c>
      <c r="G395" s="181" t="inlineStr">
        <is>
          <t>general or unknown targets</t>
        </is>
      </c>
      <c r="H395" s="181" t="inlineStr">
        <is>
          <t>Oral; adaptogenic and alterative</t>
        </is>
      </c>
      <c r="I395" s="181" t="inlineStr">
        <is>
          <t>low</t>
        </is>
      </c>
      <c r="J395" s="181" t="inlineStr">
        <is>
          <t>no well-documented interactions</t>
        </is>
      </c>
      <c r="K395" s="181" t="str"/>
      <c r="L395" s="181" t="inlineStr">
        <is>
          <t>compound_level</t>
        </is>
      </c>
      <c r="M395" s="181" t="inlineStr">
        <is>
          <t>https://plants.sc.egov.usda.gov/home/search?query=Smilax%20ornata | https://pubchem.ncbi.nlm.nih.gov/#query=sarsaponin</t>
        </is>
      </c>
      <c r="N395" s="181" t="inlineStr">
        <is>
          <t>inferred_plus_trusted_gov</t>
        </is>
      </c>
      <c r="O395" s="181" t="inlineStr">
        <is>
          <t>scientific name; PubChem compound page (NIH); USDA Plants database</t>
        </is>
      </c>
      <c r="P395" s="181" t="str"/>
      <c r="Q395" s="181" t="inlineStr">
        <is>
          <t>smilax-ornata</t>
        </is>
      </c>
      <c r="R395" s="181" t="n">
        <v>1</v>
      </c>
      <c r="S395" s="181" t="inlineStr">
        <is>
          <t>Yes</t>
        </is>
      </c>
      <c r="T395" s="181" t="inlineStr">
        <is>
          <t>Integrated from cleaned high-signal dataset</t>
        </is>
      </c>
    </row>
    <row r="396">
      <c r="A396" s="181" t="inlineStr">
        <is>
          <t>schisandrin</t>
        </is>
      </c>
      <c r="B396" s="181" t="inlineStr">
        <is>
          <t>schisandrin</t>
        </is>
      </c>
      <c r="C396" s="181" t="str"/>
      <c r="D396" s="181" t="inlineStr">
        <is>
          <t>Schisandrin, gomisin, lignans</t>
        </is>
      </c>
      <c r="E396" s="181" t="inlineStr">
        <is>
          <t>insufficient evidence</t>
        </is>
      </c>
      <c r="F396" s="181" t="inlineStr">
        <is>
          <t>multi-target signaling modulation</t>
        </is>
      </c>
      <c r="G396" s="181" t="inlineStr">
        <is>
          <t>general or unknown targets</t>
        </is>
      </c>
      <c r="H396" s="181" t="inlineStr">
        <is>
          <t>Oral; antioxidant and hepatoprotective</t>
        </is>
      </c>
      <c r="I396" s="181" t="inlineStr">
        <is>
          <t>low</t>
        </is>
      </c>
      <c r="J396" s="181" t="inlineStr">
        <is>
          <t>no well-documented interactions</t>
        </is>
      </c>
      <c r="K396" s="181" t="str"/>
      <c r="L396" s="181" t="inlineStr">
        <is>
          <t>compound_level</t>
        </is>
      </c>
      <c r="M396" s="181" t="inlineStr">
        <is>
          <t>https://plants.sc.egov.usda.gov/home/search?query=Schisandra%20chinensis | https://pubchem.ncbi.nlm.nih.gov/#query=schisandrin</t>
        </is>
      </c>
      <c r="N396" s="181" t="inlineStr">
        <is>
          <t>inferred_plus_trusted_gov</t>
        </is>
      </c>
      <c r="O396" s="181" t="inlineStr">
        <is>
          <t>scientific name; PubChem compound page (NIH); USDA Plants database</t>
        </is>
      </c>
      <c r="P396" s="181" t="str"/>
      <c r="Q396" s="181" t="inlineStr">
        <is>
          <t>schisandra-chinensis</t>
        </is>
      </c>
      <c r="R396" s="181" t="n">
        <v>1</v>
      </c>
      <c r="S396" s="181" t="inlineStr">
        <is>
          <t>Yes</t>
        </is>
      </c>
      <c r="T396" s="181" t="inlineStr">
        <is>
          <t>Integrated from cleaned high-signal dataset</t>
        </is>
      </c>
    </row>
    <row r="397">
      <c r="A397" s="181" t="inlineStr">
        <is>
          <t>scopadulcic acid</t>
        </is>
      </c>
      <c r="B397" s="181" t="inlineStr">
        <is>
          <t>scopadulcic acid</t>
        </is>
      </c>
      <c r="C397" s="181" t="str"/>
      <c r="D397" s="181" t="inlineStr">
        <is>
          <t>flavonoids</t>
        </is>
      </c>
      <c r="E397" s="181" t="inlineStr">
        <is>
          <t>insufficient evidence</t>
        </is>
      </c>
      <c r="F397" s="181" t="inlineStr">
        <is>
          <t>multi-target signaling modulation</t>
        </is>
      </c>
      <c r="G397" s="181" t="inlineStr">
        <is>
          <t>general or unknown targets</t>
        </is>
      </c>
      <c r="H397" s="181" t="inlineStr">
        <is>
          <t>Absorption and bioavailability vary; some compounds metabolized via cytochrome P450 enzymes.</t>
        </is>
      </c>
      <c r="I397" s="181" t="inlineStr">
        <is>
          <t>low</t>
        </is>
      </c>
      <c r="J397" s="181" t="inlineStr">
        <is>
          <t>no well-documented interactions</t>
        </is>
      </c>
      <c r="K397" s="181" t="str"/>
      <c r="L397" s="181" t="inlineStr">
        <is>
          <t>compound_level</t>
        </is>
      </c>
      <c r="M397" s="181" t="inlineStr">
        <is>
          <t>https://plants.sc.egov.usda.gov/home/search?query=Scoparia%20dulcis | https://pubchem.ncbi.nlm.nih.gov/#query=scopadulcic%20acid</t>
        </is>
      </c>
      <c r="N397" s="181" t="inlineStr">
        <is>
          <t>inferred_plus_trusted_gov</t>
        </is>
      </c>
      <c r="O397" s="181" t="inlineStr">
        <is>
          <t>scientific name; PubChem compound page (NIH); USDA Plants database</t>
        </is>
      </c>
      <c r="P397" s="181" t="str"/>
      <c r="Q397" s="181" t="inlineStr">
        <is>
          <t>scoparia-dulcis</t>
        </is>
      </c>
      <c r="R397" s="181" t="n">
        <v>1</v>
      </c>
      <c r="S397" s="181" t="inlineStr">
        <is>
          <t>Yes</t>
        </is>
      </c>
      <c r="T397" s="181" t="inlineStr">
        <is>
          <t>Integrated from cleaned high-signal dataset</t>
        </is>
      </c>
    </row>
    <row r="398">
      <c r="A398" s="181" t="inlineStr">
        <is>
          <t>scoparin</t>
        </is>
      </c>
      <c r="B398" s="181" t="inlineStr">
        <is>
          <t>scoparin</t>
        </is>
      </c>
      <c r="C398" s="181" t="str"/>
      <c r="D398" s="181" t="inlineStr">
        <is>
          <t>flavonoids</t>
        </is>
      </c>
      <c r="E398" s="181" t="inlineStr">
        <is>
          <t>insufficient evidence</t>
        </is>
      </c>
      <c r="F398" s="181" t="inlineStr">
        <is>
          <t>multi-target signaling modulation</t>
        </is>
      </c>
      <c r="G398" s="181" t="inlineStr">
        <is>
          <t>general or unknown targets</t>
        </is>
      </c>
      <c r="H398" s="181" t="inlineStr">
        <is>
          <t>Absorption and bioavailability vary; some compounds metabolized via cytochrome P450 enzymes.</t>
        </is>
      </c>
      <c r="I398" s="181" t="inlineStr">
        <is>
          <t>low</t>
        </is>
      </c>
      <c r="J398" s="181" t="inlineStr">
        <is>
          <t>no well-documented interactions</t>
        </is>
      </c>
      <c r="K398" s="181" t="str"/>
      <c r="L398" s="181" t="inlineStr">
        <is>
          <t>compound_level</t>
        </is>
      </c>
      <c r="M398" s="181" t="inlineStr">
        <is>
          <t>https://plants.sc.egov.usda.gov/home/search?query=Scoparia%20dulcis | https://pubchem.ncbi.nlm.nih.gov/#query=scoparin</t>
        </is>
      </c>
      <c r="N398" s="181" t="inlineStr">
        <is>
          <t>inferred_plus_trusted_gov</t>
        </is>
      </c>
      <c r="O398" s="181" t="inlineStr">
        <is>
          <t>scientific name; PubChem compound page (NIH); USDA Plants database</t>
        </is>
      </c>
      <c r="P398" s="181" t="str"/>
      <c r="Q398" s="181" t="inlineStr">
        <is>
          <t>scoparia-dulcis</t>
        </is>
      </c>
      <c r="R398" s="181" t="n">
        <v>1</v>
      </c>
      <c r="S398" s="181" t="inlineStr">
        <is>
          <t>Yes</t>
        </is>
      </c>
      <c r="T398" s="181" t="inlineStr">
        <is>
          <t>Integrated from cleaned high-signal dataset</t>
        </is>
      </c>
    </row>
    <row r="399">
      <c r="A399" s="181" t="inlineStr">
        <is>
          <t>scopolamine</t>
        </is>
      </c>
      <c r="B399" s="181" t="inlineStr">
        <is>
          <t>scopolamine</t>
        </is>
      </c>
      <c r="C399" s="181" t="str"/>
      <c r="D399" s="181" t="inlineStr">
        <is>
          <t>alkaloid</t>
        </is>
      </c>
      <c r="E399" s="181" t="inlineStr">
        <is>
          <t>Scopolamine, hyoscyamine, and atropine block muscarinic acetylcholine receptors (anticholinergic), disrupting sensory and cognitive processing.</t>
        </is>
      </c>
      <c r="F399" s="181" t="inlineStr">
        <is>
          <t>muscarinic receptor interaction</t>
        </is>
      </c>
      <c r="G399" s="181" t="inlineStr">
        <is>
          <t>CHRM1, CHRM2 (muscarinic receptors); cholinergic_modulation</t>
        </is>
      </c>
      <c r="H399" s="181" t="inlineStr">
        <is>
          <t>Absorption and bioavailability vary; some compounds metabolized via cytochrome P450 enzymes.</t>
        </is>
      </c>
      <c r="I399" s="181" t="inlineStr">
        <is>
          <t>high</t>
        </is>
      </c>
      <c r="J399" s="181" t="inlineStr">
        <is>
          <t>avoid with other anticholinergics; additive toxicity</t>
        </is>
      </c>
      <c r="K399" s="181" t="str"/>
      <c r="L399" s="181" t="inlineStr">
        <is>
          <t>compound_level</t>
        </is>
      </c>
      <c r="M399" s="181" t="inlineStr">
        <is>
          <t>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https://pubchem.ncbi.nlm.nih.gov/#query=scopolamine | https://www.ncbi.nlm.nih.gov/pmc/articles/PMC1318951/</t>
        </is>
      </c>
      <c r="N399" s="181" t="inlineStr">
        <is>
          <t>citation_or_url_present; inferred_plus_trusted_gov; trusted_gov_added</t>
        </is>
      </c>
      <c r="O399" s="181" t="inlineStr">
        <is>
          <t>PubChem compound page (NIH); USDA Plants database; scientific name; PubChem compound page (NIH); USDA Plants database</t>
        </is>
      </c>
      <c r="P399" s="181" t="str"/>
      <c r="Q399" s="181" t="inlineStr">
        <is>
          <t>atropa-belladonna; brugmansia; brugmansia-sanguinea; brugmansia-suaveolens; datura-ferox; datura-stramonium; datura-wrightii; duboisia-myoporoides; hyoscyamus-niger; mandragora-officinarum; scopolia-carniolica; solandra-maxima</t>
        </is>
      </c>
      <c r="R399" s="181" t="n">
        <v>12</v>
      </c>
      <c r="S399" s="181" t="inlineStr">
        <is>
          <t>Yes</t>
        </is>
      </c>
      <c r="T399" s="181" t="inlineStr">
        <is>
          <t>Integrated from cleaned high-signal dataset</t>
        </is>
      </c>
    </row>
    <row r="400">
      <c r="A400" s="181" t="inlineStr">
        <is>
          <t>scopoletin</t>
        </is>
      </c>
      <c r="B400" s="181" t="inlineStr">
        <is>
          <t>scopoletin</t>
        </is>
      </c>
      <c r="C400" s="181" t="str"/>
      <c r="D400" s="181" t="inlineStr">
        <is>
          <t>Scopoletin, damnacanthal, polysaccharides</t>
        </is>
      </c>
      <c r="E400" s="181" t="inlineStr">
        <is>
          <t>insufficient evidence</t>
        </is>
      </c>
      <c r="F400" s="181" t="inlineStr">
        <is>
          <t>multi-target signaling modulation</t>
        </is>
      </c>
      <c r="G400" s="181" t="inlineStr">
        <is>
          <t>general or unknown targets</t>
        </is>
      </c>
      <c r="H400" s="181" t="inlineStr">
        <is>
          <t>Oral; anti-inflammatory and adaptogenic</t>
        </is>
      </c>
      <c r="I400" s="181" t="inlineStr">
        <is>
          <t>low</t>
        </is>
      </c>
      <c r="J400" s="181" t="inlineStr">
        <is>
          <t>no well-documented interactions</t>
        </is>
      </c>
      <c r="K400" s="181" t="str"/>
      <c r="L400" s="181" t="inlineStr">
        <is>
          <t>compound_level</t>
        </is>
      </c>
      <c r="M400" s="181" t="inlineStr">
        <is>
          <t>https://plants.sc.egov.usda.gov/home/search?query=Morinda%20citrifolia | https://pubchem.ncbi.nlm.nih.gov/#query=scopoletin</t>
        </is>
      </c>
      <c r="N400" s="181" t="inlineStr">
        <is>
          <t>inferred_plus_trusted_gov</t>
        </is>
      </c>
      <c r="O400" s="181" t="inlineStr">
        <is>
          <t>scientific name; PubChem compound page (NIH); USDA Plants database</t>
        </is>
      </c>
      <c r="P400" s="181" t="str"/>
      <c r="Q400" s="181" t="inlineStr">
        <is>
          <t>morinda-citrifolia</t>
        </is>
      </c>
      <c r="R400" s="181" t="n">
        <v>1</v>
      </c>
      <c r="S400" s="181" t="inlineStr">
        <is>
          <t>Yes</t>
        </is>
      </c>
      <c r="T400" s="181" t="inlineStr">
        <is>
          <t>Integrated from cleaned high-signal dataset</t>
        </is>
      </c>
    </row>
    <row r="401">
      <c r="A401" s="181" t="inlineStr">
        <is>
          <t>scutellarin</t>
        </is>
      </c>
      <c r="B401" s="181" t="inlineStr">
        <is>
          <t>scutellarin</t>
        </is>
      </c>
      <c r="C401" s="181" t="str"/>
      <c r="D401" s="181" t="inlineStr">
        <is>
          <t>other</t>
        </is>
      </c>
      <c r="E401" s="181" t="inlineStr">
        <is>
          <t>American skullcap flavonoids are associated with anticonvulsant and anxiolytic activity; GABAergic signaling and broader neuroinhibitory effects have been proposed in preclinical work.</t>
        </is>
      </c>
      <c r="F401" s="181" t="inlineStr">
        <is>
          <t>GABAergic modulation</t>
        </is>
      </c>
      <c r="G401" s="181" t="inlineStr">
        <is>
          <t>gabaergic_modulation</t>
        </is>
      </c>
      <c r="H401" s="181" t="inlineStr">
        <is>
          <t>moderate absorption; hepatic metabolism</t>
        </is>
      </c>
      <c r="I401" s="181" t="inlineStr">
        <is>
          <t>low</t>
        </is>
      </c>
      <c r="J401" s="181" t="inlineStr">
        <is>
          <t>no well-documented interactions</t>
        </is>
      </c>
      <c r="K401" s="181" t="str"/>
      <c r="L401" s="181" t="inlineStr">
        <is>
          <t>compound_level</t>
        </is>
      </c>
      <c r="M401" s="181" t="inlineStr">
        <is>
          <t>https://plants.sc.egov.usda.gov/home/search?query=scutellaria%20lateriflora | https://pubchem.ncbi.nlm.nih.gov/#query=scutellarin</t>
        </is>
      </c>
      <c r="N401" s="181" t="inlineStr">
        <is>
          <t>trusted_gov_added</t>
        </is>
      </c>
      <c r="O401" s="181" t="inlineStr">
        <is>
          <t>PubChem compound page (NIH); USDA Plants database</t>
        </is>
      </c>
      <c r="P401" s="181" t="str"/>
      <c r="Q401" s="181" t="inlineStr">
        <is>
          <t>scutellaria-lateriflora</t>
        </is>
      </c>
      <c r="R401" s="181" t="n">
        <v>1</v>
      </c>
      <c r="S401" s="181" t="inlineStr">
        <is>
          <t>Yes</t>
        </is>
      </c>
      <c r="T401" s="181" t="inlineStr">
        <is>
          <t>Integrated from cleaned high-signal dataset</t>
        </is>
      </c>
    </row>
    <row r="402">
      <c r="A402" s="181" t="inlineStr">
        <is>
          <t>selenium</t>
        </is>
      </c>
      <c r="B402" s="181" t="inlineStr">
        <is>
          <t>selenium</t>
        </is>
      </c>
      <c r="C402" s="181" t="str"/>
      <c r="D402" s="181" t="inlineStr">
        <is>
          <t>essential trace mineral</t>
        </is>
      </c>
      <c r="E402" s="181" t="inlineStr">
        <is>
          <t>Constituent of 25 human selenoproteins including glutathione peroxidases, thioredoxin reductases, and selenoprotein P; supports thyroid hormone metabolism, DNA synthesis, reproduction, and protection from oxidative damage.</t>
        </is>
      </c>
      <c r="F402" s="181" t="str"/>
      <c r="G402" s="181" t="inlineStr">
        <is>
          <t>Glutathione peroxidase systems; selenoprotein P; thioredoxin reductase systems; thyroid hormone T4-to-T3 conversion</t>
        </is>
      </c>
      <c r="H402" s="181" t="inlineStr">
        <is>
          <t>Readily absorbed; selenomethionine and inorganic selenium are metabolized to a common intermediate used for selenocysteine synthesis. Homeostasis is maintained primarily by urinary excretion.</t>
        </is>
      </c>
      <c r="I402" s="181" t="inlineStr">
        <is>
          <t>Chronic excess causes selenosis, classically hair loss and nail brittleness, along with garlic breath, metallic taste, GI symptoms, fatigue, and neurologic abnormalities. Adult UL in the ODS fact sheet is 400 mcg/day.</t>
        </is>
      </c>
      <c r="J402" s="181" t="inlineStr">
        <is>
          <t>Cisplatin can reduce selenium levels; clinically significant supplementation interactions remain limited/uncertain in the ODS fact sheet.</t>
        </is>
      </c>
      <c r="K402" s="181" t="inlineStr">
        <is>
          <t>High</t>
        </is>
      </c>
      <c r="L402" s="181" t="inlineStr">
        <is>
          <t>Sprint7</t>
        </is>
      </c>
      <c r="M402" s="181" t="inlineStr">
        <is>
          <t>https://ods.od.nih.gov/factsheets/Selenium-HealthProfessional/</t>
        </is>
      </c>
      <c r="N402" s="181" t="str"/>
      <c r="O402" s="181" t="str"/>
      <c r="P402" s="181" t="inlineStr">
        <is>
          <t>precision_monographs_sprint7.xlsx</t>
        </is>
      </c>
      <c r="Q402" s="181" t="str"/>
      <c r="R402" s="181" t="n">
        <v>0</v>
      </c>
      <c r="S402" s="181" t="inlineStr">
        <is>
          <t>No</t>
        </is>
      </c>
      <c r="T402" s="181" t="inlineStr">
        <is>
          <t>Integrated from compound monograph workbook</t>
        </is>
      </c>
    </row>
    <row r="403">
      <c r="A403" s="181" t="inlineStr">
        <is>
          <t>sempervirine</t>
        </is>
      </c>
      <c r="B403" s="181" t="inlineStr">
        <is>
          <t>sempervirine</t>
        </is>
      </c>
      <c r="C403" s="181" t="str"/>
      <c r="D403" s="181" t="inlineStr">
        <is>
          <t>other</t>
        </is>
      </c>
      <c r="E403" s="181" t="inlineStr">
        <is>
          <t>Gelsemium alkaloids act on the central and peripheral nervous system; gelsemine has demonstrated antinociceptive activity at spinal alpha3 glycine receptors, while toxic alkaloids can cause convulsions and respiratory failure.</t>
        </is>
      </c>
      <c r="F403" s="181" t="inlineStr">
        <is>
          <t>multi-target signaling modulation</t>
        </is>
      </c>
      <c r="G403" s="181" t="inlineStr">
        <is>
          <t>general or unknown targets</t>
        </is>
      </c>
      <c r="H403" s="181" t="inlineStr">
        <is>
          <t>moderate absorption; hepatic metabolism</t>
        </is>
      </c>
      <c r="I403" s="181" t="inlineStr">
        <is>
          <t>low</t>
        </is>
      </c>
      <c r="J403" s="181" t="inlineStr">
        <is>
          <t>no well-documented interactions</t>
        </is>
      </c>
      <c r="K403" s="181" t="str"/>
      <c r="L403" s="181" t="inlineStr">
        <is>
          <t>compound_level</t>
        </is>
      </c>
      <c r="M403" s="181" t="inlineStr">
        <is>
          <t>https://plants.sc.egov.usda.gov/home/search?query=carolina%20jessamine | https://pubchem.ncbi.nlm.nih.gov/#query=sempervirine</t>
        </is>
      </c>
      <c r="N403" s="181" t="inlineStr">
        <is>
          <t>trusted_gov_added</t>
        </is>
      </c>
      <c r="O403" s="181" t="inlineStr">
        <is>
          <t>PubChem compound page (NIH); USDA Plants database</t>
        </is>
      </c>
      <c r="P403" s="181" t="str"/>
      <c r="Q403" s="181" t="inlineStr">
        <is>
          <t>carolina-jessamine</t>
        </is>
      </c>
      <c r="R403" s="181" t="n">
        <v>1</v>
      </c>
      <c r="S403" s="181" t="inlineStr">
        <is>
          <t>Yes</t>
        </is>
      </c>
      <c r="T403" s="181" t="inlineStr">
        <is>
          <t>Integrated from cleaned high-signal dataset</t>
        </is>
      </c>
    </row>
    <row r="404">
      <c r="A404" s="181" t="inlineStr">
        <is>
          <t>serotonin</t>
        </is>
      </c>
      <c r="B404" s="181" t="inlineStr">
        <is>
          <t>serotonin</t>
        </is>
      </c>
      <c r="C404" s="181" t="str"/>
      <c r="D404" s="181" t="inlineStr">
        <is>
          <t>lignans; flavonoids</t>
        </is>
      </c>
      <c r="E404" s="181" t="inlineStr">
        <is>
          <t>insufficient evidence</t>
        </is>
      </c>
      <c r="F404" s="181" t="inlineStr">
        <is>
          <t>serotonergic modulation</t>
        </is>
      </c>
      <c r="G404" s="181" t="inlineStr">
        <is>
          <t>HTR1A, HTR2A (serotonin receptors)</t>
        </is>
      </c>
      <c r="H404" s="181" t="inlineStr">
        <is>
          <t>rapid absorption; CNS penetration; hepatic metabolism</t>
        </is>
      </c>
      <c r="I404" s="181" t="inlineStr">
        <is>
          <t>low</t>
        </is>
      </c>
      <c r="J404" s="181" t="inlineStr">
        <is>
          <t>avoid with SSRIs/MAOIs; risk of serotonin syndrome</t>
        </is>
      </c>
      <c r="K404" s="181" t="str"/>
      <c r="L404" s="181" t="inlineStr">
        <is>
          <t>compound_level</t>
        </is>
      </c>
      <c r="M404" s="181" t="inlineStr">
        <is>
          <t>https://plants.sc.egov.usda.gov/home/search?query=urtica%20dioica | https://pubchem.ncbi.nlm.nih.gov/#query=serotonin</t>
        </is>
      </c>
      <c r="N404" s="181" t="inlineStr">
        <is>
          <t>trusted_gov_added</t>
        </is>
      </c>
      <c r="O404" s="181" t="inlineStr">
        <is>
          <t>PubChem compound page (NIH); USDA Plants database</t>
        </is>
      </c>
      <c r="P404" s="181" t="str"/>
      <c r="Q404" s="181" t="inlineStr">
        <is>
          <t>urtica-dioica</t>
        </is>
      </c>
      <c r="R404" s="181" t="n">
        <v>1</v>
      </c>
      <c r="S404" s="181" t="inlineStr">
        <is>
          <t>Yes</t>
        </is>
      </c>
      <c r="T404" s="181" t="inlineStr">
        <is>
          <t>Integrated from cleaned high-signal dataset</t>
        </is>
      </c>
    </row>
    <row r="405">
      <c r="A405" s="181" t="inlineStr">
        <is>
          <t>serpentine</t>
        </is>
      </c>
      <c r="B405" s="181" t="inlineStr">
        <is>
          <t>serpentine</t>
        </is>
      </c>
      <c r="C405" s="181" t="str"/>
      <c r="D405" s="181" t="inlineStr">
        <is>
          <t>other</t>
        </is>
      </c>
      <c r="E405" s="181" t="inlineStr">
        <is>
          <t>insufficient evidence</t>
        </is>
      </c>
      <c r="F405" s="181" t="inlineStr">
        <is>
          <t>multi-target signaling modulation</t>
        </is>
      </c>
      <c r="G405" s="181" t="inlineStr">
        <is>
          <t>general or unknown targets</t>
        </is>
      </c>
      <c r="H405" s="181" t="inlineStr">
        <is>
          <t>Absorption and bioavailability vary; some compounds metabolized via cytochrome P450 enzymes.</t>
        </is>
      </c>
      <c r="I405" s="181" t="inlineStr">
        <is>
          <t>low</t>
        </is>
      </c>
      <c r="J405" s="181" t="inlineStr">
        <is>
          <t>no well-documented interactions</t>
        </is>
      </c>
      <c r="K405" s="181" t="str"/>
      <c r="L405" s="181" t="inlineStr">
        <is>
          <t>compound_level</t>
        </is>
      </c>
      <c r="M405" s="181" t="inlineStr">
        <is>
          <t>https://plants.sc.egov.usda.gov/home/search?query=Rauvolfia%20serpentina | https://pubchem.ncbi.nlm.nih.gov/#query=serpentine</t>
        </is>
      </c>
      <c r="N405" s="181" t="inlineStr">
        <is>
          <t>inferred_plus_trusted_gov</t>
        </is>
      </c>
      <c r="O405" s="181" t="inlineStr">
        <is>
          <t>scientific name; PubChem compound page (NIH); USDA Plants database</t>
        </is>
      </c>
      <c r="P405" s="181" t="str"/>
      <c r="Q405" s="181" t="inlineStr">
        <is>
          <t>rauvolfia-serpentina</t>
        </is>
      </c>
      <c r="R405" s="181" t="n">
        <v>1</v>
      </c>
      <c r="S405" s="181" t="inlineStr">
        <is>
          <t>Yes</t>
        </is>
      </c>
      <c r="T405" s="181" t="inlineStr">
        <is>
          <t>Integrated from cleaned high-signal dataset</t>
        </is>
      </c>
    </row>
    <row r="406">
      <c r="A406" s="181" t="inlineStr">
        <is>
          <t>silica</t>
        </is>
      </c>
      <c r="B406" s="181" t="inlineStr">
        <is>
          <t>silica</t>
        </is>
      </c>
      <c r="C406" s="181" t="str"/>
      <c r="D406" s="181" t="inlineStr">
        <is>
          <t>Silica, flavonoids, alkaloids</t>
        </is>
      </c>
      <c r="E406" s="181" t="inlineStr">
        <is>
          <t>insufficient evidence</t>
        </is>
      </c>
      <c r="F406" s="181" t="inlineStr">
        <is>
          <t>multi-target signaling modulation</t>
        </is>
      </c>
      <c r="G406" s="181" t="inlineStr">
        <is>
          <t>general or unknown targets</t>
        </is>
      </c>
      <c r="H406" s="181" t="inlineStr">
        <is>
          <t>Oral; mineralizing and diuretic</t>
        </is>
      </c>
      <c r="I406" s="181" t="inlineStr">
        <is>
          <t>low</t>
        </is>
      </c>
      <c r="J406" s="181" t="inlineStr">
        <is>
          <t>no well-documented interactions</t>
        </is>
      </c>
      <c r="K406" s="181" t="str"/>
      <c r="L406" s="181" t="inlineStr">
        <is>
          <t>compound_level</t>
        </is>
      </c>
      <c r="M406" s="181" t="inlineStr">
        <is>
          <t>https://plants.sc.egov.usda.gov/home/search?query=Equisetum%20arvense | https://pubchem.ncbi.nlm.nih.gov/#query=silica</t>
        </is>
      </c>
      <c r="N406" s="181" t="inlineStr">
        <is>
          <t>inferred_plus_trusted_gov</t>
        </is>
      </c>
      <c r="O406" s="181" t="inlineStr">
        <is>
          <t>scientific name; PubChem compound page (NIH); USDA Plants database</t>
        </is>
      </c>
      <c r="P406" s="181" t="str"/>
      <c r="Q406" s="181" t="inlineStr">
        <is>
          <t>equisetum-arvense</t>
        </is>
      </c>
      <c r="R406" s="181" t="n">
        <v>1</v>
      </c>
      <c r="S406" s="181" t="inlineStr">
        <is>
          <t>Yes</t>
        </is>
      </c>
      <c r="T406" s="181" t="inlineStr">
        <is>
          <t>Integrated from cleaned high-signal dataset</t>
        </is>
      </c>
    </row>
    <row r="407">
      <c r="A407" s="181" t="inlineStr">
        <is>
          <t>silychristin</t>
        </is>
      </c>
      <c r="B407" s="181" t="inlineStr">
        <is>
          <t>silychristin)</t>
        </is>
      </c>
      <c r="C407" s="181" t="str"/>
      <c r="D407" s="181" t="inlineStr">
        <is>
          <t>other</t>
        </is>
      </c>
      <c r="E407" s="181" t="inlineStr">
        <is>
          <t>insufficient evidence</t>
        </is>
      </c>
      <c r="F407" s="181" t="inlineStr">
        <is>
          <t>multi-target signaling modulation</t>
        </is>
      </c>
      <c r="G407" s="181" t="inlineStr">
        <is>
          <t>general or unknown targets</t>
        </is>
      </c>
      <c r="H407" s="181" t="inlineStr">
        <is>
          <t>moderate absorption; hepatic metabolism</t>
        </is>
      </c>
      <c r="I407" s="181" t="inlineStr">
        <is>
          <t>low</t>
        </is>
      </c>
      <c r="J407" s="181" t="inlineStr">
        <is>
          <t>no well-documented interactions</t>
        </is>
      </c>
      <c r="K407" s="181" t="str"/>
      <c r="L407" s="181" t="inlineStr">
        <is>
          <t>compound_level</t>
        </is>
      </c>
      <c r="M407" s="181" t="inlineStr">
        <is>
          <t>https://plants.sc.egov.usda.gov/home/search?query=silybum%20marianum | https://pubchem.ncbi.nlm.nih.gov/#query=silychristin%29</t>
        </is>
      </c>
      <c r="N407" s="181" t="inlineStr">
        <is>
          <t>trusted_gov_added</t>
        </is>
      </c>
      <c r="O407" s="181" t="inlineStr">
        <is>
          <t>PubChem compound page (NIH); USDA Plants database</t>
        </is>
      </c>
      <c r="P407" s="181" t="str"/>
      <c r="Q407" s="181" t="inlineStr">
        <is>
          <t>silybum-marianum</t>
        </is>
      </c>
      <c r="R407" s="181" t="n">
        <v>1</v>
      </c>
      <c r="S407" s="181" t="inlineStr">
        <is>
          <t>Yes</t>
        </is>
      </c>
      <c r="T407" s="181" t="inlineStr">
        <is>
          <t>Integrated from cleaned high-signal dataset</t>
        </is>
      </c>
    </row>
    <row r="408">
      <c r="A408" s="181" t="inlineStr">
        <is>
          <t>silydianin</t>
        </is>
      </c>
      <c r="B408" s="181" t="inlineStr">
        <is>
          <t>silydianin</t>
        </is>
      </c>
      <c r="C408" s="181" t="str"/>
      <c r="D408" s="181" t="inlineStr">
        <is>
          <t>other</t>
        </is>
      </c>
      <c r="E408" s="181" t="inlineStr">
        <is>
          <t>insufficient evidence</t>
        </is>
      </c>
      <c r="F408" s="181" t="inlineStr">
        <is>
          <t>multi-target signaling modulation</t>
        </is>
      </c>
      <c r="G408" s="181" t="inlineStr">
        <is>
          <t>general or unknown targets</t>
        </is>
      </c>
      <c r="H408" s="181" t="inlineStr">
        <is>
          <t>moderate absorption; hepatic metabolism</t>
        </is>
      </c>
      <c r="I408" s="181" t="inlineStr">
        <is>
          <t>low</t>
        </is>
      </c>
      <c r="J408" s="181" t="inlineStr">
        <is>
          <t>no well-documented interactions</t>
        </is>
      </c>
      <c r="K408" s="181" t="str"/>
      <c r="L408" s="181" t="inlineStr">
        <is>
          <t>compound_level</t>
        </is>
      </c>
      <c r="M408" s="181" t="inlineStr">
        <is>
          <t>https://plants.sc.egov.usda.gov/home/search?query=silybum%20marianum | https://pubchem.ncbi.nlm.nih.gov/#query=silydianin</t>
        </is>
      </c>
      <c r="N408" s="181" t="inlineStr">
        <is>
          <t>trusted_gov_added</t>
        </is>
      </c>
      <c r="O408" s="181" t="inlineStr">
        <is>
          <t>PubChem compound page (NIH); USDA Plants database</t>
        </is>
      </c>
      <c r="P408" s="181" t="str"/>
      <c r="Q408" s="181" t="inlineStr">
        <is>
          <t>silybum-marianum</t>
        </is>
      </c>
      <c r="R408" s="181" t="n">
        <v>1</v>
      </c>
      <c r="S408" s="181" t="inlineStr">
        <is>
          <t>Yes</t>
        </is>
      </c>
      <c r="T408" s="181" t="inlineStr">
        <is>
          <t>Integrated from cleaned high-signal dataset</t>
        </is>
      </c>
    </row>
    <row r="409">
      <c r="A409" s="181" t="inlineStr">
        <is>
          <t>silymarin silibinin</t>
        </is>
      </c>
      <c r="B409" s="181" t="inlineStr">
        <is>
          <t>silymarin (silibinin</t>
        </is>
      </c>
      <c r="C409" s="181" t="str"/>
      <c r="D409" s="181" t="inlineStr">
        <is>
          <t>other</t>
        </is>
      </c>
      <c r="E409" s="181" t="inlineStr">
        <is>
          <t>insufficient evidence</t>
        </is>
      </c>
      <c r="F409" s="181" t="inlineStr">
        <is>
          <t>multi-target signaling modulation</t>
        </is>
      </c>
      <c r="G409" s="181" t="inlineStr">
        <is>
          <t>general or unknown targets</t>
        </is>
      </c>
      <c r="H409" s="181" t="inlineStr">
        <is>
          <t>moderate absorption; hepatic metabolism</t>
        </is>
      </c>
      <c r="I409" s="181" t="inlineStr">
        <is>
          <t>low</t>
        </is>
      </c>
      <c r="J409" s="181" t="inlineStr">
        <is>
          <t>no well-documented interactions</t>
        </is>
      </c>
      <c r="K409" s="181" t="str"/>
      <c r="L409" s="181" t="inlineStr">
        <is>
          <t>compound_level</t>
        </is>
      </c>
      <c r="M409" s="181" t="inlineStr">
        <is>
          <t>https://plants.sc.egov.usda.gov/home/search?query=silybum%20marianum | https://pubchem.ncbi.nlm.nih.gov/#query=silymarin%20%28silibinin</t>
        </is>
      </c>
      <c r="N409" s="181" t="inlineStr">
        <is>
          <t>trusted_gov_added</t>
        </is>
      </c>
      <c r="O409" s="181" t="inlineStr">
        <is>
          <t>PubChem compound page (NIH); USDA Plants database</t>
        </is>
      </c>
      <c r="P409" s="181" t="str"/>
      <c r="Q409" s="181" t="inlineStr">
        <is>
          <t>silybum-marianum</t>
        </is>
      </c>
      <c r="R409" s="181" t="n">
        <v>1</v>
      </c>
      <c r="S409" s="181" t="inlineStr">
        <is>
          <t>Yes</t>
        </is>
      </c>
      <c r="T409" s="181" t="inlineStr">
        <is>
          <t>Integrated from cleaned high-signal dataset</t>
        </is>
      </c>
    </row>
    <row r="410">
      <c r="A410" s="181" t="inlineStr">
        <is>
          <t>sinigrin</t>
        </is>
      </c>
      <c r="B410" s="181" t="inlineStr">
        <is>
          <t>sinigrin</t>
        </is>
      </c>
      <c r="C410" s="181" t="str"/>
      <c r="D410" s="181" t="inlineStr">
        <is>
          <t>other</t>
        </is>
      </c>
      <c r="E410" s="181" t="inlineStr">
        <is>
          <t>insufficient evidence</t>
        </is>
      </c>
      <c r="F410" s="181" t="inlineStr">
        <is>
          <t>multi-target signaling modulation</t>
        </is>
      </c>
      <c r="G410" s="181" t="inlineStr">
        <is>
          <t>general or unknown targets</t>
        </is>
      </c>
      <c r="H410" s="181" t="inlineStr">
        <is>
          <t>Absorption and bioavailability vary; some compounds metabolized via cytochrome P450 enzymes.</t>
        </is>
      </c>
      <c r="I410" s="181" t="inlineStr">
        <is>
          <t>low</t>
        </is>
      </c>
      <c r="J410" s="181" t="inlineStr">
        <is>
          <t>no well-documented interactions</t>
        </is>
      </c>
      <c r="K410" s="181" t="str"/>
      <c r="L410" s="181" t="inlineStr">
        <is>
          <t>compound_level</t>
        </is>
      </c>
      <c r="M410" s="181" t="inlineStr">
        <is>
          <t>https://plants.sc.egov.usda.gov/home/search?query=Armoracia%20rusticana | https://pubchem.ncbi.nlm.nih.gov/#query=sinigrin</t>
        </is>
      </c>
      <c r="N410" s="181" t="inlineStr">
        <is>
          <t>inferred_plus_trusted_gov</t>
        </is>
      </c>
      <c r="O410" s="181" t="inlineStr">
        <is>
          <t>scientific name; PubChem compound page (NIH); USDA Plants database</t>
        </is>
      </c>
      <c r="P410" s="181" t="str"/>
      <c r="Q410" s="181" t="inlineStr">
        <is>
          <t>armoracia-rusticana</t>
        </is>
      </c>
      <c r="R410" s="181" t="n">
        <v>1</v>
      </c>
      <c r="S410" s="181" t="inlineStr">
        <is>
          <t>Yes</t>
        </is>
      </c>
      <c r="T410" s="181" t="inlineStr">
        <is>
          <t>Integrated from cleaned high-signal dataset</t>
        </is>
      </c>
    </row>
    <row r="411">
      <c r="A411" s="181" t="inlineStr">
        <is>
          <t>skimmianine</t>
        </is>
      </c>
      <c r="B411" s="181" t="inlineStr">
        <is>
          <t>skimmianine</t>
        </is>
      </c>
      <c r="C411" s="181" t="str"/>
      <c r="D411" s="181" t="inlineStr">
        <is>
          <t>coumarins</t>
        </is>
      </c>
      <c r="E411" s="181" t="inlineStr">
        <is>
          <t>insufficient evidence</t>
        </is>
      </c>
      <c r="F411" s="181" t="inlineStr">
        <is>
          <t>multi-target signaling modulation</t>
        </is>
      </c>
      <c r="G411" s="181" t="inlineStr">
        <is>
          <t>general or unknown targets</t>
        </is>
      </c>
      <c r="H411" s="181" t="inlineStr">
        <is>
          <t>moderate absorption; hepatic metabolism</t>
        </is>
      </c>
      <c r="I411" s="181" t="inlineStr">
        <is>
          <t>low</t>
        </is>
      </c>
      <c r="J411" s="181" t="inlineStr">
        <is>
          <t>no well-documented interactions</t>
        </is>
      </c>
      <c r="K411" s="181" t="str"/>
      <c r="L411" s="181" t="inlineStr">
        <is>
          <t>compound_level</t>
        </is>
      </c>
      <c r="M411" s="181" t="inlineStr">
        <is>
          <t>https://plants.sc.egov.usda.gov/home/search?query=aegle%20marmelos | https://pubchem.ncbi.nlm.nih.gov/#query=skimmianine</t>
        </is>
      </c>
      <c r="N411" s="181" t="inlineStr">
        <is>
          <t>trusted_gov_added</t>
        </is>
      </c>
      <c r="O411" s="181" t="inlineStr">
        <is>
          <t>PubChem compound page (NIH); USDA Plants database</t>
        </is>
      </c>
      <c r="P411" s="181" t="str"/>
      <c r="Q411" s="181" t="inlineStr">
        <is>
          <t>aegle-marmelos</t>
        </is>
      </c>
      <c r="R411" s="181" t="n">
        <v>1</v>
      </c>
      <c r="S411" s="181" t="inlineStr">
        <is>
          <t>Yes</t>
        </is>
      </c>
      <c r="T411" s="181" t="inlineStr">
        <is>
          <t>Integrated from cleaned high-signal dataset</t>
        </is>
      </c>
    </row>
    <row r="412">
      <c r="A412" s="181" t="inlineStr">
        <is>
          <t>solamargine</t>
        </is>
      </c>
      <c r="B412" s="181" t="inlineStr">
        <is>
          <t>solamargine</t>
        </is>
      </c>
      <c r="C412" s="181" t="str"/>
      <c r="D412" s="181" t="inlineStr">
        <is>
          <t>Solanine, solamargine, flavonoids</t>
        </is>
      </c>
      <c r="E412" s="181" t="inlineStr">
        <is>
          <t>insufficient evidence</t>
        </is>
      </c>
      <c r="F412" s="181" t="inlineStr">
        <is>
          <t>multi-target signaling modulation</t>
        </is>
      </c>
      <c r="G412" s="181" t="inlineStr">
        <is>
          <t>general or unknown targets</t>
        </is>
      </c>
      <c r="H412" s="181" t="inlineStr">
        <is>
          <t>Oral; antitumor and cytotoxic effects</t>
        </is>
      </c>
      <c r="I412" s="181" t="inlineStr">
        <is>
          <t>low</t>
        </is>
      </c>
      <c r="J412" s="181" t="inlineStr">
        <is>
          <t>no well-documented interactions</t>
        </is>
      </c>
      <c r="K412" s="181" t="str"/>
      <c r="L412" s="181" t="inlineStr">
        <is>
          <t>compound_level</t>
        </is>
      </c>
      <c r="M412" s="181" t="inlineStr">
        <is>
          <t>https://plants.sc.egov.usda.gov/home/search?query=Solanum%20nigrum | https://pubchem.ncbi.nlm.nih.gov/#query=solamargine</t>
        </is>
      </c>
      <c r="N412" s="181" t="inlineStr">
        <is>
          <t>inferred_plus_trusted_gov</t>
        </is>
      </c>
      <c r="O412" s="181" t="inlineStr">
        <is>
          <t>scientific name; PubChem compound page (NIH); USDA Plants database</t>
        </is>
      </c>
      <c r="P412" s="181" t="str"/>
      <c r="Q412" s="181" t="inlineStr">
        <is>
          <t>solanum-nigrum</t>
        </is>
      </c>
      <c r="R412" s="181" t="n">
        <v>1</v>
      </c>
      <c r="S412" s="181" t="inlineStr">
        <is>
          <t>Yes</t>
        </is>
      </c>
      <c r="T412" s="181" t="inlineStr">
        <is>
          <t>Integrated from cleaned high-signal dataset</t>
        </is>
      </c>
    </row>
    <row r="413">
      <c r="A413" s="181" t="inlineStr">
        <is>
          <t>solanine</t>
        </is>
      </c>
      <c r="B413" s="181" t="inlineStr">
        <is>
          <t>solanine</t>
        </is>
      </c>
      <c r="C413" s="181" t="str"/>
      <c r="D413" s="181" t="inlineStr">
        <is>
          <t>Solanine, solamargine, flavonoids</t>
        </is>
      </c>
      <c r="E413" s="181" t="inlineStr">
        <is>
          <t>insufficient evidence</t>
        </is>
      </c>
      <c r="F413" s="181" t="inlineStr">
        <is>
          <t>multi-target signaling modulation</t>
        </is>
      </c>
      <c r="G413" s="181" t="inlineStr">
        <is>
          <t>general or unknown targets</t>
        </is>
      </c>
      <c r="H413" s="181" t="inlineStr">
        <is>
          <t>Oral; antitumor and cytotoxic effects</t>
        </is>
      </c>
      <c r="I413" s="181" t="inlineStr">
        <is>
          <t>low</t>
        </is>
      </c>
      <c r="J413" s="181" t="inlineStr">
        <is>
          <t>no well-documented interactions</t>
        </is>
      </c>
      <c r="K413" s="181" t="str"/>
      <c r="L413" s="181" t="inlineStr">
        <is>
          <t>compound_level</t>
        </is>
      </c>
      <c r="M413" s="181" t="inlineStr">
        <is>
          <t>https://plants.sc.egov.usda.gov/home/search?query=Solanum%20nigrum | https://pubchem.ncbi.nlm.nih.gov/#query=solanine</t>
        </is>
      </c>
      <c r="N413" s="181" t="inlineStr">
        <is>
          <t>inferred_plus_trusted_gov</t>
        </is>
      </c>
      <c r="O413" s="181" t="inlineStr">
        <is>
          <t>scientific name; PubChem compound page (NIH); USDA Plants database</t>
        </is>
      </c>
      <c r="P413" s="181" t="str"/>
      <c r="Q413" s="181" t="inlineStr">
        <is>
          <t>solanum-nigrum</t>
        </is>
      </c>
      <c r="R413" s="181" t="n">
        <v>1</v>
      </c>
      <c r="S413" s="181" t="inlineStr">
        <is>
          <t>Yes</t>
        </is>
      </c>
      <c r="T413" s="181" t="inlineStr">
        <is>
          <t>Integrated from cleaned high-signal dataset</t>
        </is>
      </c>
    </row>
    <row r="414">
      <c r="A414" s="181" t="inlineStr">
        <is>
          <t>spilanthol</t>
        </is>
      </c>
      <c r="B414" s="181" t="inlineStr">
        <is>
          <t>spilanthol</t>
        </is>
      </c>
      <c r="C414" s="181" t="str"/>
      <c r="D414" s="181" t="inlineStr">
        <is>
          <t>other</t>
        </is>
      </c>
      <c r="E414" s="181" t="inlineStr">
        <is>
          <t>Spilanthol activates trigeminal sensory pathways and may modulate ion channels; detailed receptor mapping remains limited.</t>
        </is>
      </c>
      <c r="F414" s="181" t="inlineStr">
        <is>
          <t>multi-target signaling modulation</t>
        </is>
      </c>
      <c r="G414" s="181" t="inlineStr">
        <is>
          <t>general or unknown targets</t>
        </is>
      </c>
      <c r="H414" s="181" t="inlineStr">
        <is>
          <t>Absorption and bioavailability vary; some compounds metabolized via cytochrome P450 enzymes.</t>
        </is>
      </c>
      <c r="I414" s="181" t="inlineStr">
        <is>
          <t>low</t>
        </is>
      </c>
      <c r="J414" s="181" t="inlineStr">
        <is>
          <t>no well-documented interactions</t>
        </is>
      </c>
      <c r="K414" s="181" t="str"/>
      <c r="L414" s="181" t="inlineStr">
        <is>
          <t>compound_level</t>
        </is>
      </c>
      <c r="M414" s="181" t="inlineStr">
        <is>
          <t>https://plants.sc.egov.usda.gov/home/search?query=Acmella%20oleracea | https://plants.sc.egov.usda.gov/home/search?query=toothache%20plant | https://pubchem.ncbi.nlm.nih.gov/#query=spilanthol</t>
        </is>
      </c>
      <c r="N414" s="181" t="inlineStr">
        <is>
          <t>inferred_plus_trusted_gov; trusted_gov_added</t>
        </is>
      </c>
      <c r="O414" s="181" t="inlineStr">
        <is>
          <t>PubChem compound page (NIH); USDA Plants database; scientific name; PubChem compound page (NIH); USDA Plants database</t>
        </is>
      </c>
      <c r="P414" s="181" t="str"/>
      <c r="Q414" s="181" t="inlineStr">
        <is>
          <t>acmella-oleracea</t>
        </is>
      </c>
      <c r="R414" s="181" t="n">
        <v>1</v>
      </c>
      <c r="S414" s="181" t="inlineStr">
        <is>
          <t>Yes</t>
        </is>
      </c>
      <c r="T414" s="181" t="inlineStr">
        <is>
          <t>Integrated from cleaned high-signal dataset</t>
        </is>
      </c>
    </row>
    <row r="415">
      <c r="A415" s="181" t="inlineStr">
        <is>
          <t>stachydrine</t>
        </is>
      </c>
      <c r="B415" s="181" t="inlineStr">
        <is>
          <t>stachydrine</t>
        </is>
      </c>
      <c r="C415" s="181" t="str"/>
      <c r="D415" s="181" t="inlineStr">
        <is>
          <t>other</t>
        </is>
      </c>
      <c r="E415" s="181" t="inlineStr">
        <is>
          <t>insufficient evidence</t>
        </is>
      </c>
      <c r="F415" s="181" t="inlineStr">
        <is>
          <t>multi-target signaling modulation</t>
        </is>
      </c>
      <c r="G415" s="181" t="inlineStr">
        <is>
          <t>general or unknown targets</t>
        </is>
      </c>
      <c r="H415" s="181" t="inlineStr">
        <is>
          <t>Oral; uterine and cardiotonic</t>
        </is>
      </c>
      <c r="I415" s="181" t="inlineStr">
        <is>
          <t>low</t>
        </is>
      </c>
      <c r="J415" s="181" t="inlineStr">
        <is>
          <t>no well-documented interactions</t>
        </is>
      </c>
      <c r="K415" s="181" t="str"/>
      <c r="L415" s="181" t="inlineStr">
        <is>
          <t>compound_level</t>
        </is>
      </c>
      <c r="M415" s="181" t="inlineStr">
        <is>
          <t>https://plants.sc.egov.usda.gov/home/search?query=Leonurus%20cardiaca | https://plants.sc.egov.usda.gov/home/search?query=Leonurus%20japonicus | https://pubchem.ncbi.nlm.nih.gov/#query=stachydrine</t>
        </is>
      </c>
      <c r="N415" s="181" t="inlineStr">
        <is>
          <t>inferred_plus_trusted_gov</t>
        </is>
      </c>
      <c r="O415" s="181" t="inlineStr">
        <is>
          <t>scientific name; PubChem compound page (NIH); USDA Plants database</t>
        </is>
      </c>
      <c r="P415" s="181" t="str"/>
      <c r="Q415" s="181" t="inlineStr">
        <is>
          <t>leonurus-cardiaca; leonurus-japonicus</t>
        </is>
      </c>
      <c r="R415" s="181" t="n">
        <v>2</v>
      </c>
      <c r="S415" s="181" t="inlineStr">
        <is>
          <t>Yes</t>
        </is>
      </c>
      <c r="T415" s="181" t="inlineStr">
        <is>
          <t>Integrated from cleaned high-signal dataset</t>
        </is>
      </c>
    </row>
    <row r="416">
      <c r="A416" s="181" t="inlineStr">
        <is>
          <t>sulforaphane</t>
        </is>
      </c>
      <c r="B416" s="181" t="inlineStr">
        <is>
          <t>sulforaphane</t>
        </is>
      </c>
      <c r="C416" s="181" t="str"/>
      <c r="D416" s="181" t="inlineStr">
        <is>
          <t>isothiocyanate</t>
        </is>
      </c>
      <c r="E416" s="181" t="inlineStr">
        <is>
          <t>Activates Nrf2 pathway and phase II detox enzymes</t>
        </is>
      </c>
      <c r="F416" s="181" t="str"/>
      <c r="G416" s="181" t="inlineStr">
        <is>
          <t>Nrf2 activation; phase II enzyme induction</t>
        </is>
      </c>
      <c r="H416" s="181" t="str"/>
      <c r="I416" s="181" t="str"/>
      <c r="J416" s="181" t="inlineStr">
        <is>
          <t>CYP modulation (possible)</t>
        </is>
      </c>
      <c r="K416" s="181" t="str"/>
      <c r="L416" s="181" t="inlineStr">
        <is>
          <t>Batch9</t>
        </is>
      </c>
      <c r="M416" s="181" t="str"/>
      <c r="N416" s="181" t="str"/>
      <c r="O416" s="181" t="str"/>
      <c r="P416" s="181" t="inlineStr">
        <is>
          <t>master_monographs_v3.xlsx</t>
        </is>
      </c>
      <c r="Q416" s="181" t="str"/>
      <c r="R416" s="181" t="n">
        <v>0</v>
      </c>
      <c r="S416" s="181" t="inlineStr">
        <is>
          <t>No</t>
        </is>
      </c>
      <c r="T416" s="181" t="inlineStr">
        <is>
          <t>Integrated from compound monograph workbook</t>
        </is>
      </c>
    </row>
    <row r="417">
      <c r="A417" s="181" t="inlineStr">
        <is>
          <t>swertiamarin</t>
        </is>
      </c>
      <c r="B417" s="181" t="inlineStr">
        <is>
          <t>swertiamarin</t>
        </is>
      </c>
      <c r="C417" s="181" t="str"/>
      <c r="D417" s="181" t="inlineStr">
        <is>
          <t>other</t>
        </is>
      </c>
      <c r="E417" s="181" t="inlineStr">
        <is>
          <t>insufficient evidence</t>
        </is>
      </c>
      <c r="F417" s="181" t="inlineStr">
        <is>
          <t>multi-target signaling modulation</t>
        </is>
      </c>
      <c r="G417" s="181" t="inlineStr">
        <is>
          <t>general or unknown targets</t>
        </is>
      </c>
      <c r="H417" s="181" t="inlineStr">
        <is>
          <t>Absorption and bioavailability vary; some compounds metabolized via cytochrome P450 enzymes.</t>
        </is>
      </c>
      <c r="I417" s="181" t="inlineStr">
        <is>
          <t>low</t>
        </is>
      </c>
      <c r="J417" s="181" t="inlineStr">
        <is>
          <t>no well-documented interactions</t>
        </is>
      </c>
      <c r="K417" s="181" t="str"/>
      <c r="L417" s="181" t="inlineStr">
        <is>
          <t>compound_level</t>
        </is>
      </c>
      <c r="M417" s="181" t="inlineStr">
        <is>
          <t>https://plants.sc.egov.usda.gov/home/search?query=Centaurium%20erythraea | https://pubchem.ncbi.nlm.nih.gov/#query=swertiamarin</t>
        </is>
      </c>
      <c r="N417" s="181" t="inlineStr">
        <is>
          <t>inferred_plus_trusted_gov</t>
        </is>
      </c>
      <c r="O417" s="181" t="inlineStr">
        <is>
          <t>scientific name; PubChem compound page (NIH); USDA Plants database</t>
        </is>
      </c>
      <c r="P417" s="181" t="str"/>
      <c r="Q417" s="181" t="inlineStr">
        <is>
          <t>centaurium-erythraea</t>
        </is>
      </c>
      <c r="R417" s="181" t="n">
        <v>1</v>
      </c>
      <c r="S417" s="181" t="inlineStr">
        <is>
          <t>Yes</t>
        </is>
      </c>
      <c r="T417" s="181" t="inlineStr">
        <is>
          <t>Integrated from cleaned high-signal dataset</t>
        </is>
      </c>
    </row>
    <row r="418">
      <c r="A418" s="181" t="inlineStr">
        <is>
          <t>synephrine</t>
        </is>
      </c>
      <c r="B418" s="181" t="inlineStr">
        <is>
          <t>synephrine</t>
        </is>
      </c>
      <c r="C418" s="181" t="str"/>
      <c r="D418" s="181" t="inlineStr">
        <is>
          <t>Synephrine, flavonoids, limonene</t>
        </is>
      </c>
      <c r="E418" s="181" t="inlineStr">
        <is>
          <t>insufficient evidence</t>
        </is>
      </c>
      <c r="F418" s="181" t="inlineStr">
        <is>
          <t>multi-target signaling modulation</t>
        </is>
      </c>
      <c r="G418" s="181" t="inlineStr">
        <is>
          <t>general or unknown targets</t>
        </is>
      </c>
      <c r="H418" s="181" t="inlineStr">
        <is>
          <t>Oral; appetite suppressant and bronchodilator</t>
        </is>
      </c>
      <c r="I418" s="181" t="inlineStr">
        <is>
          <t>low</t>
        </is>
      </c>
      <c r="J418" s="181" t="inlineStr">
        <is>
          <t>no well-documented interactions</t>
        </is>
      </c>
      <c r="K418" s="181" t="str"/>
      <c r="L418" s="181" t="inlineStr">
        <is>
          <t>compound_level</t>
        </is>
      </c>
      <c r="M418" s="181" t="inlineStr">
        <is>
          <t>https://plants.sc.egov.usda.gov/home/search?query=Citrus%20aurantium | https://pubchem.ncbi.nlm.nih.gov/#query=synephrine</t>
        </is>
      </c>
      <c r="N418" s="181" t="inlineStr">
        <is>
          <t>inferred_plus_trusted_gov</t>
        </is>
      </c>
      <c r="O418" s="181" t="inlineStr">
        <is>
          <t>scientific name; PubChem compound page (NIH); USDA Plants database</t>
        </is>
      </c>
      <c r="P418" s="181" t="str"/>
      <c r="Q418" s="181" t="inlineStr">
        <is>
          <t>citrus-aurantium</t>
        </is>
      </c>
      <c r="R418" s="181" t="n">
        <v>1</v>
      </c>
      <c r="S418" s="181" t="inlineStr">
        <is>
          <t>Yes</t>
        </is>
      </c>
      <c r="T418" s="181" t="inlineStr">
        <is>
          <t>Integrated from cleaned high-signal dataset</t>
        </is>
      </c>
    </row>
    <row r="419">
      <c r="A419" s="181" t="inlineStr">
        <is>
          <t>taraxasterol</t>
        </is>
      </c>
      <c r="B419" s="181" t="inlineStr">
        <is>
          <t>taraxasterol</t>
        </is>
      </c>
      <c r="C419" s="181" t="str"/>
      <c r="D419" s="181" t="inlineStr">
        <is>
          <t>Taraxasterol, inulin, sesquiterpene lactones</t>
        </is>
      </c>
      <c r="E419" s="181" t="inlineStr">
        <is>
          <t>insufficient evidence</t>
        </is>
      </c>
      <c r="F419" s="181" t="inlineStr">
        <is>
          <t>multi-target signaling modulation</t>
        </is>
      </c>
      <c r="G419" s="181" t="inlineStr">
        <is>
          <t>general or unknown targets</t>
        </is>
      </c>
      <c r="H419" s="181" t="inlineStr">
        <is>
          <t>Oral; cholagogue and diuretic</t>
        </is>
      </c>
      <c r="I419" s="181" t="inlineStr">
        <is>
          <t>low</t>
        </is>
      </c>
      <c r="J419" s="181" t="inlineStr">
        <is>
          <t>no well-documented interactions</t>
        </is>
      </c>
      <c r="K419" s="181" t="str"/>
      <c r="L419" s="181" t="inlineStr">
        <is>
          <t>compound_level</t>
        </is>
      </c>
      <c r="M419" s="181" t="inlineStr">
        <is>
          <t>https://plants.sc.egov.usda.gov/home/search?query=Taraxacum%20officinale | https://pubchem.ncbi.nlm.nih.gov/#query=taraxasterol</t>
        </is>
      </c>
      <c r="N419" s="181" t="inlineStr">
        <is>
          <t>inferred_plus_trusted_gov</t>
        </is>
      </c>
      <c r="O419" s="181" t="inlineStr">
        <is>
          <t>scientific name; PubChem compound page (NIH); USDA Plants database</t>
        </is>
      </c>
      <c r="P419" s="181" t="str"/>
      <c r="Q419" s="181" t="inlineStr">
        <is>
          <t>taraxacum-officinale</t>
        </is>
      </c>
      <c r="R419" s="181" t="n">
        <v>1</v>
      </c>
      <c r="S419" s="181" t="inlineStr">
        <is>
          <t>Yes</t>
        </is>
      </c>
      <c r="T419" s="181" t="inlineStr">
        <is>
          <t>Integrated from cleaned high-signal dataset</t>
        </is>
      </c>
    </row>
    <row r="420">
      <c r="A420" s="181" t="inlineStr">
        <is>
          <t>taspine</t>
        </is>
      </c>
      <c r="B420" s="181" t="inlineStr">
        <is>
          <t>taspine</t>
        </is>
      </c>
      <c r="C420" s="181" t="str"/>
      <c r="D420" s="181" t="inlineStr">
        <is>
          <t>Proanthocyanidins, taspine, alkaloids</t>
        </is>
      </c>
      <c r="E420" s="181" t="inlineStr">
        <is>
          <t>insufficient evidence</t>
        </is>
      </c>
      <c r="F420" s="181" t="inlineStr">
        <is>
          <t>multi-target signaling modulation</t>
        </is>
      </c>
      <c r="G420" s="181" t="inlineStr">
        <is>
          <t>general or unknown targets</t>
        </is>
      </c>
      <c r="H420" s="181" t="inlineStr">
        <is>
          <t>Oral/topical; wound healing and antidiarrheal</t>
        </is>
      </c>
      <c r="I420" s="181" t="inlineStr">
        <is>
          <t>low</t>
        </is>
      </c>
      <c r="J420" s="181" t="inlineStr">
        <is>
          <t>no well-documented interactions</t>
        </is>
      </c>
      <c r="K420" s="181" t="str"/>
      <c r="L420" s="181" t="inlineStr">
        <is>
          <t>compound_level</t>
        </is>
      </c>
      <c r="M420" s="181" t="inlineStr">
        <is>
          <t>https://plants.sc.egov.usda.gov/home/search?query=Croton%20lechleri | https://pubchem.ncbi.nlm.nih.gov/#query=taspine</t>
        </is>
      </c>
      <c r="N420" s="181" t="inlineStr">
        <is>
          <t>inferred_plus_trusted_gov</t>
        </is>
      </c>
      <c r="O420" s="181" t="inlineStr">
        <is>
          <t>scientific name; PubChem compound page (NIH); USDA Plants database</t>
        </is>
      </c>
      <c r="P420" s="181" t="str"/>
      <c r="Q420" s="181" t="inlineStr">
        <is>
          <t>croton-lechleri</t>
        </is>
      </c>
      <c r="R420" s="181" t="n">
        <v>1</v>
      </c>
      <c r="S420" s="181" t="inlineStr">
        <is>
          <t>Yes</t>
        </is>
      </c>
      <c r="T420" s="181" t="inlineStr">
        <is>
          <t>Integrated from cleaned high-signal dataset</t>
        </is>
      </c>
    </row>
    <row r="421">
      <c r="A421" s="181" t="inlineStr">
        <is>
          <t>taurine</t>
        </is>
      </c>
      <c r="B421" s="181" t="inlineStr">
        <is>
          <t>taurine</t>
        </is>
      </c>
      <c r="C421" s="181" t="str"/>
      <c r="D421" s="181" t="inlineStr">
        <is>
          <t>amino sulfonic acid</t>
        </is>
      </c>
      <c r="E421" s="181" t="inlineStr">
        <is>
          <t>Modulates inhibitory neurotransmission and osmoregulation; interacts with GABAergic and glycinergic systems.</t>
        </is>
      </c>
      <c r="F421" s="181" t="str"/>
      <c r="G421" s="181" t="inlineStr">
        <is>
          <t>GABA receptor modulation; Glycine receptor modulation; Osmoregulation pathways</t>
        </is>
      </c>
      <c r="H421" s="181" t="inlineStr">
        <is>
          <t>Well absorbed orally; distributed widely in tissues.</t>
        </is>
      </c>
      <c r="I421" s="181" t="inlineStr">
        <is>
          <t>Generally well tolerated at typical intake levels.</t>
        </is>
      </c>
      <c r="J421" s="181" t="inlineStr">
        <is>
          <t>CNS depressants (possible additive inhibitory signaling).</t>
        </is>
      </c>
      <c r="K421" s="181" t="inlineStr">
        <is>
          <t>moderate</t>
        </is>
      </c>
      <c r="L421" s="181" t="inlineStr">
        <is>
          <t>Batch10</t>
        </is>
      </c>
      <c r="M421" s="181" t="str"/>
      <c r="N421" s="181" t="str"/>
      <c r="O421" s="181" t="str"/>
      <c r="P421" s="181" t="inlineStr">
        <is>
          <t>manual_batch10</t>
        </is>
      </c>
      <c r="Q421" s="181" t="str"/>
      <c r="R421" s="181" t="n">
        <v>0</v>
      </c>
      <c r="S421" s="181" t="inlineStr">
        <is>
          <t>No</t>
        </is>
      </c>
      <c r="T421" s="181" t="inlineStr">
        <is>
          <t>Integrated from compound monograph workbook</t>
        </is>
      </c>
    </row>
    <row r="422">
      <c r="A422" s="181" t="inlineStr">
        <is>
          <t>tephrosin</t>
        </is>
      </c>
      <c r="B422" s="181" t="inlineStr">
        <is>
          <t>tephrosin</t>
        </is>
      </c>
      <c r="C422" s="181" t="str"/>
      <c r="D422" s="181" t="inlineStr">
        <is>
          <t>other</t>
        </is>
      </c>
      <c r="E422" s="181" t="inlineStr">
        <is>
          <t>insufficient evidence</t>
        </is>
      </c>
      <c r="F422" s="181" t="inlineStr">
        <is>
          <t>muscarinic receptor interaction</t>
        </is>
      </c>
      <c r="G422" s="181" t="inlineStr">
        <is>
          <t>cholinergic_modulation</t>
        </is>
      </c>
      <c r="H422" s="181" t="inlineStr">
        <is>
          <t>rapid systemic absorption; crosses BBB; hepatic metabolism</t>
        </is>
      </c>
      <c r="I422" s="181" t="inlineStr">
        <is>
          <t>low</t>
        </is>
      </c>
      <c r="J422" s="181" t="inlineStr">
        <is>
          <t>no well-documented interactions</t>
        </is>
      </c>
      <c r="K422" s="181" t="str"/>
      <c r="L422" s="181" t="inlineStr">
        <is>
          <t>compound_level</t>
        </is>
      </c>
      <c r="M422" s="181" t="inlineStr">
        <is>
          <t>https://plants.sc.egov.usda.gov/home/search?query=amorpha%20fruticosa | https://pubchem.ncbi.nlm.nih.gov/#query=tephrosin</t>
        </is>
      </c>
      <c r="N422" s="181" t="inlineStr">
        <is>
          <t>trusted_gov_added</t>
        </is>
      </c>
      <c r="O422" s="181" t="inlineStr">
        <is>
          <t>PubChem compound page (NIH); USDA Plants database</t>
        </is>
      </c>
      <c r="P422" s="181" t="str"/>
      <c r="Q422" s="181" t="inlineStr">
        <is>
          <t>amorpha-fruticosa</t>
        </is>
      </c>
      <c r="R422" s="181" t="n">
        <v>1</v>
      </c>
      <c r="S422" s="181" t="inlineStr">
        <is>
          <t>Yes</t>
        </is>
      </c>
      <c r="T422" s="181" t="inlineStr">
        <is>
          <t>Integrated from cleaned high-signal dataset</t>
        </is>
      </c>
    </row>
    <row r="423">
      <c r="A423" s="181" t="inlineStr">
        <is>
          <t>terpinen-4-ol</t>
        </is>
      </c>
      <c r="B423" s="181" t="inlineStr">
        <is>
          <t>terpinen-4-ol</t>
        </is>
      </c>
      <c r="C423" s="181" t="str"/>
      <c r="D423" s="181" t="inlineStr">
        <is>
          <t>Terpinen-4-ol, cineole, monoterpenes</t>
        </is>
      </c>
      <c r="E423" s="181" t="inlineStr">
        <is>
          <t>insufficient evidence</t>
        </is>
      </c>
      <c r="F423" s="181" t="inlineStr">
        <is>
          <t>multi-target signaling modulation</t>
        </is>
      </c>
      <c r="G423" s="181" t="inlineStr">
        <is>
          <t>general or unknown targets</t>
        </is>
      </c>
      <c r="H423" s="181" t="inlineStr">
        <is>
          <t>Topical; antiseptic and anti-inflammatory</t>
        </is>
      </c>
      <c r="I423" s="181" t="inlineStr">
        <is>
          <t>low</t>
        </is>
      </c>
      <c r="J423" s="181" t="inlineStr">
        <is>
          <t>no well-documented interactions</t>
        </is>
      </c>
      <c r="K423" s="181" t="str"/>
      <c r="L423" s="181" t="inlineStr">
        <is>
          <t>compound_level</t>
        </is>
      </c>
      <c r="M423" s="181" t="inlineStr">
        <is>
          <t>https://plants.sc.egov.usda.gov/home/search?query=Melaleuca%20alternifolia | https://pubchem.ncbi.nlm.nih.gov/#query=terpinen-4-ol</t>
        </is>
      </c>
      <c r="N423" s="181" t="inlineStr">
        <is>
          <t>inferred_plus_trusted_gov</t>
        </is>
      </c>
      <c r="O423" s="181" t="inlineStr">
        <is>
          <t>scientific name; PubChem compound page (NIH); USDA Plants database</t>
        </is>
      </c>
      <c r="P423" s="181" t="str"/>
      <c r="Q423" s="181" t="inlineStr">
        <is>
          <t>melaleuca-alternifolia</t>
        </is>
      </c>
      <c r="R423" s="181" t="n">
        <v>1</v>
      </c>
      <c r="S423" s="181" t="inlineStr">
        <is>
          <t>Yes</t>
        </is>
      </c>
      <c r="T423" s="181" t="inlineStr">
        <is>
          <t>Integrated from cleaned high-signal dataset</t>
        </is>
      </c>
    </row>
    <row r="424">
      <c r="A424" s="181" t="inlineStr">
        <is>
          <t>tetrahydroharmine</t>
        </is>
      </c>
      <c r="B424" s="181" t="inlineStr">
        <is>
          <t>tetrahydroharmine</t>
        </is>
      </c>
      <c r="C424" s="181" t="str"/>
      <c r="D424" s="181" t="inlineStr">
        <is>
          <t>other</t>
        </is>
      </c>
      <c r="E424" s="181" t="inlineStr">
        <is>
          <t>Beta-carboline alkaloids act as reversible MAO-A inhibitors, allowing oral activity of DMT and modulating serotonergic signaling.</t>
        </is>
      </c>
      <c r="F424" s="181" t="inlineStr">
        <is>
          <t>multi-target signaling modulation</t>
        </is>
      </c>
      <c r="G424" s="181" t="inlineStr">
        <is>
          <t>monoamine_oxidase_inhibition; serotonergic_5HT2A_agonism</t>
        </is>
      </c>
      <c r="H424" s="181" t="inlineStr">
        <is>
          <t>moderate absorption; hepatic metabolism</t>
        </is>
      </c>
      <c r="I424" s="181" t="inlineStr">
        <is>
          <t>low</t>
        </is>
      </c>
      <c r="J424" s="181" t="inlineStr">
        <is>
          <t>no well-documented interactions</t>
        </is>
      </c>
      <c r="K424" s="181" t="str"/>
      <c r="L424" s="181" t="inlineStr">
        <is>
          <t>compound_level</t>
        </is>
      </c>
      <c r="M424" s="181" t="inlineStr">
        <is>
          <t>https://plants.sc.egov.usda.gov/home/search?query=banisteriopsis%20caapi | https://pubchem.ncbi.nlm.nih.gov/#query=tetrahydroharmine</t>
        </is>
      </c>
      <c r="N424" s="181" t="inlineStr">
        <is>
          <t>trusted_gov_added</t>
        </is>
      </c>
      <c r="O424" s="181" t="inlineStr">
        <is>
          <t>PubChem compound page (NIH); USDA Plants database</t>
        </is>
      </c>
      <c r="P424" s="181" t="str"/>
      <c r="Q424" s="181" t="inlineStr">
        <is>
          <t>banisteriopsis-caapi</t>
        </is>
      </c>
      <c r="R424" s="181" t="n">
        <v>1</v>
      </c>
      <c r="S424" s="181" t="inlineStr">
        <is>
          <t>Yes</t>
        </is>
      </c>
      <c r="T424" s="181" t="inlineStr">
        <is>
          <t>Integrated from cleaned high-signal dataset</t>
        </is>
      </c>
    </row>
    <row r="425">
      <c r="A425" s="181" t="inlineStr">
        <is>
          <t>tetrahydropalmatine</t>
        </is>
      </c>
      <c r="B425" s="181" t="inlineStr">
        <is>
          <t>tetrahydropalmatine</t>
        </is>
      </c>
      <c r="C425" s="181" t="str"/>
      <c r="D425" s="181" t="inlineStr">
        <is>
          <t>other</t>
        </is>
      </c>
      <c r="E425" s="181" t="inlineStr">
        <is>
          <t>insufficient evidence</t>
        </is>
      </c>
      <c r="F425" s="181" t="inlineStr">
        <is>
          <t>multi-target signaling modulation</t>
        </is>
      </c>
      <c r="G425" s="181" t="inlineStr">
        <is>
          <t>dopaminergic_modulation</t>
        </is>
      </c>
      <c r="H425" s="181" t="inlineStr">
        <is>
          <t>moderate absorption; hepatic metabolism</t>
        </is>
      </c>
      <c r="I425" s="181" t="inlineStr">
        <is>
          <t>low</t>
        </is>
      </c>
      <c r="J425" s="181" t="inlineStr">
        <is>
          <t>no well-documented interactions</t>
        </is>
      </c>
      <c r="K425" s="181" t="str"/>
      <c r="L425" s="181" t="inlineStr">
        <is>
          <t>compound_level</t>
        </is>
      </c>
      <c r="M425" s="181" t="inlineStr">
        <is>
          <t>https://plants.sc.egov.usda.gov/home/search?query=corydalis%20yanhusuo | https://pubchem.ncbi.nlm.nih.gov/#query=tetrahydropalmatine</t>
        </is>
      </c>
      <c r="N425" s="181" t="inlineStr">
        <is>
          <t>trusted_gov_added</t>
        </is>
      </c>
      <c r="O425" s="181" t="inlineStr">
        <is>
          <t>PubChem compound page (NIH); USDA Plants database</t>
        </is>
      </c>
      <c r="P425" s="181" t="str"/>
      <c r="Q425" s="181" t="inlineStr">
        <is>
          <t>corydalis-yanhusuo</t>
        </is>
      </c>
      <c r="R425" s="181" t="n">
        <v>1</v>
      </c>
      <c r="S425" s="181" t="inlineStr">
        <is>
          <t>Yes</t>
        </is>
      </c>
      <c r="T425" s="181" t="inlineStr">
        <is>
          <t>Integrated from cleaned high-signal dataset</t>
        </is>
      </c>
    </row>
    <row r="426">
      <c r="A426" s="181" t="inlineStr">
        <is>
          <t>tetramethylpyrazine</t>
        </is>
      </c>
      <c r="B426" s="181" t="inlineStr">
        <is>
          <t>tetramethylpyrazine</t>
        </is>
      </c>
      <c r="C426" s="181" t="str"/>
      <c r="D426" s="181" t="inlineStr">
        <is>
          <t>other</t>
        </is>
      </c>
      <c r="E426" s="181" t="inlineStr">
        <is>
          <t>insufficient evidence</t>
        </is>
      </c>
      <c r="F426" s="181" t="inlineStr">
        <is>
          <t>multi-target signaling modulation</t>
        </is>
      </c>
      <c r="G426" s="181" t="inlineStr">
        <is>
          <t>general or unknown targets</t>
        </is>
      </c>
      <c r="H426" s="181" t="inlineStr">
        <is>
          <t>Absorption and bioavailability vary; some compounds metabolized via cytochrome P450 enzymes.</t>
        </is>
      </c>
      <c r="I426" s="181" t="inlineStr">
        <is>
          <t>low</t>
        </is>
      </c>
      <c r="J426" s="181" t="inlineStr">
        <is>
          <t>no well-documented interactions</t>
        </is>
      </c>
      <c r="K426" s="181" t="str"/>
      <c r="L426" s="181" t="inlineStr">
        <is>
          <t>compound_level</t>
        </is>
      </c>
      <c r="M426" s="181" t="inlineStr">
        <is>
          <t>https://plants.sc.egov.usda.gov/home/search?query=Ligusticum%20chuanxiong | https://pubchem.ncbi.nlm.nih.gov/#query=tetramethylpyrazine</t>
        </is>
      </c>
      <c r="N426" s="181" t="inlineStr">
        <is>
          <t>inferred_plus_trusted_gov</t>
        </is>
      </c>
      <c r="O426" s="181" t="inlineStr">
        <is>
          <t>scientific name; PubChem compound page (NIH); USDA Plants database</t>
        </is>
      </c>
      <c r="P426" s="181" t="str"/>
      <c r="Q426" s="181" t="inlineStr">
        <is>
          <t>ligusticum-chuanxiong</t>
        </is>
      </c>
      <c r="R426" s="181" t="n">
        <v>1</v>
      </c>
      <c r="S426" s="181" t="inlineStr">
        <is>
          <t>Yes</t>
        </is>
      </c>
      <c r="T426" s="181" t="inlineStr">
        <is>
          <t>Integrated from cleaned high-signal dataset</t>
        </is>
      </c>
    </row>
    <row r="427">
      <c r="A427" s="181" t="inlineStr">
        <is>
          <t>tetrandrine</t>
        </is>
      </c>
      <c r="B427" s="181" t="inlineStr">
        <is>
          <t>tetrandrine</t>
        </is>
      </c>
      <c r="C427" s="181" t="str"/>
      <c r="D427" s="181" t="inlineStr">
        <is>
          <t>biscoclaurine alkaloids</t>
        </is>
      </c>
      <c r="E427" s="181" t="inlineStr">
        <is>
          <t>insufficient evidence</t>
        </is>
      </c>
      <c r="F427" s="181" t="inlineStr">
        <is>
          <t>multi-target signaling modulation</t>
        </is>
      </c>
      <c r="G427" s="181" t="inlineStr">
        <is>
          <t>general or unknown targets</t>
        </is>
      </c>
      <c r="H427" s="181" t="inlineStr">
        <is>
          <t>Absorption and bioavailability vary; some compounds metabolized via cytochrome P450 enzymes.</t>
        </is>
      </c>
      <c r="I427" s="181" t="inlineStr">
        <is>
          <t>low</t>
        </is>
      </c>
      <c r="J427" s="181" t="inlineStr">
        <is>
          <t>no well-documented interactions</t>
        </is>
      </c>
      <c r="K427" s="181" t="str"/>
      <c r="L427" s="181" t="inlineStr">
        <is>
          <t>compound_level</t>
        </is>
      </c>
      <c r="M427" s="181" t="inlineStr">
        <is>
          <t>https://plants.sc.egov.usda.gov/home/search?query=Stephania%20cepharantha | https://plants.sc.egov.usda.gov/home/search?query=Stephania%20tetrandra | https://pubchem.ncbi.nlm.nih.gov/#query=tetrandrine</t>
        </is>
      </c>
      <c r="N427" s="181" t="inlineStr">
        <is>
          <t>inferred_plus_trusted_gov</t>
        </is>
      </c>
      <c r="O427" s="181" t="inlineStr">
        <is>
          <t>scientific name; PubChem compound page (NIH); USDA Plants database</t>
        </is>
      </c>
      <c r="P427" s="181" t="str"/>
      <c r="Q427" s="181" t="inlineStr">
        <is>
          <t>stephania-cepharantha; stephania-tetrandra</t>
        </is>
      </c>
      <c r="R427" s="181" t="n">
        <v>2</v>
      </c>
      <c r="S427" s="181" t="inlineStr">
        <is>
          <t>Yes</t>
        </is>
      </c>
      <c r="T427" s="181" t="inlineStr">
        <is>
          <t>Integrated from cleaned high-signal dataset</t>
        </is>
      </c>
    </row>
    <row r="428">
      <c r="A428" s="181" t="inlineStr">
        <is>
          <t>thc</t>
        </is>
      </c>
      <c r="B428" s="181" t="inlineStr">
        <is>
          <t>thc</t>
        </is>
      </c>
      <c r="C428" s="181" t="str"/>
      <c r="D428" s="181" t="inlineStr">
        <is>
          <t>terpenes</t>
        </is>
      </c>
      <c r="E428" s="181" t="inlineStr">
        <is>
          <t>THC acts at CB1 receptors; terpenes may modulate neurotransmitter systems and pharmacokinetics.</t>
        </is>
      </c>
      <c r="F428" s="181" t="inlineStr">
        <is>
          <t>multi-target signaling modulation</t>
        </is>
      </c>
      <c r="G428" s="181" t="inlineStr">
        <is>
          <t>endocannabinoid_modulation</t>
        </is>
      </c>
      <c r="H428" s="181" t="inlineStr">
        <is>
          <t>Absorption and bioavailability vary; some compounds metabolized via cytochrome P450 enzymes.</t>
        </is>
      </c>
      <c r="I428" s="181" t="inlineStr">
        <is>
          <t>low</t>
        </is>
      </c>
      <c r="J428" s="181" t="inlineStr">
        <is>
          <t>no well-documented interactions</t>
        </is>
      </c>
      <c r="K428" s="181" t="str"/>
      <c r="L428" s="181" t="inlineStr">
        <is>
          <t>compound_level</t>
        </is>
      </c>
      <c r="M428" s="181" t="inlineStr">
        <is>
          <t>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https://pubchem.ncbi.nlm.nih.gov/#query=thc</t>
        </is>
      </c>
      <c r="N428" s="181" t="inlineStr">
        <is>
          <t>inferred_plus_trusted_gov; trusted_gov_added</t>
        </is>
      </c>
      <c r="O428" s="181" t="inlineStr">
        <is>
          <t>PubChem compound page (NIH); USDA Plants database; scientific name; PubChem compound page (NIH); USDA Plants database</t>
        </is>
      </c>
      <c r="P428" s="181" t="str"/>
      <c r="Q428" s="181" t="inlineStr">
        <is>
          <t>cannabis-indica; cannabis-ruderalis; cannabis-sativa; cannabis-sativa-african-varieties</t>
        </is>
      </c>
      <c r="R428" s="181" t="n">
        <v>4</v>
      </c>
      <c r="S428" s="181" t="inlineStr">
        <is>
          <t>Yes</t>
        </is>
      </c>
      <c r="T428" s="181" t="inlineStr">
        <is>
          <t>Integrated from cleaned high-signal dataset</t>
        </is>
      </c>
    </row>
    <row r="429">
      <c r="A429" s="181" t="inlineStr">
        <is>
          <t>theanine</t>
        </is>
      </c>
      <c r="B429" s="181" t="inlineStr">
        <is>
          <t>theanine</t>
        </is>
      </c>
      <c r="C429" s="181" t="str"/>
      <c r="D429" s="181" t="inlineStr">
        <is>
          <t>other</t>
        </is>
      </c>
      <c r="E429" s="181" t="inlineStr">
        <is>
          <t>EGCG inhibits catechol-O-methyltransferase (COMT) and activates AMPK; caffeine antagonizes adenosine A1 and A2A receptors.</t>
        </is>
      </c>
      <c r="F429" s="181" t="inlineStr">
        <is>
          <t>adenosine receptor antagonism</t>
        </is>
      </c>
      <c r="G429" s="181" t="inlineStr">
        <is>
          <t>adenosine_antagonism</t>
        </is>
      </c>
      <c r="H429" s="181" t="inlineStr">
        <is>
          <t>moderate absorption; hepatic metabolism</t>
        </is>
      </c>
      <c r="I429" s="181" t="inlineStr">
        <is>
          <t>low</t>
        </is>
      </c>
      <c r="J429" s="181" t="inlineStr">
        <is>
          <t>no well-documented interactions</t>
        </is>
      </c>
      <c r="K429" s="181" t="str"/>
      <c r="L429" s="181" t="inlineStr">
        <is>
          <t>compound_level</t>
        </is>
      </c>
      <c r="M429" s="181" t="inlineStr">
        <is>
          <t>https://plants.sc.egov.usda.gov/home/search?query=camellia%20sinensis | https://pubchem.ncbi.nlm.nih.gov/#query=theanine</t>
        </is>
      </c>
      <c r="N429" s="181" t="inlineStr">
        <is>
          <t>trusted_gov_added</t>
        </is>
      </c>
      <c r="O429" s="181" t="inlineStr">
        <is>
          <t>PubChem compound page (NIH); USDA Plants database</t>
        </is>
      </c>
      <c r="P429" s="181" t="str"/>
      <c r="Q429" s="181" t="inlineStr">
        <is>
          <t>camellia-sinensis</t>
        </is>
      </c>
      <c r="R429" s="181" t="n">
        <v>1</v>
      </c>
      <c r="S429" s="181" t="inlineStr">
        <is>
          <t>Yes</t>
        </is>
      </c>
      <c r="T429" s="181" t="inlineStr">
        <is>
          <t>Integrated from cleaned high-signal dataset</t>
        </is>
      </c>
    </row>
    <row r="430">
      <c r="A430" s="181" t="inlineStr">
        <is>
          <t>thebaine</t>
        </is>
      </c>
      <c r="B430" s="181" t="inlineStr">
        <is>
          <t>thebaine</t>
        </is>
      </c>
      <c r="C430" s="181" t="str"/>
      <c r="D430" s="181" t="inlineStr">
        <is>
          <t>other</t>
        </is>
      </c>
      <c r="E430" s="181" t="inlineStr">
        <is>
          <t>insufficient evidence</t>
        </is>
      </c>
      <c r="F430" s="181" t="inlineStr">
        <is>
          <t>multi-target signaling modulation</t>
        </is>
      </c>
      <c r="G430" s="181" t="inlineStr">
        <is>
          <t>general or unknown targets</t>
        </is>
      </c>
      <c r="H430" s="181" t="inlineStr">
        <is>
          <t>Oral/parenteral; CNS depressant and analgesic</t>
        </is>
      </c>
      <c r="I430" s="181" t="inlineStr">
        <is>
          <t>low</t>
        </is>
      </c>
      <c r="J430" s="181" t="inlineStr">
        <is>
          <t>no well-documented interactions</t>
        </is>
      </c>
      <c r="K430" s="181" t="str"/>
      <c r="L430" s="181" t="inlineStr">
        <is>
          <t>compound_level</t>
        </is>
      </c>
      <c r="M430" s="181" t="inlineStr">
        <is>
          <t>https://plants.sc.egov.usda.gov/home/search?query=Papaver%20somniferum | https://pubchem.ncbi.nlm.nih.gov/#query=thebaine</t>
        </is>
      </c>
      <c r="N430" s="181" t="inlineStr">
        <is>
          <t>inferred_plus_trusted_gov</t>
        </is>
      </c>
      <c r="O430" s="181" t="inlineStr">
        <is>
          <t>scientific name; PubChem compound page (NIH); USDA Plants database</t>
        </is>
      </c>
      <c r="P430" s="181" t="str"/>
      <c r="Q430" s="181" t="inlineStr">
        <is>
          <t>papaver-somniferum</t>
        </is>
      </c>
      <c r="R430" s="181" t="n">
        <v>1</v>
      </c>
      <c r="S430" s="181" t="inlineStr">
        <is>
          <t>Yes</t>
        </is>
      </c>
      <c r="T430" s="181" t="inlineStr">
        <is>
          <t>Integrated from cleaned high-signal dataset</t>
        </is>
      </c>
    </row>
    <row r="431">
      <c r="A431" s="181" t="inlineStr">
        <is>
          <t>theobromine</t>
        </is>
      </c>
      <c r="B431" s="181" t="inlineStr">
        <is>
          <t>theobromine</t>
        </is>
      </c>
      <c r="C431" s="181" t="str"/>
      <c r="D431" s="181" t="inlineStr">
        <is>
          <t>tannins</t>
        </is>
      </c>
      <c r="E431" s="181" t="inlineStr">
        <is>
          <t>Guarana's stimulant effects are driven primarily by caffeine acting as a nonselective adenosine receptor antagonist; other xanthines and polyphenols contribute secondary stimulant and antioxidant effects.</t>
        </is>
      </c>
      <c r="F431" s="181" t="inlineStr">
        <is>
          <t>adenosine receptor antagonism; multi-target signaling modulation</t>
        </is>
      </c>
      <c r="G431" s="181" t="inlineStr">
        <is>
          <t>ADORA1, ADORA2A (adenosine receptors); adenosine_antagonism; dopaminergic_modulation</t>
        </is>
      </c>
      <c r="H431" s="181" t="inlineStr">
        <is>
          <t>moderate absorption; hepatic metabolism</t>
        </is>
      </c>
      <c r="I431" s="181" t="inlineStr">
        <is>
          <t>low</t>
        </is>
      </c>
      <c r="J431" s="181" t="inlineStr">
        <is>
          <t>may interact with stimulants; caution with cardiovascular conditions</t>
        </is>
      </c>
      <c r="K431" s="181" t="str"/>
      <c r="L431" s="181" t="inlineStr">
        <is>
          <t>compound_level</t>
        </is>
      </c>
      <c r="M431" s="181" t="inlineStr">
        <is>
          <t>https://plants.sc.egov.usda.gov/home/search?query=Ilex%20guayusa | https://plants.sc.egov.usda.gov/home/search?query=Ilex%20paraguariensis | https://plants.sc.egov.usda.gov/home/search?query=Paullinia%20cupana | https://plants.sc.egov.usda.gov/home/search?query=Theobroma%20bicolor | https://plants.sc.egov.usda.gov/home/search?query=Theobroma%20cacao | https://plants.sc.egov.usda.gov/home/search?query=guarana | https://plants.sc.egov.usda.gov/home/search?query=yerba%20mate | https://pubchem.ncbi.nlm.nih.gov/#query=theobromine</t>
        </is>
      </c>
      <c r="N431" s="181" t="inlineStr">
        <is>
          <t>inferred_plus_trusted_gov; trusted_gov_added</t>
        </is>
      </c>
      <c r="O431" s="181" t="inlineStr">
        <is>
          <t>PubChem compound page (NIH); USDA Plants database; scientific name; PubChem compound page (NIH); USDA Plants database</t>
        </is>
      </c>
      <c r="P431" s="181" t="str"/>
      <c r="Q431" s="181" t="inlineStr">
        <is>
          <t>guarana; ilex-guayusa; ilex-paraguariensis; paullinia-cupana; theobroma-bicolor; theobroma-cacao</t>
        </is>
      </c>
      <c r="R431" s="181" t="n">
        <v>6</v>
      </c>
      <c r="S431" s="181" t="inlineStr">
        <is>
          <t>Yes</t>
        </is>
      </c>
      <c r="T431" s="181" t="inlineStr">
        <is>
          <t>Integrated from cleaned high-signal dataset</t>
        </is>
      </c>
    </row>
    <row r="432">
      <c r="A432" s="181" t="inlineStr">
        <is>
          <t>theophylline</t>
        </is>
      </c>
      <c r="B432" s="181" t="inlineStr">
        <is>
          <t>theophylline</t>
        </is>
      </c>
      <c r="C432" s="181" t="str"/>
      <c r="D432" s="181" t="inlineStr">
        <is>
          <t>tannins</t>
        </is>
      </c>
      <c r="E432" s="181" t="inlineStr">
        <is>
          <t>Guarana's stimulant effects are driven primarily by caffeine acting as a nonselective adenosine receptor antagonist; other xanthines and polyphenols contribute secondary stimulant and antioxidant effects.</t>
        </is>
      </c>
      <c r="F432" s="181" t="inlineStr">
        <is>
          <t>adenosine receptor antagonism</t>
        </is>
      </c>
      <c r="G432" s="181" t="inlineStr">
        <is>
          <t>adenosine_antagonism</t>
        </is>
      </c>
      <c r="H432" s="181" t="inlineStr">
        <is>
          <t>moderate absorption; hepatic metabolism</t>
        </is>
      </c>
      <c r="I432" s="181" t="inlineStr">
        <is>
          <t>low</t>
        </is>
      </c>
      <c r="J432" s="181" t="inlineStr">
        <is>
          <t>no well-documented interactions</t>
        </is>
      </c>
      <c r="K432" s="181" t="str"/>
      <c r="L432" s="181" t="inlineStr">
        <is>
          <t>compound_level</t>
        </is>
      </c>
      <c r="M432" s="181" t="inlineStr">
        <is>
          <t>https://plants.sc.egov.usda.gov/home/search?query=guarana | https://pubchem.ncbi.nlm.nih.gov/#query=theophylline</t>
        </is>
      </c>
      <c r="N432" s="181" t="inlineStr">
        <is>
          <t>trusted_gov_added</t>
        </is>
      </c>
      <c r="O432" s="181" t="inlineStr">
        <is>
          <t>PubChem compound page (NIH); USDA Plants database</t>
        </is>
      </c>
      <c r="P432" s="181" t="str"/>
      <c r="Q432" s="181" t="inlineStr">
        <is>
          <t>guarana</t>
        </is>
      </c>
      <c r="R432" s="181" t="n">
        <v>1</v>
      </c>
      <c r="S432" s="181" t="inlineStr">
        <is>
          <t>Yes</t>
        </is>
      </c>
      <c r="T432" s="181" t="inlineStr">
        <is>
          <t>Integrated from cleaned high-signal dataset</t>
        </is>
      </c>
    </row>
    <row r="433">
      <c r="A433" s="181" t="inlineStr">
        <is>
          <t>thevetin a</t>
        </is>
      </c>
      <c r="B433" s="181" t="inlineStr">
        <is>
          <t>thevetin a</t>
        </is>
      </c>
      <c r="C433" s="181" t="str"/>
      <c r="D433" s="181" t="inlineStr">
        <is>
          <t>cardiac glycosides</t>
        </is>
      </c>
      <c r="E433" s="181" t="inlineStr">
        <is>
          <t>insufficient evidence</t>
        </is>
      </c>
      <c r="F433" s="181" t="inlineStr">
        <is>
          <t>multi-target signaling modulation</t>
        </is>
      </c>
      <c r="G433" s="181" t="inlineStr">
        <is>
          <t>general or unknown targets</t>
        </is>
      </c>
      <c r="H433" s="181" t="inlineStr">
        <is>
          <t>Absorption and bioavailability vary; some compounds metabolized via cytochrome P450 enzymes.</t>
        </is>
      </c>
      <c r="I433" s="181" t="inlineStr">
        <is>
          <t>low</t>
        </is>
      </c>
      <c r="J433" s="181" t="inlineStr">
        <is>
          <t>no well-documented interactions</t>
        </is>
      </c>
      <c r="K433" s="181" t="str"/>
      <c r="L433" s="181" t="inlineStr">
        <is>
          <t>compound_level</t>
        </is>
      </c>
      <c r="M433" s="181" t="inlineStr">
        <is>
          <t>https://plants.sc.egov.usda.gov/home/search?query=Thevetia%20peruviana | https://pubchem.ncbi.nlm.nih.gov/#query=thevetin%20a</t>
        </is>
      </c>
      <c r="N433" s="181" t="inlineStr">
        <is>
          <t>inferred_plus_trusted_gov</t>
        </is>
      </c>
      <c r="O433" s="181" t="inlineStr">
        <is>
          <t>scientific name; PubChem compound page (NIH); USDA Plants database</t>
        </is>
      </c>
      <c r="P433" s="181" t="str"/>
      <c r="Q433" s="181" t="inlineStr">
        <is>
          <t>thevetia-peruviana</t>
        </is>
      </c>
      <c r="R433" s="181" t="n">
        <v>1</v>
      </c>
      <c r="S433" s="181" t="inlineStr">
        <is>
          <t>Yes</t>
        </is>
      </c>
      <c r="T433" s="181" t="inlineStr">
        <is>
          <t>Integrated from cleaned high-signal dataset</t>
        </is>
      </c>
    </row>
    <row r="434">
      <c r="A434" s="181" t="inlineStr">
        <is>
          <t>thevetin b</t>
        </is>
      </c>
      <c r="B434" s="181" t="inlineStr">
        <is>
          <t>thevetin b</t>
        </is>
      </c>
      <c r="C434" s="181" t="str"/>
      <c r="D434" s="181" t="inlineStr">
        <is>
          <t>cardiac glycosides</t>
        </is>
      </c>
      <c r="E434" s="181" t="inlineStr">
        <is>
          <t>insufficient evidence</t>
        </is>
      </c>
      <c r="F434" s="181" t="inlineStr">
        <is>
          <t>multi-target signaling modulation</t>
        </is>
      </c>
      <c r="G434" s="181" t="inlineStr">
        <is>
          <t>general or unknown targets</t>
        </is>
      </c>
      <c r="H434" s="181" t="inlineStr">
        <is>
          <t>Absorption and bioavailability vary; some compounds metabolized via cytochrome P450 enzymes.</t>
        </is>
      </c>
      <c r="I434" s="181" t="inlineStr">
        <is>
          <t>low</t>
        </is>
      </c>
      <c r="J434" s="181" t="inlineStr">
        <is>
          <t>no well-documented interactions</t>
        </is>
      </c>
      <c r="K434" s="181" t="str"/>
      <c r="L434" s="181" t="inlineStr">
        <is>
          <t>compound_level</t>
        </is>
      </c>
      <c r="M434" s="181" t="inlineStr">
        <is>
          <t>https://plants.sc.egov.usda.gov/home/search?query=Thevetia%20peruviana | https://pubchem.ncbi.nlm.nih.gov/#query=thevetin%20b</t>
        </is>
      </c>
      <c r="N434" s="181" t="inlineStr">
        <is>
          <t>inferred_plus_trusted_gov</t>
        </is>
      </c>
      <c r="O434" s="181" t="inlineStr">
        <is>
          <t>scientific name; PubChem compound page (NIH); USDA Plants database</t>
        </is>
      </c>
      <c r="P434" s="181" t="str"/>
      <c r="Q434" s="181" t="inlineStr">
        <is>
          <t>thevetia-peruviana</t>
        </is>
      </c>
      <c r="R434" s="181" t="n">
        <v>1</v>
      </c>
      <c r="S434" s="181" t="inlineStr">
        <is>
          <t>Yes</t>
        </is>
      </c>
      <c r="T434" s="181" t="inlineStr">
        <is>
          <t>Integrated from cleaned high-signal dataset</t>
        </is>
      </c>
    </row>
    <row r="435">
      <c r="A435" s="181" t="inlineStr">
        <is>
          <t>thujone</t>
        </is>
      </c>
      <c r="B435" s="181" t="inlineStr">
        <is>
          <t>thujone</t>
        </is>
      </c>
      <c r="C435" s="181" t="str"/>
      <c r="D435" s="181" t="inlineStr">
        <is>
          <t>other</t>
        </is>
      </c>
      <c r="E435" s="181" t="inlineStr">
        <is>
          <t>insufficient evidence</t>
        </is>
      </c>
      <c r="F435" s="181" t="inlineStr">
        <is>
          <t>multi-target signaling modulation</t>
        </is>
      </c>
      <c r="G435" s="181" t="inlineStr">
        <is>
          <t>general or unknown targets</t>
        </is>
      </c>
      <c r="H435" s="181" t="inlineStr">
        <is>
          <t>Absorption and bioavailability vary; some compounds metabolized via cytochrome P450 enzymes.</t>
        </is>
      </c>
      <c r="I435" s="181" t="inlineStr">
        <is>
          <t>low</t>
        </is>
      </c>
      <c r="J435" s="181" t="inlineStr">
        <is>
          <t>no well-documented interactions</t>
        </is>
      </c>
      <c r="K435" s="181" t="str"/>
      <c r="L435" s="181" t="inlineStr">
        <is>
          <t>compound_level</t>
        </is>
      </c>
      <c r="M435" s="181" t="inlineStr">
        <is>
          <t>https://plants.sc.egov.usda.gov/home/search?query=Artemisia%20herba-alba | https://plants.sc.egov.usda.gov/home/search?query=Artemisia%20judaica | https://plants.sc.egov.usda.gov/home/search?query=Salvia%20officinalis | https://pubchem.ncbi.nlm.nih.gov/#query=thujone</t>
        </is>
      </c>
      <c r="N435" s="181" t="inlineStr">
        <is>
          <t>inferred_plus_trusted_gov</t>
        </is>
      </c>
      <c r="O435" s="181" t="inlineStr">
        <is>
          <t>scientific name; PubChem compound page (NIH); USDA Plants database</t>
        </is>
      </c>
      <c r="P435" s="181" t="str"/>
      <c r="Q435" s="181" t="inlineStr">
        <is>
          <t>artemisia-herba-alba; artemisia-judaica; salvia-officinalis</t>
        </is>
      </c>
      <c r="R435" s="181" t="n">
        <v>3</v>
      </c>
      <c r="S435" s="181" t="inlineStr">
        <is>
          <t>Yes</t>
        </is>
      </c>
      <c r="T435" s="181" t="inlineStr">
        <is>
          <t>Integrated from cleaned high-signal dataset</t>
        </is>
      </c>
    </row>
    <row r="436">
      <c r="A436" s="181" t="inlineStr">
        <is>
          <t>thymol</t>
        </is>
      </c>
      <c r="B436" s="181" t="inlineStr">
        <is>
          <t>thymol</t>
        </is>
      </c>
      <c r="C436" s="181" t="str"/>
      <c r="D436" s="181" t="inlineStr">
        <is>
          <t>Thymol, carvacrol, essential oils</t>
        </is>
      </c>
      <c r="E436" s="181" t="inlineStr">
        <is>
          <t>insufficient evidence</t>
        </is>
      </c>
      <c r="F436" s="181" t="inlineStr">
        <is>
          <t>multi-target signaling modulation</t>
        </is>
      </c>
      <c r="G436" s="181" t="inlineStr">
        <is>
          <t>general or unknown targets</t>
        </is>
      </c>
      <c r="H436" s="181" t="inlineStr">
        <is>
          <t>Oral; expectorant and carminative</t>
        </is>
      </c>
      <c r="I436" s="181" t="inlineStr">
        <is>
          <t>low</t>
        </is>
      </c>
      <c r="J436" s="181" t="inlineStr">
        <is>
          <t>no well-documented interactions</t>
        </is>
      </c>
      <c r="K436" s="181" t="str"/>
      <c r="L436" s="181" t="inlineStr">
        <is>
          <t>compound_level</t>
        </is>
      </c>
      <c r="M436" s="181" t="inlineStr">
        <is>
          <t>https://plants.sc.egov.usda.gov/home/search?query=Monarda%20fistulosa | https://plants.sc.egov.usda.gov/home/search?query=Origanum%20vulgare | https://plants.sc.egov.usda.gov/home/search?query=thymus%20vulgaris | https://pubchem.ncbi.nlm.nih.gov/#query=thymol</t>
        </is>
      </c>
      <c r="N436" s="181" t="inlineStr">
        <is>
          <t>inferred_plus_trusted_gov; trusted_gov_added</t>
        </is>
      </c>
      <c r="O436" s="181" t="inlineStr">
        <is>
          <t>PubChem compound page (NIH); USDA Plants database; scientific name; PubChem compound page (NIH); USDA Plants database</t>
        </is>
      </c>
      <c r="P436" s="181" t="str"/>
      <c r="Q436" s="181" t="inlineStr">
        <is>
          <t>monarda-fistulosa; origanum-vulgare; thymus-vulgaris</t>
        </is>
      </c>
      <c r="R436" s="181" t="n">
        <v>3</v>
      </c>
      <c r="S436" s="181" t="inlineStr">
        <is>
          <t>Yes</t>
        </is>
      </c>
      <c r="T436" s="181" t="inlineStr">
        <is>
          <t>Integrated from cleaned high-signal dataset</t>
        </is>
      </c>
    </row>
    <row r="437">
      <c r="A437" s="181" t="inlineStr">
        <is>
          <t>thymoquinone</t>
        </is>
      </c>
      <c r="B437" s="181" t="inlineStr">
        <is>
          <t>thymoquinone</t>
        </is>
      </c>
      <c r="C437" s="181" t="str"/>
      <c r="D437" s="181" t="inlineStr">
        <is>
          <t>Thymoquinone, nigellone, essential oils</t>
        </is>
      </c>
      <c r="E437" s="181" t="inlineStr">
        <is>
          <t>insufficient evidence</t>
        </is>
      </c>
      <c r="F437" s="181" t="inlineStr">
        <is>
          <t>multi-target signaling modulation</t>
        </is>
      </c>
      <c r="G437" s="181" t="inlineStr">
        <is>
          <t>general or unknown targets</t>
        </is>
      </c>
      <c r="H437" s="181" t="inlineStr">
        <is>
          <t>Oral; hepatic and pulmonary tonic</t>
        </is>
      </c>
      <c r="I437" s="181" t="inlineStr">
        <is>
          <t>low</t>
        </is>
      </c>
      <c r="J437" s="181" t="inlineStr">
        <is>
          <t>no well-documented interactions</t>
        </is>
      </c>
      <c r="K437" s="181" t="str"/>
      <c r="L437" s="181" t="inlineStr">
        <is>
          <t>compound_level</t>
        </is>
      </c>
      <c r="M437" s="181" t="inlineStr">
        <is>
          <t>https://plants.sc.egov.usda.gov/home/search?query=Nigella%20sativa | https://pubchem.ncbi.nlm.nih.gov/#query=thymoquinone</t>
        </is>
      </c>
      <c r="N437" s="181" t="inlineStr">
        <is>
          <t>inferred_plus_trusted_gov</t>
        </is>
      </c>
      <c r="O437" s="181" t="inlineStr">
        <is>
          <t>scientific name; PubChem compound page (NIH); USDA Plants database</t>
        </is>
      </c>
      <c r="P437" s="181" t="str"/>
      <c r="Q437" s="181" t="inlineStr">
        <is>
          <t>nigella-sativa</t>
        </is>
      </c>
      <c r="R437" s="181" t="n">
        <v>1</v>
      </c>
      <c r="S437" s="181" t="inlineStr">
        <is>
          <t>Yes</t>
        </is>
      </c>
      <c r="T437" s="181" t="inlineStr">
        <is>
          <t>Integrated from cleaned high-signal dataset</t>
        </is>
      </c>
    </row>
    <row r="438">
      <c r="A438" s="181" t="inlineStr">
        <is>
          <t>timosaponin aiii</t>
        </is>
      </c>
      <c r="B438" s="181" t="inlineStr">
        <is>
          <t>timosaponin aiii</t>
        </is>
      </c>
      <c r="C438" s="181" t="str"/>
      <c r="D438" s="181" t="inlineStr">
        <is>
          <t>timosaponin AIII; saponins</t>
        </is>
      </c>
      <c r="E438" s="181" t="inlineStr">
        <is>
          <t>insufficient evidence</t>
        </is>
      </c>
      <c r="F438" s="181" t="inlineStr">
        <is>
          <t>multi-target signaling modulation</t>
        </is>
      </c>
      <c r="G438" s="181" t="inlineStr">
        <is>
          <t>general or unknown targets</t>
        </is>
      </c>
      <c r="H438" s="181" t="inlineStr">
        <is>
          <t>Absorption and bioavailability vary; some compounds metabolized via cytochrome P450 enzymes.</t>
        </is>
      </c>
      <c r="I438" s="181" t="inlineStr">
        <is>
          <t>low</t>
        </is>
      </c>
      <c r="J438" s="181" t="inlineStr">
        <is>
          <t>no well-documented interactions</t>
        </is>
      </c>
      <c r="K438" s="181" t="str"/>
      <c r="L438" s="181" t="inlineStr">
        <is>
          <t>compound_level</t>
        </is>
      </c>
      <c r="M438" s="181" t="inlineStr">
        <is>
          <t>https://plants.sc.egov.usda.gov/home/search?query=Anemarrhena%20asphodeloides | https://pubchem.ncbi.nlm.nih.gov/#query=timosaponin%20aiii</t>
        </is>
      </c>
      <c r="N438" s="181" t="inlineStr">
        <is>
          <t>inferred_plus_trusted_gov</t>
        </is>
      </c>
      <c r="O438" s="181" t="inlineStr">
        <is>
          <t>scientific name; PubChem compound page (NIH); USDA Plants database</t>
        </is>
      </c>
      <c r="P438" s="181" t="str"/>
      <c r="Q438" s="181" t="inlineStr">
        <is>
          <t>anemarrhena-asphodeloides</t>
        </is>
      </c>
      <c r="R438" s="181" t="n">
        <v>1</v>
      </c>
      <c r="S438" s="181" t="inlineStr">
        <is>
          <t>Yes</t>
        </is>
      </c>
      <c r="T438" s="181" t="inlineStr">
        <is>
          <t>Integrated from cleaned high-signal dataset</t>
        </is>
      </c>
    </row>
    <row r="439">
      <c r="A439" s="181" t="inlineStr">
        <is>
          <t>trans-cinnamoylcocaine</t>
        </is>
      </c>
      <c r="B439" s="181" t="inlineStr">
        <is>
          <t>trans-cinnamoylcocaine</t>
        </is>
      </c>
      <c r="C439" s="181" t="str"/>
      <c r="D439" s="181" t="inlineStr">
        <is>
          <t>other</t>
        </is>
      </c>
      <c r="E439" s="181" t="inlineStr">
        <is>
          <t>insufficient evidence</t>
        </is>
      </c>
      <c r="F439" s="181" t="inlineStr">
        <is>
          <t>multi-target signaling modulation</t>
        </is>
      </c>
      <c r="G439" s="181" t="inlineStr">
        <is>
          <t>dopaminergic_modulation</t>
        </is>
      </c>
      <c r="H439" s="181" t="inlineStr">
        <is>
          <t>moderate absorption; hepatic metabolism</t>
        </is>
      </c>
      <c r="I439" s="181" t="inlineStr">
        <is>
          <t>low</t>
        </is>
      </c>
      <c r="J439" s="181" t="inlineStr">
        <is>
          <t>no well-documented interactions</t>
        </is>
      </c>
      <c r="K439" s="181" t="str"/>
      <c r="L439" s="181" t="inlineStr">
        <is>
          <t>compound_level</t>
        </is>
      </c>
      <c r="M439" s="181" t="inlineStr">
        <is>
          <t>https://plants.sc.egov.usda.gov/home/search?query=coca | https://plants.sc.egov.usda.gov/home/search?query=coca%20leaf | https://pubchem.ncbi.nlm.nih.gov/#query=cinnamoylcocaine</t>
        </is>
      </c>
      <c r="N439" s="181" t="inlineStr">
        <is>
          <t>trusted_gov_added</t>
        </is>
      </c>
      <c r="O439" s="181" t="inlineStr">
        <is>
          <t>PubChem compound page (NIH); USDA Plants database</t>
        </is>
      </c>
      <c r="P439" s="181" t="str"/>
      <c r="Q439" s="181" t="inlineStr">
        <is>
          <t>coca; coca-leaf</t>
        </is>
      </c>
      <c r="R439" s="181" t="n">
        <v>2</v>
      </c>
      <c r="S439" s="181" t="inlineStr">
        <is>
          <t>Yes</t>
        </is>
      </c>
      <c r="T439" s="181" t="inlineStr">
        <is>
          <t>Integrated from cleaned high-signal dataset</t>
        </is>
      </c>
    </row>
    <row r="440">
      <c r="A440" s="181" t="inlineStr">
        <is>
          <t>trigonelline</t>
        </is>
      </c>
      <c r="B440" s="181" t="inlineStr">
        <is>
          <t>trigonelline</t>
        </is>
      </c>
      <c r="C440" s="181" t="str"/>
      <c r="D440" s="181" t="inlineStr">
        <is>
          <t>other</t>
        </is>
      </c>
      <c r="E440" s="181" t="inlineStr">
        <is>
          <t>Coffee's stimulant effects are driven primarily by caffeine, which acts as a nonselective adenosine receptor antagonist; chlorogenic acids and diterpenes contribute additional antioxidant and metabolic effects.</t>
        </is>
      </c>
      <c r="F440" s="181" t="inlineStr">
        <is>
          <t>adenosine receptor antagonism</t>
        </is>
      </c>
      <c r="G440" s="181" t="inlineStr">
        <is>
          <t>adenosine_antagonism</t>
        </is>
      </c>
      <c r="H440" s="181" t="inlineStr">
        <is>
          <t>Absorption and bioavailability vary; some compounds metabolized via cytochrome P450 enzymes.</t>
        </is>
      </c>
      <c r="I440" s="181" t="inlineStr">
        <is>
          <t>low</t>
        </is>
      </c>
      <c r="J440" s="181" t="inlineStr">
        <is>
          <t>no well-documented interactions</t>
        </is>
      </c>
      <c r="K440" s="181" t="str"/>
      <c r="L440" s="181" t="inlineStr">
        <is>
          <t>compound_level</t>
        </is>
      </c>
      <c r="M440" s="181" t="inlineStr">
        <is>
          <t>https://plants.sc.egov.usda.gov/home/search?query=Coffea%20arabica | https://plants.sc.egov.usda.gov/home/search?query=coffee | https://pubchem.ncbi.nlm.nih.gov/#query=trigonelline</t>
        </is>
      </c>
      <c r="N440" s="181" t="inlineStr">
        <is>
          <t>inferred_plus_trusted_gov; trusted_gov_added</t>
        </is>
      </c>
      <c r="O440" s="181" t="inlineStr">
        <is>
          <t>PubChem compound page (NIH); USDA Plants database; scientific name; PubChem compound page (NIH); USDA Plants database</t>
        </is>
      </c>
      <c r="P440" s="181" t="str"/>
      <c r="Q440" s="181" t="inlineStr">
        <is>
          <t>coffea-arabica; coffee</t>
        </is>
      </c>
      <c r="R440" s="181" t="n">
        <v>2</v>
      </c>
      <c r="S440" s="181" t="inlineStr">
        <is>
          <t>Yes</t>
        </is>
      </c>
      <c r="T440" s="181" t="inlineStr">
        <is>
          <t>Integrated from cleaned high-signal dataset</t>
        </is>
      </c>
    </row>
    <row r="441">
      <c r="A441" s="181" t="inlineStr">
        <is>
          <t>triketones leptospermone</t>
        </is>
      </c>
      <c r="B441" s="181" t="inlineStr">
        <is>
          <t>triketones (leptospermone)</t>
        </is>
      </c>
      <c r="C441" s="181" t="str"/>
      <c r="D441" s="181" t="inlineStr">
        <is>
          <t>Essential oils, triketones (leptospermone)</t>
        </is>
      </c>
      <c r="E441" s="181" t="inlineStr">
        <is>
          <t>insufficient evidence</t>
        </is>
      </c>
      <c r="F441" s="181" t="inlineStr">
        <is>
          <t>multi-target signaling modulation</t>
        </is>
      </c>
      <c r="G441" s="181" t="inlineStr">
        <is>
          <t>general or unknown targets</t>
        </is>
      </c>
      <c r="H441" s="181" t="inlineStr">
        <is>
          <t>Topical/oral; antibacterial and healing</t>
        </is>
      </c>
      <c r="I441" s="181" t="inlineStr">
        <is>
          <t>low</t>
        </is>
      </c>
      <c r="J441" s="181" t="inlineStr">
        <is>
          <t>no well-documented interactions</t>
        </is>
      </c>
      <c r="K441" s="181" t="str"/>
      <c r="L441" s="181" t="inlineStr">
        <is>
          <t>compound_level</t>
        </is>
      </c>
      <c r="M441" s="181" t="inlineStr">
        <is>
          <t>https://plants.sc.egov.usda.gov/home/search?query=Leptospermum%20scoparium | https://pubchem.ncbi.nlm.nih.gov/#query=triketones%20%28leptospermone%29</t>
        </is>
      </c>
      <c r="N441" s="181" t="inlineStr">
        <is>
          <t>inferred_plus_trusted_gov</t>
        </is>
      </c>
      <c r="O441" s="181" t="inlineStr">
        <is>
          <t>scientific name; PubChem compound page (NIH); USDA Plants database</t>
        </is>
      </c>
      <c r="P441" s="181" t="str"/>
      <c r="Q441" s="181" t="inlineStr">
        <is>
          <t>leptospermum-scoparium</t>
        </is>
      </c>
      <c r="R441" s="181" t="n">
        <v>1</v>
      </c>
      <c r="S441" s="181" t="inlineStr">
        <is>
          <t>Yes</t>
        </is>
      </c>
      <c r="T441" s="181" t="inlineStr">
        <is>
          <t>Integrated from cleaned high-signal dataset</t>
        </is>
      </c>
    </row>
    <row r="442">
      <c r="A442" s="181" t="inlineStr">
        <is>
          <t>tropacocaine</t>
        </is>
      </c>
      <c r="B442" s="181" t="inlineStr">
        <is>
          <t>tropacocaine</t>
        </is>
      </c>
      <c r="C442" s="181" t="str"/>
      <c r="D442" s="181" t="inlineStr">
        <is>
          <t>other</t>
        </is>
      </c>
      <c r="E442" s="181" t="inlineStr">
        <is>
          <t>insufficient evidence</t>
        </is>
      </c>
      <c r="F442" s="181" t="inlineStr">
        <is>
          <t>multi-target signaling modulation</t>
        </is>
      </c>
      <c r="G442" s="181" t="inlineStr">
        <is>
          <t>dopaminergic_modulation; general or unknown targets</t>
        </is>
      </c>
      <c r="H442" s="181" t="inlineStr">
        <is>
          <t>moderate absorption; hepatic metabolism</t>
        </is>
      </c>
      <c r="I442" s="181" t="inlineStr">
        <is>
          <t>low</t>
        </is>
      </c>
      <c r="J442" s="181" t="inlineStr">
        <is>
          <t>no well-documented interactions</t>
        </is>
      </c>
      <c r="K442" s="181" t="str"/>
      <c r="L442" s="181" t="inlineStr">
        <is>
          <t>compound_level</t>
        </is>
      </c>
      <c r="M442" s="181" t="inlineStr">
        <is>
          <t>https://plants.sc.egov.usda.gov/home/search?query=Erythroxylum%20novogranatense | https://plants.sc.egov.usda.gov/home/search?query=coca | https://plants.sc.egov.usda.gov/home/search?query=coca%20leaf | https://plants.sc.egov.usda.gov/home/search?query=erythroxylum%20coca | https://pubchem.ncbi.nlm.nih.gov/#query=tropacocaine</t>
        </is>
      </c>
      <c r="N442" s="181" t="inlineStr">
        <is>
          <t>inferred_plus_trusted_gov; trusted_gov_added</t>
        </is>
      </c>
      <c r="O442" s="181" t="inlineStr">
        <is>
          <t>PubChem compound page (NIH); USDA Plants database; scientific name; PubChem compound page (NIH); USDA Plants database</t>
        </is>
      </c>
      <c r="P442" s="181" t="str"/>
      <c r="Q442" s="181" t="inlineStr">
        <is>
          <t>coca; coca-leaf; erythroxylum-coca; erythroxylum-novogranatense</t>
        </is>
      </c>
      <c r="R442" s="181" t="n">
        <v>4</v>
      </c>
      <c r="S442" s="181" t="inlineStr">
        <is>
          <t>Yes</t>
        </is>
      </c>
      <c r="T442" s="181" t="inlineStr">
        <is>
          <t>Integrated from cleaned high-signal dataset</t>
        </is>
      </c>
    </row>
    <row r="443">
      <c r="A443" s="181" t="inlineStr">
        <is>
          <t>tryptamine</t>
        </is>
      </c>
      <c r="B443" s="181" t="inlineStr">
        <is>
          <t>tryptamine</t>
        </is>
      </c>
      <c r="C443" s="181" t="str"/>
      <c r="D443" s="181" t="inlineStr">
        <is>
          <t>alkaloid</t>
        </is>
      </c>
      <c r="E443" s="181" t="inlineStr">
        <is>
          <t>DMT acts primarily as a 5-HT2A receptor agonist with additional sigma-1 receptor activity (proposed).</t>
        </is>
      </c>
      <c r="F443" s="181" t="inlineStr">
        <is>
          <t>serotonergic modulation</t>
        </is>
      </c>
      <c r="G443" s="181" t="inlineStr">
        <is>
          <t>HTR1A, HTR2A (serotonin receptors); serotonergic_5HT2A_agonism</t>
        </is>
      </c>
      <c r="H443" s="181" t="inlineStr">
        <is>
          <t>rapid absorption; CNS penetration; hepatic metabolism</t>
        </is>
      </c>
      <c r="I443" s="181" t="inlineStr">
        <is>
          <t>moderate-high</t>
        </is>
      </c>
      <c r="J443" s="181" t="inlineStr">
        <is>
          <t>avoid with SSRIs/MAOIs; risk of serotonin syndrome</t>
        </is>
      </c>
      <c r="K443" s="181" t="str"/>
      <c r="L443" s="181" t="inlineStr">
        <is>
          <t>compound_level</t>
        </is>
      </c>
      <c r="M443" s="181" t="inlineStr">
        <is>
          <t>https://plants.sc.egov.usda.gov/home/search?query=Phalaris%20arundinacea | https://plants.sc.egov.usda.gov/home/search?query=acacia%20confusa | https://pubchem.ncbi.nlm.nih.gov/#query=tryptamine</t>
        </is>
      </c>
      <c r="N443" s="181" t="inlineStr">
        <is>
          <t>inferred_plus_trusted_gov; trusted_gov_added</t>
        </is>
      </c>
      <c r="O443" s="181" t="inlineStr">
        <is>
          <t>PubChem compound page (NIH); USDA Plants database; scientific name; PubChem compound page (NIH); USDA Plants database</t>
        </is>
      </c>
      <c r="P443" s="181" t="str"/>
      <c r="Q443" s="181" t="inlineStr">
        <is>
          <t>acacia-confusa; phalaris-arundinacea</t>
        </is>
      </c>
      <c r="R443" s="181" t="n">
        <v>2</v>
      </c>
      <c r="S443" s="181" t="inlineStr">
        <is>
          <t>Yes</t>
        </is>
      </c>
      <c r="T443" s="181" t="inlineStr">
        <is>
          <t>Integrated from cleaned high-signal dataset</t>
        </is>
      </c>
    </row>
    <row r="444">
      <c r="A444" s="181" t="inlineStr">
        <is>
          <t>turmerone</t>
        </is>
      </c>
      <c r="B444" s="181" t="inlineStr">
        <is>
          <t>turmerone</t>
        </is>
      </c>
      <c r="C444" s="181" t="str"/>
      <c r="D444" s="181" t="inlineStr">
        <is>
          <t>Curcumin, turmerone, essential oils</t>
        </is>
      </c>
      <c r="E444" s="181" t="inlineStr">
        <is>
          <t>insufficient evidence</t>
        </is>
      </c>
      <c r="F444" s="181" t="inlineStr">
        <is>
          <t>multi-target signaling modulation</t>
        </is>
      </c>
      <c r="G444" s="181" t="inlineStr">
        <is>
          <t>general or unknown targets</t>
        </is>
      </c>
      <c r="H444" s="181" t="inlineStr">
        <is>
          <t>Oral; hepatic and anti-neoplastic</t>
        </is>
      </c>
      <c r="I444" s="181" t="inlineStr">
        <is>
          <t>low</t>
        </is>
      </c>
      <c r="J444" s="181" t="inlineStr">
        <is>
          <t>no well-documented interactions</t>
        </is>
      </c>
      <c r="K444" s="181" t="str"/>
      <c r="L444" s="181" t="inlineStr">
        <is>
          <t>compound_level</t>
        </is>
      </c>
      <c r="M444" s="181" t="inlineStr">
        <is>
          <t>https://plants.sc.egov.usda.gov/home/search?query=Curcuma%20longa | https://pubchem.ncbi.nlm.nih.gov/#query=turmerone</t>
        </is>
      </c>
      <c r="N444" s="181" t="inlineStr">
        <is>
          <t>inferred_plus_trusted_gov</t>
        </is>
      </c>
      <c r="O444" s="181" t="inlineStr">
        <is>
          <t>scientific name; PubChem compound page (NIH); USDA Plants database</t>
        </is>
      </c>
      <c r="P444" s="181" t="str"/>
      <c r="Q444" s="181" t="inlineStr">
        <is>
          <t>curcuma-longa</t>
        </is>
      </c>
      <c r="R444" s="181" t="n">
        <v>1</v>
      </c>
      <c r="S444" s="181" t="inlineStr">
        <is>
          <t>Yes</t>
        </is>
      </c>
      <c r="T444" s="181" t="inlineStr">
        <is>
          <t>Integrated from cleaned high-signal dataset</t>
        </is>
      </c>
    </row>
    <row r="445">
      <c r="A445" s="181" t="inlineStr">
        <is>
          <t>tussilagone</t>
        </is>
      </c>
      <c r="B445" s="181" t="inlineStr">
        <is>
          <t>tussilagone</t>
        </is>
      </c>
      <c r="C445" s="181" t="str"/>
      <c r="D445" s="181" t="inlineStr">
        <is>
          <t>pyrrolizidine alkaloids</t>
        </is>
      </c>
      <c r="E445" s="181" t="inlineStr">
        <is>
          <t>insufficient evidence</t>
        </is>
      </c>
      <c r="F445" s="181" t="inlineStr">
        <is>
          <t>multi-target signaling modulation</t>
        </is>
      </c>
      <c r="G445" s="181" t="inlineStr">
        <is>
          <t>general or unknown targets</t>
        </is>
      </c>
      <c r="H445" s="181" t="inlineStr">
        <is>
          <t>Absorption and bioavailability vary; some compounds metabolized via cytochrome P450 enzymes.</t>
        </is>
      </c>
      <c r="I445" s="181" t="inlineStr">
        <is>
          <t>low</t>
        </is>
      </c>
      <c r="J445" s="181" t="inlineStr">
        <is>
          <t>no well-documented interactions</t>
        </is>
      </c>
      <c r="K445" s="181" t="str"/>
      <c r="L445" s="181" t="inlineStr">
        <is>
          <t>compound_level</t>
        </is>
      </c>
      <c r="M445" s="181" t="inlineStr">
        <is>
          <t>https://plants.sc.egov.usda.gov/home/search?query=Tussilago%20farfara | https://pubchem.ncbi.nlm.nih.gov/#query=tussilagone</t>
        </is>
      </c>
      <c r="N445" s="181" t="inlineStr">
        <is>
          <t>inferred_plus_trusted_gov</t>
        </is>
      </c>
      <c r="O445" s="181" t="inlineStr">
        <is>
          <t>scientific name; PubChem compound page (NIH); USDA Plants database</t>
        </is>
      </c>
      <c r="P445" s="181" t="str"/>
      <c r="Q445" s="181" t="inlineStr">
        <is>
          <t>tussilago-farfara</t>
        </is>
      </c>
      <c r="R445" s="181" t="n">
        <v>1</v>
      </c>
      <c r="S445" s="181" t="inlineStr">
        <is>
          <t>Yes</t>
        </is>
      </c>
      <c r="T445" s="181" t="inlineStr">
        <is>
          <t>Integrated from cleaned high-signal dataset</t>
        </is>
      </c>
    </row>
    <row r="446">
      <c r="A446" s="181" t="inlineStr">
        <is>
          <t>tylophorine</t>
        </is>
      </c>
      <c r="B446" s="181" t="inlineStr">
        <is>
          <t>tylophorine</t>
        </is>
      </c>
      <c r="C446" s="181" t="str"/>
      <c r="D446" s="181" t="inlineStr">
        <is>
          <t>Tylophorine, alkaloids</t>
        </is>
      </c>
      <c r="E446" s="181" t="inlineStr">
        <is>
          <t>insufficient evidence</t>
        </is>
      </c>
      <c r="F446" s="181" t="inlineStr">
        <is>
          <t>COX/NF-kB inhibition</t>
        </is>
      </c>
      <c r="G446" s="181" t="inlineStr">
        <is>
          <t>inflammatory_pathway_modulation</t>
        </is>
      </c>
      <c r="H446" s="181" t="inlineStr">
        <is>
          <t>Oral; inhibits inflammatory cytokines</t>
        </is>
      </c>
      <c r="I446" s="181" t="inlineStr">
        <is>
          <t>Moderate in high doses. Emetic effects limit overuse.</t>
        </is>
      </c>
      <c r="J446" s="181" t="inlineStr">
        <is>
          <t>may interfere with immune therapies, steroids, or antihistamines.</t>
        </is>
      </c>
      <c r="K446" s="181" t="str"/>
      <c r="L446" s="181" t="inlineStr">
        <is>
          <t>compound_level</t>
        </is>
      </c>
      <c r="M446" s="181" t="inlineStr">
        <is>
          <t>Ayurvedic Pharmacopoeia of India | Journal of Ethnopharmacology, 2004 | https://www.ncbi.nlm.nih.gov/pmc/articles/PMC3887322/</t>
        </is>
      </c>
      <c r="N446" s="181" t="inlineStr">
        <is>
          <t>citation_or_url_present</t>
        </is>
      </c>
      <c r="O446" s="181" t="str"/>
      <c r="P446" s="181" t="str"/>
      <c r="Q446" s="181" t="inlineStr">
        <is>
          <t>tylophora-indica</t>
        </is>
      </c>
      <c r="R446" s="181" t="n">
        <v>1</v>
      </c>
      <c r="S446" s="181" t="inlineStr">
        <is>
          <t>Yes</t>
        </is>
      </c>
      <c r="T446" s="181" t="inlineStr">
        <is>
          <t>Integrated from cleaned high-signal dataset</t>
        </is>
      </c>
    </row>
    <row r="447">
      <c r="A447" s="181" t="inlineStr">
        <is>
          <t>umbelliferone</t>
        </is>
      </c>
      <c r="B447" s="181" t="inlineStr">
        <is>
          <t>umbelliferone</t>
        </is>
      </c>
      <c r="C447" s="181" t="str"/>
      <c r="D447" s="181" t="inlineStr">
        <is>
          <t>other</t>
        </is>
      </c>
      <c r="E447" s="181" t="inlineStr">
        <is>
          <t>insufficient evidence</t>
        </is>
      </c>
      <c r="F447" s="181" t="inlineStr">
        <is>
          <t>multi-target signaling modulation</t>
        </is>
      </c>
      <c r="G447" s="181" t="inlineStr">
        <is>
          <t>general or unknown targets</t>
        </is>
      </c>
      <c r="H447" s="181" t="inlineStr">
        <is>
          <t>moderate absorption; hepatic metabolism</t>
        </is>
      </c>
      <c r="I447" s="181" t="inlineStr">
        <is>
          <t>low</t>
        </is>
      </c>
      <c r="J447" s="181" t="inlineStr">
        <is>
          <t>no well-documented interactions</t>
        </is>
      </c>
      <c r="K447" s="181" t="str"/>
      <c r="L447" s="181" t="inlineStr">
        <is>
          <t>compound_level</t>
        </is>
      </c>
      <c r="M447" s="181" t="inlineStr">
        <is>
          <t>https://plants.sc.egov.usda.gov/home/search?query=casimiroa%20edulis | https://pubchem.ncbi.nlm.nih.gov/#query=umbelliferone</t>
        </is>
      </c>
      <c r="N447" s="181" t="inlineStr">
        <is>
          <t>trusted_gov_added</t>
        </is>
      </c>
      <c r="O447" s="181" t="inlineStr">
        <is>
          <t>PubChem compound page (NIH); USDA Plants database</t>
        </is>
      </c>
      <c r="P447" s="181" t="str"/>
      <c r="Q447" s="181" t="inlineStr">
        <is>
          <t>casimiroa-edulis</t>
        </is>
      </c>
      <c r="R447" s="181" t="n">
        <v>1</v>
      </c>
      <c r="S447" s="181" t="inlineStr">
        <is>
          <t>Yes</t>
        </is>
      </c>
      <c r="T447" s="181" t="inlineStr">
        <is>
          <t>Integrated from cleaned high-signal dataset</t>
        </is>
      </c>
    </row>
    <row r="448">
      <c r="A448" s="181" t="inlineStr">
        <is>
          <t>umckalin</t>
        </is>
      </c>
      <c r="B448" s="181" t="inlineStr">
        <is>
          <t>umckalin</t>
        </is>
      </c>
      <c r="C448" s="181" t="str"/>
      <c r="D448" s="181" t="inlineStr">
        <is>
          <t>Umckalin, coumarins, polyphenols</t>
        </is>
      </c>
      <c r="E448" s="181" t="inlineStr">
        <is>
          <t>insufficient evidence</t>
        </is>
      </c>
      <c r="F448" s="181" t="inlineStr">
        <is>
          <t>multi-target signaling modulation</t>
        </is>
      </c>
      <c r="G448" s="181" t="inlineStr">
        <is>
          <t>general or unknown targets</t>
        </is>
      </c>
      <c r="H448" s="181" t="inlineStr">
        <is>
          <t>Oral; expectorant and immune modulator</t>
        </is>
      </c>
      <c r="I448" s="181" t="inlineStr">
        <is>
          <t>low</t>
        </is>
      </c>
      <c r="J448" s="181" t="inlineStr">
        <is>
          <t>no well-documented interactions</t>
        </is>
      </c>
      <c r="K448" s="181" t="str"/>
      <c r="L448" s="181" t="inlineStr">
        <is>
          <t>compound_level</t>
        </is>
      </c>
      <c r="M448" s="181" t="inlineStr">
        <is>
          <t>https://plants.sc.egov.usda.gov/home/search?query=Pelargonium%20sidoides | https://pubchem.ncbi.nlm.nih.gov/#query=umckalin</t>
        </is>
      </c>
      <c r="N448" s="181" t="inlineStr">
        <is>
          <t>inferred_plus_trusted_gov</t>
        </is>
      </c>
      <c r="O448" s="181" t="inlineStr">
        <is>
          <t>scientific name; PubChem compound page (NIH); USDA Plants database</t>
        </is>
      </c>
      <c r="P448" s="181" t="str"/>
      <c r="Q448" s="181" t="inlineStr">
        <is>
          <t>pelargonium-sidoides</t>
        </is>
      </c>
      <c r="R448" s="181" t="n">
        <v>1</v>
      </c>
      <c r="S448" s="181" t="inlineStr">
        <is>
          <t>Yes</t>
        </is>
      </c>
      <c r="T448" s="181" t="inlineStr">
        <is>
          <t>Integrated from cleaned high-signal dataset</t>
        </is>
      </c>
    </row>
    <row r="449">
      <c r="A449" s="181" t="inlineStr">
        <is>
          <t>unresolved herb level entry</t>
        </is>
      </c>
      <c r="B449" s="181" t="inlineStr">
        <is>
          <t>UNRESOLVED_HERB_LEVEL_ENTRY</t>
        </is>
      </c>
      <c r="C449" s="181" t="str"/>
      <c r="D449" s="181" t="inlineStr">
        <is>
          <t>alkaloids; flavonoids; saponins</t>
        </is>
      </c>
      <c r="E449" s="181" t="inlineStr">
        <is>
          <t>Likely involves antioxidant, anti-inflammatory, or neuromodulatory pathways; specific mechanisms not well characterized</t>
        </is>
      </c>
      <c r="F449" s="181" t="inlineStr">
        <is>
          <t>COX/NF-kB inhibition; multi-target signaling modulation</t>
        </is>
      </c>
      <c r="G449" s="181" t="inlineStr">
        <is>
          <t>general or unknown targets; inflammatory_pathway_modulation</t>
        </is>
      </c>
      <c r="H449" s="181" t="inlineStr">
        <is>
          <t>Absorption and bioavailability vary; some compounds metabolized via cytochrome P450 enzymes.</t>
        </is>
      </c>
      <c r="I449" s="181" t="inlineStr">
        <is>
          <t>low</t>
        </is>
      </c>
      <c r="J449" s="181" t="inlineStr">
        <is>
          <t>no well-documented interactions</t>
        </is>
      </c>
      <c r="K449" s="181" t="str"/>
      <c r="L449" s="181" t="inlineStr">
        <is>
          <t>unresolved_herb_level</t>
        </is>
      </c>
      <c r="M449" s="181" t="inlineStr">
        <is>
          <t>https://plants.sc.egov.usda.gov/home/search?query=Aerva%20lanata | https://plants.sc.egov.usda.gov/home/search?query=Albizia%20lebbeck | https://plants.sc.egov.usda.gov/home/search?query=Calliandra%20anomala | https://plants.sc.egov.usda.gov/home/search?query=Calliandra%20haematocephala | https://plants.sc.egov.usda.gov/home/search?query=Calliandra%20portoricensis | https://plants.sc.egov.usda.gov/home/search?query=Ceanothus%20integerrimus | https://plants.sc.egov.usda.gov/home/search?query=Cordyline%20fruticosa | https://plants.sc.egov.usda.gov/home/search?query=Dodonaea%20viscosa | https://plants.sc.egov.usda.gov/home/search?query=Erythrina%20vespertilio | https://plants.sc.egov.usda.gov/home/search?query=Helinus%20integrifolius | https://plants.sc.egov.usda.gov/home/search?query=Lobelia%20tupa | https://plants.sc.egov.usda.gov/home/search?query=Rhizophora%20mangle | https://plants.sc.egov.usda.gov/home/search?query=Rhizophora%20stylosa | https://plants.sc.egov.usda.gov/home/search?query=Tetrapleura%20tetraptera | https://plants.sc.egov.usda.gov/home/search?query=blue%20vervain | https://plants.sc.egov.usda.gov/home/search?query=bobinsana | https://plants.sc.egov.usda.gov/home/search?query=boldo | https://plants.sc.egov.usda.gov/home/search?query=bolivian%20torch | https://plants.sc.egov.usda.gov/home/search?query=brunfelsia%20grandiflora | https://plants.sc.egov.usda.gov/home/search?query=byrsonima%20crassifolia | https://plants.sc.egov.usda.gov/home/search?query=caapi | https://plants.sc.egov.usda.gov/home/search?query=caesalpinia%20sepiaria | https://plants.sc.egov.usda.gov/home/search?query=desmodium%20gangeticum</t>
        </is>
      </c>
      <c r="N449" s="181" t="inlineStr">
        <is>
          <t>inferred_plus_trusted_gov; trusted_gov_added</t>
        </is>
      </c>
      <c r="O449" s="181" t="inlineStr">
        <is>
          <t>USDA Plants database; scientific name; USDA Plants database</t>
        </is>
      </c>
      <c r="P449" s="181" t="str"/>
      <c r="Q449" s="181" t="inlineStr">
        <is>
          <t>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t>
        </is>
      </c>
      <c r="R449" s="181" t="n">
        <v>23</v>
      </c>
      <c r="S449" s="181" t="inlineStr">
        <is>
          <t>Yes</t>
        </is>
      </c>
      <c r="T449" s="181" t="inlineStr">
        <is>
          <t>Integrated from cleaned high-signal dataset</t>
        </is>
      </c>
    </row>
    <row r="450">
      <c r="A450" s="181" t="inlineStr">
        <is>
          <t>uridine monophosphate</t>
        </is>
      </c>
      <c r="B450" s="181" t="inlineStr">
        <is>
          <t>uridine monophosphate (UMP)</t>
        </is>
      </c>
      <c r="C450" s="181" t="str"/>
      <c r="D450" s="181" t="inlineStr">
        <is>
          <t>pyrimidine nucleotide</t>
        </is>
      </c>
      <c r="E450" s="181" t="inlineStr">
        <is>
          <t>Uridine-source nucleotide supporting pyrimidine salvage and membrane phosphatide synthesis; cognition-related framing usually centers on phospholipid synapse-support biology rather than direct neurotransmitter receptor activity.</t>
        </is>
      </c>
      <c r="F450" s="181" t="str"/>
      <c r="G450" s="181" t="inlineStr">
        <is>
          <t>Pyrimidine salvage pathway; membrane phosphatide synthesis; uridine/cytidine nucleotide metabolism</t>
        </is>
      </c>
      <c r="H450" s="181" t="inlineStr">
        <is>
          <t>Oral UMP contributes to systemic uridine pools after intestinal and hepatic handling; precise supplement PK claims vary by formulation and were kept conservative here.</t>
        </is>
      </c>
      <c r="I450" s="181" t="inlineStr">
        <is>
          <t>Generally low apparent toxicity at common supplement exposures; high-quality safety data are thinner than for vitamins or minerals.</t>
        </is>
      </c>
      <c r="J450" s="181" t="inlineStr">
        <is>
          <t>No strong, well-established clinical drug interactions retained for this pass.</t>
        </is>
      </c>
      <c r="K450" s="181" t="inlineStr">
        <is>
          <t>Moderate</t>
        </is>
      </c>
      <c r="L450" s="181" t="inlineStr">
        <is>
          <t>mixed</t>
        </is>
      </c>
      <c r="M450" s="181" t="inlineStr">
        <is>
          <t>https://pubchem.ncbi.nlm.nih.gov/compound/Uridine-monophosphate | https://pubmed.ncbi.nlm.nih.gov/10996449/ | https://pubmed.ncbi.nlm.nih.gov/15123336/</t>
        </is>
      </c>
      <c r="N450" s="181" t="str"/>
      <c r="O450" s="181" t="str"/>
      <c r="P450" s="181" t="inlineStr">
        <is>
          <t>Batch12_cholinergic_cognition_2026-04-07</t>
        </is>
      </c>
      <c r="Q450" s="181" t="str"/>
      <c r="R450" s="181" t="n">
        <v>0</v>
      </c>
      <c r="S450" s="181" t="inlineStr">
        <is>
          <t>No</t>
        </is>
      </c>
      <c r="T450" s="181" t="inlineStr">
        <is>
          <t>Integrated from compound monograph workbook</t>
        </is>
      </c>
    </row>
    <row r="451">
      <c r="A451" s="181" t="inlineStr">
        <is>
          <t>ursolic acid</t>
        </is>
      </c>
      <c r="B451" s="181" t="inlineStr">
        <is>
          <t>ursolic acid</t>
        </is>
      </c>
      <c r="C451" s="181" t="str"/>
      <c r="D451" s="181" t="inlineStr">
        <is>
          <t>organic acid</t>
        </is>
      </c>
      <c r="E451" s="181" t="inlineStr">
        <is>
          <t>insufficient evidence</t>
        </is>
      </c>
      <c r="F451" s="181" t="inlineStr">
        <is>
          <t>COX/NF-kB inhibition; multi-target signaling modulation</t>
        </is>
      </c>
      <c r="G451" s="181" t="inlineStr">
        <is>
          <t>general or unknown targets; inflammatory_pathway_modulation</t>
        </is>
      </c>
      <c r="H451" s="181" t="inlineStr">
        <is>
          <t>oral absorption; hepatic metabolism; systemic distribution</t>
        </is>
      </c>
      <c r="I451" s="181" t="inlineStr">
        <is>
          <t>low</t>
        </is>
      </c>
      <c r="J451" s="181" t="inlineStr">
        <is>
          <t>no well-documented interactions</t>
        </is>
      </c>
      <c r="K451" s="181" t="str"/>
      <c r="L451" s="181" t="inlineStr">
        <is>
          <t>compound_level</t>
        </is>
      </c>
      <c r="M451" s="181" t="inlineStr">
        <is>
          <t>https://plants.sc.egov.usda.gov/home/search?query=Ocimum%20sanctum | https://plants.sc.egov.usda.gov/home/search?query=Ocimum%20tenuiflorum | https://plants.sc.egov.usda.gov/home/search?query=holy%20basil | https://pubchem.ncbi.nlm.nih.gov/#query=ursolic%20acid</t>
        </is>
      </c>
      <c r="N451" s="181" t="inlineStr">
        <is>
          <t>inferred_plus_trusted_gov; trusted_gov_added</t>
        </is>
      </c>
      <c r="O451" s="181" t="inlineStr">
        <is>
          <t>PubChem compound page (NIH); USDA Plants database; scientific name; PubChem compound page (NIH); USDA Plants database</t>
        </is>
      </c>
      <c r="P451" s="181" t="str"/>
      <c r="Q451" s="181" t="inlineStr">
        <is>
          <t>ocimum-sanctum; tulsi</t>
        </is>
      </c>
      <c r="R451" s="181" t="n">
        <v>2</v>
      </c>
      <c r="S451" s="181" t="inlineStr">
        <is>
          <t>Yes</t>
        </is>
      </c>
      <c r="T451" s="181" t="inlineStr">
        <is>
          <t>Integrated from cleaned high-signal dataset</t>
        </is>
      </c>
    </row>
    <row r="452">
      <c r="A452" s="181" t="inlineStr">
        <is>
          <t>uscharin</t>
        </is>
      </c>
      <c r="B452" s="181" t="inlineStr">
        <is>
          <t>uscharin</t>
        </is>
      </c>
      <c r="C452" s="181" t="str"/>
      <c r="D452" s="181" t="inlineStr">
        <is>
          <t>cardiac glycosides</t>
        </is>
      </c>
      <c r="E452" s="181" t="inlineStr">
        <is>
          <t>insufficient evidence</t>
        </is>
      </c>
      <c r="F452" s="181" t="inlineStr">
        <is>
          <t>multi-target signaling modulation</t>
        </is>
      </c>
      <c r="G452" s="181" t="inlineStr">
        <is>
          <t>general or unknown targets</t>
        </is>
      </c>
      <c r="H452" s="181" t="inlineStr">
        <is>
          <t>Absorption and bioavailability vary; some compounds metabolized via cytochrome P450 enzymes.</t>
        </is>
      </c>
      <c r="I452" s="181" t="inlineStr">
        <is>
          <t>low</t>
        </is>
      </c>
      <c r="J452" s="181" t="inlineStr">
        <is>
          <t>no well-documented interactions</t>
        </is>
      </c>
      <c r="K452" s="181" t="str"/>
      <c r="L452" s="181" t="inlineStr">
        <is>
          <t>compound_level</t>
        </is>
      </c>
      <c r="M452" s="181" t="inlineStr">
        <is>
          <t>https://plants.sc.egov.usda.gov/home/search?query=Calotropis%20procera | https://pubchem.ncbi.nlm.nih.gov/#query=uscharin</t>
        </is>
      </c>
      <c r="N452" s="181" t="inlineStr">
        <is>
          <t>inferred_plus_trusted_gov</t>
        </is>
      </c>
      <c r="O452" s="181" t="inlineStr">
        <is>
          <t>scientific name; PubChem compound page (NIH); USDA Plants database</t>
        </is>
      </c>
      <c r="P452" s="181" t="str"/>
      <c r="Q452" s="181" t="inlineStr">
        <is>
          <t>calotropis-procera</t>
        </is>
      </c>
      <c r="R452" s="181" t="n">
        <v>1</v>
      </c>
      <c r="S452" s="181" t="inlineStr">
        <is>
          <t>Yes</t>
        </is>
      </c>
      <c r="T452" s="181" t="inlineStr">
        <is>
          <t>Integrated from cleaned high-signal dataset</t>
        </is>
      </c>
    </row>
    <row r="453">
      <c r="A453" s="181" t="inlineStr">
        <is>
          <t>usnic acid</t>
        </is>
      </c>
      <c r="B453" s="181" t="inlineStr">
        <is>
          <t>usnic acid</t>
        </is>
      </c>
      <c r="C453" s="181" t="str"/>
      <c r="D453" s="181" t="inlineStr">
        <is>
          <t>organic acid</t>
        </is>
      </c>
      <c r="E453" s="181" t="inlineStr">
        <is>
          <t>insufficient evidence</t>
        </is>
      </c>
      <c r="F453" s="181" t="inlineStr">
        <is>
          <t>multi-target signaling modulation</t>
        </is>
      </c>
      <c r="G453" s="181" t="inlineStr">
        <is>
          <t>general or unknown targets</t>
        </is>
      </c>
      <c r="H453" s="181" t="inlineStr">
        <is>
          <t>Absorption and bioavailability vary; some compounds metabolized via cytochrome P450 enzymes.</t>
        </is>
      </c>
      <c r="I453" s="181" t="inlineStr">
        <is>
          <t>low</t>
        </is>
      </c>
      <c r="J453" s="181" t="inlineStr">
        <is>
          <t>no well-documented interactions</t>
        </is>
      </c>
      <c r="K453" s="181" t="str"/>
      <c r="L453" s="181" t="inlineStr">
        <is>
          <t>compound_level</t>
        </is>
      </c>
      <c r="M453" s="181" t="inlineStr">
        <is>
          <t>https://plants.sc.egov.usda.gov/home/search?query=Usnea%20barbata | https://pubchem.ncbi.nlm.nih.gov/#query=usnic%20acid</t>
        </is>
      </c>
      <c r="N453" s="181" t="inlineStr">
        <is>
          <t>inferred_plus_trusted_gov</t>
        </is>
      </c>
      <c r="O453" s="181" t="inlineStr">
        <is>
          <t>scientific name; PubChem compound page (NIH); USDA Plants database</t>
        </is>
      </c>
      <c r="P453" s="181" t="str"/>
      <c r="Q453" s="181" t="inlineStr">
        <is>
          <t>usnea-barbata</t>
        </is>
      </c>
      <c r="R453" s="181" t="n">
        <v>1</v>
      </c>
      <c r="S453" s="181" t="inlineStr">
        <is>
          <t>Yes</t>
        </is>
      </c>
      <c r="T453" s="181" t="inlineStr">
        <is>
          <t>Integrated from cleaned high-signal dataset</t>
        </is>
      </c>
    </row>
    <row r="454">
      <c r="A454" s="181" t="inlineStr">
        <is>
          <t>valeranone</t>
        </is>
      </c>
      <c r="B454" s="181" t="inlineStr">
        <is>
          <t>valeranone</t>
        </is>
      </c>
      <c r="C454" s="181" t="str"/>
      <c r="D454" s="181" t="inlineStr">
        <is>
          <t>sesquiterpenes</t>
        </is>
      </c>
      <c r="E454" s="181" t="inlineStr">
        <is>
          <t>insufficient evidence</t>
        </is>
      </c>
      <c r="F454" s="181" t="inlineStr">
        <is>
          <t>multi-target signaling modulation</t>
        </is>
      </c>
      <c r="G454" s="181" t="inlineStr">
        <is>
          <t>general or unknown targets</t>
        </is>
      </c>
      <c r="H454" s="181" t="inlineStr">
        <is>
          <t>Absorption and bioavailability vary; some compounds metabolized via cytochrome P450 enzymes.</t>
        </is>
      </c>
      <c r="I454" s="181" t="inlineStr">
        <is>
          <t>low</t>
        </is>
      </c>
      <c r="J454" s="181" t="inlineStr">
        <is>
          <t>no well-documented interactions</t>
        </is>
      </c>
      <c r="K454" s="181" t="str"/>
      <c r="L454" s="181" t="inlineStr">
        <is>
          <t>compound_level</t>
        </is>
      </c>
      <c r="M454" s="181" t="inlineStr">
        <is>
          <t>https://plants.sc.egov.usda.gov/home/search?query=Nardostachys%20jatamansi | https://pubchem.ncbi.nlm.nih.gov/#query=valeranone</t>
        </is>
      </c>
      <c r="N454" s="181" t="inlineStr">
        <is>
          <t>inferred_plus_trusted_gov</t>
        </is>
      </c>
      <c r="O454" s="181" t="inlineStr">
        <is>
          <t>scientific name; PubChem compound page (NIH); USDA Plants database</t>
        </is>
      </c>
      <c r="P454" s="181" t="str"/>
      <c r="Q454" s="181" t="inlineStr">
        <is>
          <t>nardostachys-jatamansi</t>
        </is>
      </c>
      <c r="R454" s="181" t="n">
        <v>1</v>
      </c>
      <c r="S454" s="181" t="inlineStr">
        <is>
          <t>Yes</t>
        </is>
      </c>
      <c r="T454" s="181" t="inlineStr">
        <is>
          <t>Integrated from cleaned high-signal dataset</t>
        </is>
      </c>
    </row>
    <row r="455">
      <c r="A455" s="181" t="inlineStr">
        <is>
          <t>valerenic acid</t>
        </is>
      </c>
      <c r="B455" s="181" t="inlineStr">
        <is>
          <t>valerenic acid</t>
        </is>
      </c>
      <c r="C455" s="181" t="str"/>
      <c r="D455" s="181" t="inlineStr">
        <is>
          <t>organic acid</t>
        </is>
      </c>
      <c r="E455" s="181" t="inlineStr">
        <is>
          <t>Valerenic acid binds beta-subunits of GABA-A receptors, enhancing chloride influx and inhibitory signaling.</t>
        </is>
      </c>
      <c r="F455" s="181" t="inlineStr">
        <is>
          <t>GABAergic modulation; multi-target signaling modulation</t>
        </is>
      </c>
      <c r="G455" s="181" t="inlineStr">
        <is>
          <t>gabaergic_modulation; general or unknown targets</t>
        </is>
      </c>
      <c r="H455" s="181" t="inlineStr">
        <is>
          <t>moderate absorption; hepatic metabolism</t>
        </is>
      </c>
      <c r="I455" s="181" t="inlineStr">
        <is>
          <t>low</t>
        </is>
      </c>
      <c r="J455" s="181" t="inlineStr">
        <is>
          <t>no well-documented interactions</t>
        </is>
      </c>
      <c r="K455" s="181" t="str"/>
      <c r="L455" s="181" t="inlineStr">
        <is>
          <t>compound_level</t>
        </is>
      </c>
      <c r="M455" s="181" t="inlineStr">
        <is>
          <t>https://plants.sc.egov.usda.gov/home/search?query=Valeriana%20officinalis | https://plants.sc.egov.usda.gov/home/search?query=valerian | https://pubchem.ncbi.nlm.nih.gov/#query=valerenic%20acid</t>
        </is>
      </c>
      <c r="N455" s="181" t="inlineStr">
        <is>
          <t>inferred_plus_trusted_gov; trusted_gov_added</t>
        </is>
      </c>
      <c r="O455" s="181" t="inlineStr">
        <is>
          <t>PubChem compound page (NIH); USDA Plants database; scientific name; PubChem compound page (NIH); USDA Plants database</t>
        </is>
      </c>
      <c r="P455" s="181" t="str"/>
      <c r="Q455" s="181" t="inlineStr">
        <is>
          <t>valeriana-officinalis</t>
        </is>
      </c>
      <c r="R455" s="181" t="n">
        <v>1</v>
      </c>
      <c r="S455" s="181" t="inlineStr">
        <is>
          <t>Yes</t>
        </is>
      </c>
      <c r="T455" s="181" t="inlineStr">
        <is>
          <t>Integrated from cleaned high-signal dataset</t>
        </is>
      </c>
    </row>
    <row r="456">
      <c r="A456" s="181" t="inlineStr">
        <is>
          <t>valerenol</t>
        </is>
      </c>
      <c r="B456" s="181" t="inlineStr">
        <is>
          <t>valerenol</t>
        </is>
      </c>
      <c r="C456" s="181" t="str"/>
      <c r="D456" s="181" t="inlineStr">
        <is>
          <t>other</t>
        </is>
      </c>
      <c r="E456" s="181" t="inlineStr">
        <is>
          <t>Valerenic acid binds beta-subunits of GABA-A receptors, enhancing chloride influx and inhibitory signaling.</t>
        </is>
      </c>
      <c r="F456" s="181" t="inlineStr">
        <is>
          <t>GABAergic modulation</t>
        </is>
      </c>
      <c r="G456" s="181" t="inlineStr">
        <is>
          <t>gabaergic_modulation</t>
        </is>
      </c>
      <c r="H456" s="181" t="inlineStr">
        <is>
          <t>moderate absorption; hepatic metabolism</t>
        </is>
      </c>
      <c r="I456" s="181" t="inlineStr">
        <is>
          <t>low</t>
        </is>
      </c>
      <c r="J456" s="181" t="inlineStr">
        <is>
          <t>no well-documented interactions</t>
        </is>
      </c>
      <c r="K456" s="181" t="str"/>
      <c r="L456" s="181" t="inlineStr">
        <is>
          <t>compound_level</t>
        </is>
      </c>
      <c r="M456" s="181" t="inlineStr">
        <is>
          <t>https://plants.sc.egov.usda.gov/home/search?query=valerian | https://pubchem.ncbi.nlm.nih.gov/#query=valerenol</t>
        </is>
      </c>
      <c r="N456" s="181" t="inlineStr">
        <is>
          <t>trusted_gov_added</t>
        </is>
      </c>
      <c r="O456" s="181" t="inlineStr">
        <is>
          <t>PubChem compound page (NIH); USDA Plants database</t>
        </is>
      </c>
      <c r="P456" s="181" t="str"/>
      <c r="Q456" s="181" t="inlineStr">
        <is>
          <t>valeriana-officinalis</t>
        </is>
      </c>
      <c r="R456" s="181" t="n">
        <v>1</v>
      </c>
      <c r="S456" s="181" t="inlineStr">
        <is>
          <t>Yes</t>
        </is>
      </c>
      <c r="T456" s="181" t="inlineStr">
        <is>
          <t>Integrated from cleaned high-signal dataset</t>
        </is>
      </c>
    </row>
    <row r="457">
      <c r="A457" s="181" t="inlineStr">
        <is>
          <t>valerian valerenic acid</t>
        </is>
      </c>
      <c r="B457" s="181" t="inlineStr">
        <is>
          <t>valerian (valerenic acid)</t>
        </is>
      </c>
      <c r="C457" s="181" t="str"/>
      <c r="D457" s="181" t="inlineStr">
        <is>
          <t>terpenoid</t>
        </is>
      </c>
      <c r="E457" s="181" t="inlineStr">
        <is>
          <t>GABA-A receptor modulation</t>
        </is>
      </c>
      <c r="F457" s="181" t="str"/>
      <c r="G457" s="181" t="inlineStr">
        <is>
          <t>GABA-A modulation</t>
        </is>
      </c>
      <c r="H457" s="181" t="str"/>
      <c r="I457" s="181" t="str"/>
      <c r="J457" s="181" t="inlineStr">
        <is>
          <t>Sedatives (additive effects)</t>
        </is>
      </c>
      <c r="K457" s="181" t="str"/>
      <c r="L457" s="181" t="inlineStr">
        <is>
          <t>Sprint6</t>
        </is>
      </c>
      <c r="M457" s="181" t="str"/>
      <c r="N457" s="181" t="str"/>
      <c r="O457" s="181" t="str"/>
      <c r="P457" s="181" t="inlineStr">
        <is>
          <t>precision_monographs_sprint6.xlsx</t>
        </is>
      </c>
      <c r="Q457" s="181" t="str"/>
      <c r="R457" s="181" t="n">
        <v>0</v>
      </c>
      <c r="S457" s="181" t="inlineStr">
        <is>
          <t>No</t>
        </is>
      </c>
      <c r="T457" s="181" t="inlineStr">
        <is>
          <t>Integrated from compound monograph workbook</t>
        </is>
      </c>
    </row>
    <row r="458">
      <c r="A458" s="181" t="inlineStr">
        <is>
          <t>vanillin</t>
        </is>
      </c>
      <c r="B458" s="181" t="inlineStr">
        <is>
          <t>vanillin</t>
        </is>
      </c>
      <c r="C458" s="181" t="str"/>
      <c r="D458" s="181" t="inlineStr">
        <is>
          <t>other</t>
        </is>
      </c>
      <c r="E458" s="181" t="inlineStr">
        <is>
          <t>insufficient evidence</t>
        </is>
      </c>
      <c r="F458" s="181" t="inlineStr">
        <is>
          <t>multi-target signaling modulation</t>
        </is>
      </c>
      <c r="G458" s="181" t="inlineStr">
        <is>
          <t>general or unknown targets</t>
        </is>
      </c>
      <c r="H458" s="181" t="inlineStr">
        <is>
          <t>Absorption and bioavailability vary; some compounds metabolized via cytochrome P450 enzymes.</t>
        </is>
      </c>
      <c r="I458" s="181" t="inlineStr">
        <is>
          <t>low</t>
        </is>
      </c>
      <c r="J458" s="181" t="inlineStr">
        <is>
          <t>no well-documented interactions</t>
        </is>
      </c>
      <c r="K458" s="181" t="str"/>
      <c r="L458" s="181" t="inlineStr">
        <is>
          <t>compound_level</t>
        </is>
      </c>
      <c r="M458" s="181" t="inlineStr">
        <is>
          <t>https://plants.sc.egov.usda.gov/home/search?query=Myroxylon%20balsamum | https://pubchem.ncbi.nlm.nih.gov/#query=vanillin</t>
        </is>
      </c>
      <c r="N458" s="181" t="inlineStr">
        <is>
          <t>inferred_plus_trusted_gov</t>
        </is>
      </c>
      <c r="O458" s="181" t="inlineStr">
        <is>
          <t>scientific name; PubChem compound page (NIH); USDA Plants database</t>
        </is>
      </c>
      <c r="P458" s="181" t="str"/>
      <c r="Q458" s="181" t="inlineStr">
        <is>
          <t>myroxylon-balsamum</t>
        </is>
      </c>
      <c r="R458" s="181" t="n">
        <v>1</v>
      </c>
      <c r="S458" s="181" t="inlineStr">
        <is>
          <t>Yes</t>
        </is>
      </c>
      <c r="T458" s="181" t="inlineStr">
        <is>
          <t>Integrated from cleaned high-signal dataset</t>
        </is>
      </c>
    </row>
    <row r="459">
      <c r="A459" s="181" t="inlineStr">
        <is>
          <t>vasicine</t>
        </is>
      </c>
      <c r="B459" s="181" t="inlineStr">
        <is>
          <t>vasicine</t>
        </is>
      </c>
      <c r="C459" s="181" t="str"/>
      <c r="D459" s="181" t="inlineStr">
        <is>
          <t>other</t>
        </is>
      </c>
      <c r="E459" s="181" t="inlineStr">
        <is>
          <t>insufficient evidence</t>
        </is>
      </c>
      <c r="F459" s="181" t="inlineStr">
        <is>
          <t>multi-target signaling modulation</t>
        </is>
      </c>
      <c r="G459" s="181" t="inlineStr">
        <is>
          <t>general or unknown targets</t>
        </is>
      </c>
      <c r="H459" s="181" t="inlineStr">
        <is>
          <t>moderate absorption; hepatic metabolism</t>
        </is>
      </c>
      <c r="I459" s="181" t="inlineStr">
        <is>
          <t>low</t>
        </is>
      </c>
      <c r="J459" s="181" t="inlineStr">
        <is>
          <t>no well-documented interactions</t>
        </is>
      </c>
      <c r="K459" s="181" t="str"/>
      <c r="L459" s="181" t="inlineStr">
        <is>
          <t>compound_level</t>
        </is>
      </c>
      <c r="M459" s="181" t="inlineStr">
        <is>
          <t>https://plants.sc.egov.usda.gov/home/search?query=adhatoda%20vasica | https://pubchem.ncbi.nlm.nih.gov/#query=vasicine</t>
        </is>
      </c>
      <c r="N459" s="181" t="inlineStr">
        <is>
          <t>trusted_gov_added</t>
        </is>
      </c>
      <c r="O459" s="181" t="inlineStr">
        <is>
          <t>PubChem compound page (NIH); USDA Plants database</t>
        </is>
      </c>
      <c r="P459" s="181" t="str"/>
      <c r="Q459" s="181" t="inlineStr">
        <is>
          <t>adhatoda-vasica</t>
        </is>
      </c>
      <c r="R459" s="181" t="n">
        <v>1</v>
      </c>
      <c r="S459" s="181" t="inlineStr">
        <is>
          <t>Yes</t>
        </is>
      </c>
      <c r="T459" s="181" t="inlineStr">
        <is>
          <t>Integrated from cleaned high-signal dataset</t>
        </is>
      </c>
    </row>
    <row r="460">
      <c r="A460" s="181" t="inlineStr">
        <is>
          <t>vasicinone</t>
        </is>
      </c>
      <c r="B460" s="181" t="inlineStr">
        <is>
          <t>vasicinone</t>
        </is>
      </c>
      <c r="C460" s="181" t="str"/>
      <c r="D460" s="181" t="inlineStr">
        <is>
          <t>other</t>
        </is>
      </c>
      <c r="E460" s="181" t="inlineStr">
        <is>
          <t>insufficient evidence</t>
        </is>
      </c>
      <c r="F460" s="181" t="inlineStr">
        <is>
          <t>multi-target signaling modulation</t>
        </is>
      </c>
      <c r="G460" s="181" t="inlineStr">
        <is>
          <t>general or unknown targets</t>
        </is>
      </c>
      <c r="H460" s="181" t="inlineStr">
        <is>
          <t>moderate absorption; hepatic metabolism</t>
        </is>
      </c>
      <c r="I460" s="181" t="inlineStr">
        <is>
          <t>low</t>
        </is>
      </c>
      <c r="J460" s="181" t="inlineStr">
        <is>
          <t>no well-documented interactions</t>
        </is>
      </c>
      <c r="K460" s="181" t="str"/>
      <c r="L460" s="181" t="inlineStr">
        <is>
          <t>compound_level</t>
        </is>
      </c>
      <c r="M460" s="181" t="inlineStr">
        <is>
          <t>https://plants.sc.egov.usda.gov/home/search?query=Sida%20cordifolia | https://plants.sc.egov.usda.gov/home/search?query=adhatoda%20vasica | https://pubchem.ncbi.nlm.nih.gov/#query=vasicinone</t>
        </is>
      </c>
      <c r="N460" s="181" t="inlineStr">
        <is>
          <t>inferred_plus_trusted_gov; trusted_gov_added</t>
        </is>
      </c>
      <c r="O460" s="181" t="inlineStr">
        <is>
          <t>PubChem compound page (NIH); USDA Plants database; scientific name; PubChem compound page (NIH); USDA Plants database</t>
        </is>
      </c>
      <c r="P460" s="181" t="str"/>
      <c r="Q460" s="181" t="inlineStr">
        <is>
          <t>adhatoda-vasica; sida-cordifolia</t>
        </is>
      </c>
      <c r="R460" s="181" t="n">
        <v>2</v>
      </c>
      <c r="S460" s="181" t="inlineStr">
        <is>
          <t>Yes</t>
        </is>
      </c>
      <c r="T460" s="181" t="inlineStr">
        <is>
          <t>Integrated from cleaned high-signal dataset</t>
        </is>
      </c>
    </row>
    <row r="461">
      <c r="A461" s="181" t="inlineStr">
        <is>
          <t>verbascoside</t>
        </is>
      </c>
      <c r="B461" s="181" t="inlineStr">
        <is>
          <t>verbascoside</t>
        </is>
      </c>
      <c r="C461" s="181" t="str"/>
      <c r="D461" s="181" t="inlineStr">
        <is>
          <t>iridoid glycosides; flavonoids</t>
        </is>
      </c>
      <c r="E461" s="181" t="inlineStr">
        <is>
          <t>insufficient evidence</t>
        </is>
      </c>
      <c r="F461" s="181" t="inlineStr">
        <is>
          <t>multi-target signaling modulation</t>
        </is>
      </c>
      <c r="G461" s="181" t="inlineStr">
        <is>
          <t>general or unknown targets</t>
        </is>
      </c>
      <c r="H461" s="181" t="inlineStr">
        <is>
          <t>Absorption and bioavailability vary; some compounds metabolized via cytochrome P450 enzymes.</t>
        </is>
      </c>
      <c r="I461" s="181" t="inlineStr">
        <is>
          <t>low</t>
        </is>
      </c>
      <c r="J461" s="181" t="inlineStr">
        <is>
          <t>no well-documented interactions</t>
        </is>
      </c>
      <c r="K461" s="181" t="str"/>
      <c r="L461" s="181" t="inlineStr">
        <is>
          <t>compound_level</t>
        </is>
      </c>
      <c r="M461" s="181" t="inlineStr">
        <is>
          <t>https://plants.sc.egov.usda.gov/home/search?query=Stachytarpheta%20cayennensis | https://pubchem.ncbi.nlm.nih.gov/#query=verbascoside</t>
        </is>
      </c>
      <c r="N461" s="181" t="inlineStr">
        <is>
          <t>inferred_plus_trusted_gov</t>
        </is>
      </c>
      <c r="O461" s="181" t="inlineStr">
        <is>
          <t>scientific name; PubChem compound page (NIH); USDA Plants database</t>
        </is>
      </c>
      <c r="P461" s="181" t="str"/>
      <c r="Q461" s="181" t="inlineStr">
        <is>
          <t>stachytarpheta-cayennensis</t>
        </is>
      </c>
      <c r="R461" s="181" t="n">
        <v>1</v>
      </c>
      <c r="S461" s="181" t="inlineStr">
        <is>
          <t>Yes</t>
        </is>
      </c>
      <c r="T461" s="181" t="inlineStr">
        <is>
          <t>Integrated from cleaned high-signal dataset</t>
        </is>
      </c>
    </row>
    <row r="462">
      <c r="A462" s="181" t="inlineStr">
        <is>
          <t>vicine</t>
        </is>
      </c>
      <c r="B462" s="181" t="inlineStr">
        <is>
          <t>vicine</t>
        </is>
      </c>
      <c r="C462" s="181" t="str"/>
      <c r="D462" s="181" t="inlineStr">
        <is>
          <t>other</t>
        </is>
      </c>
      <c r="E462" s="181" t="inlineStr">
        <is>
          <t>insufficient evidence</t>
        </is>
      </c>
      <c r="F462" s="181" t="inlineStr">
        <is>
          <t>multi-target signaling modulation</t>
        </is>
      </c>
      <c r="G462" s="181" t="inlineStr">
        <is>
          <t>general or unknown targets</t>
        </is>
      </c>
      <c r="H462" s="181" t="inlineStr">
        <is>
          <t>Oral; insulin mimetic and antidiabetic</t>
        </is>
      </c>
      <c r="I462" s="181" t="inlineStr">
        <is>
          <t>low</t>
        </is>
      </c>
      <c r="J462" s="181" t="inlineStr">
        <is>
          <t>no well-documented interactions</t>
        </is>
      </c>
      <c r="K462" s="181" t="str"/>
      <c r="L462" s="181" t="inlineStr">
        <is>
          <t>compound_level</t>
        </is>
      </c>
      <c r="M462" s="181" t="inlineStr">
        <is>
          <t>https://plants.sc.egov.usda.gov/home/search?query=Momordica%20charantia | https://pubchem.ncbi.nlm.nih.gov/#query=vicine</t>
        </is>
      </c>
      <c r="N462" s="181" t="inlineStr">
        <is>
          <t>inferred_plus_trusted_gov</t>
        </is>
      </c>
      <c r="O462" s="181" t="inlineStr">
        <is>
          <t>scientific name; PubChem compound page (NIH); USDA Plants database</t>
        </is>
      </c>
      <c r="P462" s="181" t="str"/>
      <c r="Q462" s="181" t="inlineStr">
        <is>
          <t>momordica-charantia</t>
        </is>
      </c>
      <c r="R462" s="181" t="n">
        <v>1</v>
      </c>
      <c r="S462" s="181" t="inlineStr">
        <is>
          <t>Yes</t>
        </is>
      </c>
      <c r="T462" s="181" t="inlineStr">
        <is>
          <t>Integrated from cleaned high-signal dataset</t>
        </is>
      </c>
    </row>
    <row r="463">
      <c r="A463" s="181" t="inlineStr">
        <is>
          <t>vincamine</t>
        </is>
      </c>
      <c r="B463" s="181" t="inlineStr">
        <is>
          <t>vincamine</t>
        </is>
      </c>
      <c r="C463" s="181" t="str"/>
      <c r="D463" s="181" t="inlineStr">
        <is>
          <t>Vincamine, alkaloids</t>
        </is>
      </c>
      <c r="E463" s="181" t="inlineStr">
        <is>
          <t>insufficient evidence</t>
        </is>
      </c>
      <c r="F463" s="181" t="inlineStr">
        <is>
          <t>multi-target signaling modulation</t>
        </is>
      </c>
      <c r="G463" s="181" t="inlineStr">
        <is>
          <t>general or unknown targets</t>
        </is>
      </c>
      <c r="H463" s="181" t="inlineStr">
        <is>
          <t>Oral; increases cerebral blood flow</t>
        </is>
      </c>
      <c r="I463" s="181" t="inlineStr">
        <is>
          <t>low</t>
        </is>
      </c>
      <c r="J463" s="181" t="inlineStr">
        <is>
          <t>no well-documented interactions</t>
        </is>
      </c>
      <c r="K463" s="181" t="str"/>
      <c r="L463" s="181" t="inlineStr">
        <is>
          <t>compound_level</t>
        </is>
      </c>
      <c r="M463" s="181" t="inlineStr">
        <is>
          <t>https://plants.sc.egov.usda.gov/home/search?query=Vinca%20minor | https://pubchem.ncbi.nlm.nih.gov/#query=vincamine</t>
        </is>
      </c>
      <c r="N463" s="181" t="inlineStr">
        <is>
          <t>inferred_plus_trusted_gov</t>
        </is>
      </c>
      <c r="O463" s="181" t="inlineStr">
        <is>
          <t>scientific name; PubChem compound page (NIH); USDA Plants database</t>
        </is>
      </c>
      <c r="P463" s="181" t="str"/>
      <c r="Q463" s="181" t="inlineStr">
        <is>
          <t>vinca-minor</t>
        </is>
      </c>
      <c r="R463" s="181" t="n">
        <v>1</v>
      </c>
      <c r="S463" s="181" t="inlineStr">
        <is>
          <t>Yes</t>
        </is>
      </c>
      <c r="T463" s="181" t="inlineStr">
        <is>
          <t>Integrated from cleaned high-signal dataset</t>
        </is>
      </c>
    </row>
    <row r="464">
      <c r="A464" s="181" t="inlineStr">
        <is>
          <t>viscotoxin</t>
        </is>
      </c>
      <c r="B464" s="181" t="inlineStr">
        <is>
          <t>viscotoxin</t>
        </is>
      </c>
      <c r="C464" s="181" t="str"/>
      <c r="D464" s="181" t="inlineStr">
        <is>
          <t>Viscotoxin, lectins, polysaccharides</t>
        </is>
      </c>
      <c r="E464" s="181" t="inlineStr">
        <is>
          <t>insufficient evidence</t>
        </is>
      </c>
      <c r="F464" s="181" t="inlineStr">
        <is>
          <t>multi-target signaling modulation</t>
        </is>
      </c>
      <c r="G464" s="181" t="inlineStr">
        <is>
          <t>general or unknown targets</t>
        </is>
      </c>
      <c r="H464" s="181" t="inlineStr">
        <is>
          <t>Injection; immunomodulatory and cytotoxic</t>
        </is>
      </c>
      <c r="I464" s="181" t="inlineStr">
        <is>
          <t>Moderate–high (dose-dependent)</t>
        </is>
      </c>
      <c r="J464" s="181" t="inlineStr">
        <is>
          <t>may interfere with immunosuppressants or chemotherapeutics.</t>
        </is>
      </c>
      <c r="K464" s="181" t="str"/>
      <c r="L464" s="181" t="inlineStr">
        <is>
          <t>compound_level</t>
        </is>
      </c>
      <c r="M464" s="181" t="inlineStr">
        <is>
          <t>European Medicines Agency | Plants of the Gods – Rätsch | https://www.ncbi.nlm.nih.gov/pmc/articles/PMC3201634/</t>
        </is>
      </c>
      <c r="N464" s="181" t="inlineStr">
        <is>
          <t>citation_or_url_present</t>
        </is>
      </c>
      <c r="O464" s="181" t="str"/>
      <c r="P464" s="181" t="str"/>
      <c r="Q464" s="181" t="inlineStr">
        <is>
          <t>viscum-album</t>
        </is>
      </c>
      <c r="R464" s="181" t="n">
        <v>1</v>
      </c>
      <c r="S464" s="181" t="inlineStr">
        <is>
          <t>Yes</t>
        </is>
      </c>
      <c r="T464" s="181" t="inlineStr">
        <is>
          <t>Integrated from cleaned high-signal dataset</t>
        </is>
      </c>
    </row>
    <row r="465">
      <c r="A465" s="181" t="inlineStr">
        <is>
          <t>vitamin c</t>
        </is>
      </c>
      <c r="B465" s="181" t="inlineStr">
        <is>
          <t>vitamin c</t>
        </is>
      </c>
      <c r="C465" s="181" t="str"/>
      <c r="D465" s="181" t="inlineStr">
        <is>
          <t>Vitamin C, flavonoids, carotenoids</t>
        </is>
      </c>
      <c r="E465" s="181" t="inlineStr">
        <is>
          <t>insufficient evidence</t>
        </is>
      </c>
      <c r="F465" s="181" t="inlineStr">
        <is>
          <t>multi-target signaling modulation</t>
        </is>
      </c>
      <c r="G465" s="181" t="inlineStr">
        <is>
          <t>general or unknown targets</t>
        </is>
      </c>
      <c r="H465" s="181" t="inlineStr">
        <is>
          <t>Oral; anti-inflammatory and vitamin C source</t>
        </is>
      </c>
      <c r="I465" s="181" t="inlineStr">
        <is>
          <t>low</t>
        </is>
      </c>
      <c r="J465" s="181" t="inlineStr">
        <is>
          <t>no well-documented interactions</t>
        </is>
      </c>
      <c r="K465" s="181" t="str"/>
      <c r="L465" s="181" t="inlineStr">
        <is>
          <t>compound_level</t>
        </is>
      </c>
      <c r="M465" s="181" t="inlineStr">
        <is>
          <t>https://plants.sc.egov.usda.gov/home/search?query=Rosa%20canina | https://pubchem.ncbi.nlm.nih.gov/#query=vitamin%20c</t>
        </is>
      </c>
      <c r="N465" s="181" t="inlineStr">
        <is>
          <t>inferred_plus_trusted_gov</t>
        </is>
      </c>
      <c r="O465" s="181" t="inlineStr">
        <is>
          <t>scientific name; PubChem compound page (NIH); USDA Plants database</t>
        </is>
      </c>
      <c r="P465" s="181" t="str"/>
      <c r="Q465" s="181" t="inlineStr">
        <is>
          <t>rosa-canina</t>
        </is>
      </c>
      <c r="R465" s="181" t="n">
        <v>1</v>
      </c>
      <c r="S465" s="181" t="inlineStr">
        <is>
          <t>Yes</t>
        </is>
      </c>
      <c r="T465" s="181" t="inlineStr">
        <is>
          <t>Integrated from cleaned high-signal dataset</t>
        </is>
      </c>
    </row>
    <row r="466">
      <c r="A466" s="181" t="inlineStr">
        <is>
          <t>vitamin d</t>
        </is>
      </c>
      <c r="B466" s="181" t="inlineStr">
        <is>
          <t>vitamin d</t>
        </is>
      </c>
      <c r="C466" s="181" t="str"/>
      <c r="D466" s="181" t="inlineStr">
        <is>
          <t>secosteroid</t>
        </is>
      </c>
      <c r="E466" s="181" t="inlineStr">
        <is>
          <t>After metabolic activation, binds the vitamin D receptor (VDR) to regulate calcium/phosphate homeostasis and broader gene transcription.</t>
        </is>
      </c>
      <c r="F466" s="181" t="str"/>
      <c r="G466" s="181" t="inlineStr">
        <is>
          <t>Vitamin D receptor agonism; bone mineralization signaling; calcium absorption regulation</t>
        </is>
      </c>
      <c r="H466" s="181" t="inlineStr">
        <is>
          <t>Fat-soluble and absorbed in the small intestine; converted in the liver to 25(OH)D and in the kidney to active 1,25(OH)2D.</t>
        </is>
      </c>
      <c r="I466" s="181" t="inlineStr">
        <is>
          <t>Excess supplemental intake can cause hypercalcemia, hypercalciuria, renal injury, arrhythmias, and soft-tissue calcification.</t>
        </is>
      </c>
      <c r="J466" s="181" t="inlineStr">
        <is>
          <t>Orlistat and bile acid sequestrants (reduced absorption); thiazide diuretics with calcium/vitamin D (increased hypercalcemia risk); glucocorticoids can impair vitamin D metabolism.</t>
        </is>
      </c>
      <c r="K466" s="181" t="inlineStr">
        <is>
          <t>high</t>
        </is>
      </c>
      <c r="L466" s="181" t="inlineStr">
        <is>
          <t>Sprint5</t>
        </is>
      </c>
      <c r="M466" s="181" t="inlineStr">
        <is>
          <t>https://ods.od.nih.gov/factsheets/VitaminD-Consumer%20/ | https://ods.od.nih.gov/factsheets/VitaminD-HealthProfessional/</t>
        </is>
      </c>
      <c r="N466" s="181" t="str"/>
      <c r="O466" s="181" t="str"/>
      <c r="P466" s="181" t="inlineStr">
        <is>
          <t>precision_monographs_sprint5.xlsx</t>
        </is>
      </c>
      <c r="Q466" s="181" t="str"/>
      <c r="R466" s="181" t="n">
        <v>0</v>
      </c>
      <c r="S466" s="181" t="inlineStr">
        <is>
          <t>No</t>
        </is>
      </c>
      <c r="T466" s="181" t="inlineStr">
        <is>
          <t>Integrated from compound monograph workbook</t>
        </is>
      </c>
    </row>
    <row r="467">
      <c r="A467" s="181" t="inlineStr">
        <is>
          <t>vitexin</t>
        </is>
      </c>
      <c r="B467" s="181" t="inlineStr">
        <is>
          <t>vitexin</t>
        </is>
      </c>
      <c r="C467" s="181" t="str"/>
      <c r="D467" s="181" t="inlineStr">
        <is>
          <t>other</t>
        </is>
      </c>
      <c r="E467" s="181" t="inlineStr">
        <is>
          <t>Flavonoids interact with benzodiazepine binding sites on GABA-A receptors; mild MAO-A inhibition proposed.</t>
        </is>
      </c>
      <c r="F467" s="181" t="inlineStr">
        <is>
          <t>multi-target signaling modulation; muscarinic receptor interaction</t>
        </is>
      </c>
      <c r="G467" s="181" t="inlineStr">
        <is>
          <t>cholinergic_modulation; gabaergic_modulation; monoamine_oxidase_inhibition</t>
        </is>
      </c>
      <c r="H467" s="181" t="inlineStr">
        <is>
          <t>rapid systemic absorption; crosses BBB; hepatic metabolism</t>
        </is>
      </c>
      <c r="I467" s="181" t="inlineStr">
        <is>
          <t>low</t>
        </is>
      </c>
      <c r="J467" s="181" t="inlineStr">
        <is>
          <t>no well-documented interactions</t>
        </is>
      </c>
      <c r="K467" s="181" t="str"/>
      <c r="L467" s="181" t="inlineStr">
        <is>
          <t>compound_level</t>
        </is>
      </c>
      <c r="M467" s="181" t="inlineStr">
        <is>
          <t>https://plants.sc.egov.usda.gov/home/search?query=amorpha%20fruticosa | https://plants.sc.egov.usda.gov/home/search?query=passionflower | https://pubchem.ncbi.nlm.nih.gov/#query=vitexin | https://pubchem.ncbi.nlm.nih.gov/#query=vitexin%29</t>
        </is>
      </c>
      <c r="N467" s="181" t="inlineStr">
        <is>
          <t>trusted_gov_added</t>
        </is>
      </c>
      <c r="O467" s="181" t="inlineStr">
        <is>
          <t>PubChem compound page (NIH); USDA Plants database</t>
        </is>
      </c>
      <c r="P467" s="181" t="str"/>
      <c r="Q467" s="181" t="inlineStr">
        <is>
          <t>amorpha-fruticosa; passiflora-incarnata</t>
        </is>
      </c>
      <c r="R467" s="181" t="n">
        <v>2</v>
      </c>
      <c r="S467" s="181" t="inlineStr">
        <is>
          <t>Yes</t>
        </is>
      </c>
      <c r="T467" s="181" t="inlineStr">
        <is>
          <t>Integrated from cleaned high-signal dataset</t>
        </is>
      </c>
    </row>
    <row r="468">
      <c r="A468" s="181" t="inlineStr">
        <is>
          <t>voacangine</t>
        </is>
      </c>
      <c r="B468" s="181" t="inlineStr">
        <is>
          <t>voacangine</t>
        </is>
      </c>
      <c r="C468" s="181" t="str"/>
      <c r="D468" s="181" t="inlineStr">
        <is>
          <t>indole alkaloids</t>
        </is>
      </c>
      <c r="E468" s="181" t="inlineStr">
        <is>
          <t>insufficient evidence</t>
        </is>
      </c>
      <c r="F468" s="181" t="inlineStr">
        <is>
          <t>multi-target signaling modulation</t>
        </is>
      </c>
      <c r="G468" s="181" t="inlineStr">
        <is>
          <t>general or unknown targets</t>
        </is>
      </c>
      <c r="H468" s="181" t="inlineStr">
        <is>
          <t>Absorption and bioavailability vary; some compounds metabolized via cytochrome P450 enzymes.</t>
        </is>
      </c>
      <c r="I468" s="181" t="inlineStr">
        <is>
          <t>low</t>
        </is>
      </c>
      <c r="J468" s="181" t="inlineStr">
        <is>
          <t>no well-documented interactions</t>
        </is>
      </c>
      <c r="K468" s="181" t="str"/>
      <c r="L468" s="181" t="inlineStr">
        <is>
          <t>compound_level</t>
        </is>
      </c>
      <c r="M468" s="181" t="inlineStr">
        <is>
          <t>https://plants.sc.egov.usda.gov/home/search?query=Tabernaemontana%20divaricata | https://pubchem.ncbi.nlm.nih.gov/#query=voacangine</t>
        </is>
      </c>
      <c r="N468" s="181" t="inlineStr">
        <is>
          <t>inferred_plus_trusted_gov</t>
        </is>
      </c>
      <c r="O468" s="181" t="inlineStr">
        <is>
          <t>scientific name; PubChem compound page (NIH); USDA Plants database</t>
        </is>
      </c>
      <c r="P468" s="181" t="str"/>
      <c r="Q468" s="181" t="inlineStr">
        <is>
          <t>tabernaemontana-divaricata</t>
        </is>
      </c>
      <c r="R468" s="181" t="n">
        <v>1</v>
      </c>
      <c r="S468" s="181" t="inlineStr">
        <is>
          <t>Yes</t>
        </is>
      </c>
      <c r="T468" s="181" t="inlineStr">
        <is>
          <t>Integrated from cleaned high-signal dataset</t>
        </is>
      </c>
    </row>
    <row r="469">
      <c r="A469" s="181" t="inlineStr">
        <is>
          <t>withanolide d</t>
        </is>
      </c>
      <c r="B469" s="181" t="inlineStr">
        <is>
          <t>withanolide d)</t>
        </is>
      </c>
      <c r="C469" s="181" t="str"/>
      <c r="D469" s="181" t="inlineStr">
        <is>
          <t>other</t>
        </is>
      </c>
      <c r="E469" s="181" t="inlineStr">
        <is>
          <t>insufficient evidence</t>
        </is>
      </c>
      <c r="F469" s="181" t="inlineStr">
        <is>
          <t>COX/NF-kB inhibition; GABAergic modulation</t>
        </is>
      </c>
      <c r="G469" s="181" t="inlineStr">
        <is>
          <t>gabaergic_modulation; inflammatory_pathway_modulation</t>
        </is>
      </c>
      <c r="H469" s="181" t="inlineStr">
        <is>
          <t>moderate absorption; hepatic metabolism</t>
        </is>
      </c>
      <c r="I469" s="181" t="inlineStr">
        <is>
          <t>low</t>
        </is>
      </c>
      <c r="J469" s="181" t="inlineStr">
        <is>
          <t>no well-documented interactions</t>
        </is>
      </c>
      <c r="K469" s="181" t="str"/>
      <c r="L469" s="181" t="inlineStr">
        <is>
          <t>compound_level</t>
        </is>
      </c>
      <c r="M469" s="181" t="inlineStr">
        <is>
          <t>https://plants.sc.egov.usda.gov/home/search?query=Withania%20Somnifera | https://plants.sc.egov.usda.gov/home/search?query=ashwagandha | https://pubchem.ncbi.nlm.nih.gov/#query=withanolide%20d</t>
        </is>
      </c>
      <c r="N469" s="181" t="inlineStr">
        <is>
          <t>trusted_gov_added</t>
        </is>
      </c>
      <c r="O469" s="181" t="inlineStr">
        <is>
          <t>PubChem compound page (NIH); USDA Plants database</t>
        </is>
      </c>
      <c r="P469" s="181" t="str"/>
      <c r="Q469" s="181" t="inlineStr">
        <is>
          <t>withania-somnifera; withania-somnifera-ashwagandha</t>
        </is>
      </c>
      <c r="R469" s="181" t="n">
        <v>2</v>
      </c>
      <c r="S469" s="181" t="inlineStr">
        <is>
          <t>Yes</t>
        </is>
      </c>
      <c r="T469" s="181" t="inlineStr">
        <is>
          <t>Integrated from cleaned high-signal dataset</t>
        </is>
      </c>
    </row>
    <row r="470">
      <c r="A470" s="181" t="inlineStr">
        <is>
          <t>withanolides withaferin a</t>
        </is>
      </c>
      <c r="B470" s="181" t="inlineStr">
        <is>
          <t>withanolides (withaferin a</t>
        </is>
      </c>
      <c r="C470" s="181" t="str"/>
      <c r="D470" s="181" t="inlineStr">
        <is>
          <t>other</t>
        </is>
      </c>
      <c r="E470" s="181" t="inlineStr">
        <is>
          <t>insufficient evidence</t>
        </is>
      </c>
      <c r="F470" s="181" t="inlineStr">
        <is>
          <t>COX/NF-kB inhibition; GABAergic modulation</t>
        </is>
      </c>
      <c r="G470" s="181" t="inlineStr">
        <is>
          <t>gabaergic_modulation; inflammatory_pathway_modulation</t>
        </is>
      </c>
      <c r="H470" s="181" t="inlineStr">
        <is>
          <t>moderate absorption; hepatic metabolism</t>
        </is>
      </c>
      <c r="I470" s="181" t="inlineStr">
        <is>
          <t>low</t>
        </is>
      </c>
      <c r="J470" s="181" t="inlineStr">
        <is>
          <t>no well-documented interactions</t>
        </is>
      </c>
      <c r="K470" s="181" t="str"/>
      <c r="L470" s="181" t="inlineStr">
        <is>
          <t>compound_level</t>
        </is>
      </c>
      <c r="M470" s="181" t="inlineStr">
        <is>
          <t>https://plants.sc.egov.usda.gov/home/search?query=Withania%20Somnifera | https://plants.sc.egov.usda.gov/home/search?query=ashwagandha | https://pubchem.ncbi.nlm.nih.gov/#query=withanolides%20%28withaferin%20a</t>
        </is>
      </c>
      <c r="N470" s="181" t="inlineStr">
        <is>
          <t>trusted_gov_added</t>
        </is>
      </c>
      <c r="O470" s="181" t="inlineStr">
        <is>
          <t>PubChem compound page (NIH); USDA Plants database</t>
        </is>
      </c>
      <c r="P470" s="181" t="str"/>
      <c r="Q470" s="181" t="inlineStr">
        <is>
          <t>withania-somnifera; withania-somnifera-ashwagandha</t>
        </is>
      </c>
      <c r="R470" s="181" t="n">
        <v>2</v>
      </c>
      <c r="S470" s="181" t="inlineStr">
        <is>
          <t>Yes</t>
        </is>
      </c>
      <c r="T470" s="181" t="inlineStr">
        <is>
          <t>Integrated from cleaned high-signal dataset</t>
        </is>
      </c>
    </row>
    <row r="471">
      <c r="A471" s="181" t="inlineStr">
        <is>
          <t>wogonin</t>
        </is>
      </c>
      <c r="B471" s="181" t="inlineStr">
        <is>
          <t>wogonin</t>
        </is>
      </c>
      <c r="C471" s="181" t="str"/>
      <c r="D471" s="181" t="inlineStr">
        <is>
          <t>other</t>
        </is>
      </c>
      <c r="E471" s="181" t="inlineStr">
        <is>
          <t>American skullcap flavonoids are associated with anticonvulsant and anxiolytic activity; GABAergic signaling and broader neuroinhibitory effects have been proposed in preclinical work.</t>
        </is>
      </c>
      <c r="F471" s="181" t="inlineStr">
        <is>
          <t>GABAergic modulation; multi-target signaling modulation</t>
        </is>
      </c>
      <c r="G471" s="181" t="inlineStr">
        <is>
          <t>gabaergic_modulation; general or unknown targets</t>
        </is>
      </c>
      <c r="H471" s="181" t="inlineStr">
        <is>
          <t>Oral; liver and immune support</t>
        </is>
      </c>
      <c r="I471" s="181" t="inlineStr">
        <is>
          <t>low</t>
        </is>
      </c>
      <c r="J471" s="181" t="inlineStr">
        <is>
          <t>no well-documented interactions</t>
        </is>
      </c>
      <c r="K471" s="181" t="str"/>
      <c r="L471" s="181" t="inlineStr">
        <is>
          <t>compound_level</t>
        </is>
      </c>
      <c r="M471" s="181" t="inlineStr">
        <is>
          <t>https://plants.sc.egov.usda.gov/home/search?query=Scutellaria%20baicalensis | https://plants.sc.egov.usda.gov/home/search?query=scutellaria%20lateriflora | https://pubchem.ncbi.nlm.nih.gov/#query=wogonin</t>
        </is>
      </c>
      <c r="N471" s="181" t="inlineStr">
        <is>
          <t>inferred_plus_trusted_gov; trusted_gov_added</t>
        </is>
      </c>
      <c r="O471" s="181" t="inlineStr">
        <is>
          <t>PubChem compound page (NIH); USDA Plants database; scientific name; PubChem compound page (NIH); USDA Plants database</t>
        </is>
      </c>
      <c r="P471" s="181" t="str"/>
      <c r="Q471" s="181" t="inlineStr">
        <is>
          <t>scutellaria-baicalensis; scutellaria-lateriflora</t>
        </is>
      </c>
      <c r="R471" s="181" t="n">
        <v>2</v>
      </c>
      <c r="S471" s="181" t="inlineStr">
        <is>
          <t>Yes</t>
        </is>
      </c>
      <c r="T471" s="181" t="inlineStr">
        <is>
          <t>Integrated from cleaned high-signal dataset</t>
        </is>
      </c>
    </row>
    <row r="472">
      <c r="A472" s="181" t="inlineStr">
        <is>
          <t>xanthohumol</t>
        </is>
      </c>
      <c r="B472" s="181" t="inlineStr">
        <is>
          <t>xanthohumol</t>
        </is>
      </c>
      <c r="C472" s="181" t="str"/>
      <c r="D472" s="181" t="inlineStr">
        <is>
          <t>other</t>
        </is>
      </c>
      <c r="E472" s="181" t="inlineStr">
        <is>
          <t>insufficient evidence</t>
        </is>
      </c>
      <c r="F472" s="181" t="inlineStr">
        <is>
          <t>multi-target signaling modulation</t>
        </is>
      </c>
      <c r="G472" s="181" t="inlineStr">
        <is>
          <t>general or unknown targets</t>
        </is>
      </c>
      <c r="H472" s="181" t="inlineStr">
        <is>
          <t>Absorption and bioavailability vary; some compounds metabolized via cytochrome P450 enzymes.</t>
        </is>
      </c>
      <c r="I472" s="181" t="inlineStr">
        <is>
          <t>low</t>
        </is>
      </c>
      <c r="J472" s="181" t="inlineStr">
        <is>
          <t>no well-documented interactions</t>
        </is>
      </c>
      <c r="K472" s="181" t="str"/>
      <c r="L472" s="181" t="inlineStr">
        <is>
          <t>compound_level</t>
        </is>
      </c>
      <c r="M472" s="181" t="inlineStr">
        <is>
          <t>https://plants.sc.egov.usda.gov/home/search?query=Humulus%20lupulus | https://pubchem.ncbi.nlm.nih.gov/#query=xanthohumol</t>
        </is>
      </c>
      <c r="N472" s="181" t="inlineStr">
        <is>
          <t>inferred_plus_trusted_gov</t>
        </is>
      </c>
      <c r="O472" s="181" t="inlineStr">
        <is>
          <t>scientific name; PubChem compound page (NIH); USDA Plants database</t>
        </is>
      </c>
      <c r="P472" s="181" t="str"/>
      <c r="Q472" s="181" t="inlineStr">
        <is>
          <t>humulus-lupulus</t>
        </is>
      </c>
      <c r="R472" s="181" t="n">
        <v>1</v>
      </c>
      <c r="S472" s="181" t="inlineStr">
        <is>
          <t>Yes</t>
        </is>
      </c>
      <c r="T472" s="181" t="inlineStr">
        <is>
          <t>Integrated from cleaned high-signal dataset</t>
        </is>
      </c>
    </row>
    <row r="473">
      <c r="A473" s="181" t="inlineStr">
        <is>
          <t>xanthotoxol</t>
        </is>
      </c>
      <c r="B473" s="181" t="inlineStr">
        <is>
          <t>xanthotoxol</t>
        </is>
      </c>
      <c r="C473" s="181" t="str"/>
      <c r="D473" s="181" t="inlineStr">
        <is>
          <t>other</t>
        </is>
      </c>
      <c r="E473" s="181" t="inlineStr">
        <is>
          <t>insufficient evidence</t>
        </is>
      </c>
      <c r="F473" s="181" t="inlineStr">
        <is>
          <t>multi-target signaling modulation</t>
        </is>
      </c>
      <c r="G473" s="181" t="inlineStr">
        <is>
          <t>general or unknown targets</t>
        </is>
      </c>
      <c r="H473" s="181" t="inlineStr">
        <is>
          <t>moderate absorption; hepatic metabolism</t>
        </is>
      </c>
      <c r="I473" s="181" t="inlineStr">
        <is>
          <t>low</t>
        </is>
      </c>
      <c r="J473" s="181" t="inlineStr">
        <is>
          <t>no well-documented interactions</t>
        </is>
      </c>
      <c r="K473" s="181" t="str"/>
      <c r="L473" s="181" t="inlineStr">
        <is>
          <t>compound_level</t>
        </is>
      </c>
      <c r="M473" s="181" t="inlineStr">
        <is>
          <t>https://plants.sc.egov.usda.gov/home/search?query=casimiroa%20edulis | https://pubchem.ncbi.nlm.nih.gov/#query=xanthotoxol</t>
        </is>
      </c>
      <c r="N473" s="181" t="inlineStr">
        <is>
          <t>trusted_gov_added</t>
        </is>
      </c>
      <c r="O473" s="181" t="inlineStr">
        <is>
          <t>PubChem compound page (NIH); USDA Plants database</t>
        </is>
      </c>
      <c r="P473" s="181" t="str"/>
      <c r="Q473" s="181" t="inlineStr">
        <is>
          <t>casimiroa-edulis</t>
        </is>
      </c>
      <c r="R473" s="181" t="n">
        <v>1</v>
      </c>
      <c r="S473" s="181" t="inlineStr">
        <is>
          <t>Yes</t>
        </is>
      </c>
      <c r="T473" s="181" t="inlineStr">
        <is>
          <t>Integrated from cleaned high-signal dataset</t>
        </is>
      </c>
    </row>
    <row r="474">
      <c r="A474" s="181" t="inlineStr">
        <is>
          <t>xanthumin</t>
        </is>
      </c>
      <c r="B474" s="181" t="inlineStr">
        <is>
          <t>xanthumin</t>
        </is>
      </c>
      <c r="C474" s="181" t="str"/>
      <c r="D474" s="181" t="inlineStr">
        <is>
          <t>Xanthumin, sesquiterpene lactones</t>
        </is>
      </c>
      <c r="E474" s="181" t="inlineStr">
        <is>
          <t>insufficient evidence</t>
        </is>
      </c>
      <c r="F474" s="181" t="inlineStr">
        <is>
          <t>multi-target signaling modulation</t>
        </is>
      </c>
      <c r="G474" s="181" t="inlineStr">
        <is>
          <t>general or unknown targets</t>
        </is>
      </c>
      <c r="H474" s="181" t="inlineStr">
        <is>
          <t>Oral; sinus and antirheumatic</t>
        </is>
      </c>
      <c r="I474" s="181" t="inlineStr">
        <is>
          <t>low</t>
        </is>
      </c>
      <c r="J474" s="181" t="inlineStr">
        <is>
          <t>no well-documented interactions</t>
        </is>
      </c>
      <c r="K474" s="181" t="str"/>
      <c r="L474" s="181" t="inlineStr">
        <is>
          <t>compound_level</t>
        </is>
      </c>
      <c r="M474" s="181" t="inlineStr">
        <is>
          <t>https://plants.sc.egov.usda.gov/home/search?query=Xanthium%20strumarium | https://pubchem.ncbi.nlm.nih.gov/#query=xanthumin</t>
        </is>
      </c>
      <c r="N474" s="181" t="inlineStr">
        <is>
          <t>inferred_plus_trusted_gov</t>
        </is>
      </c>
      <c r="O474" s="181" t="inlineStr">
        <is>
          <t>scientific name; PubChem compound page (NIH); USDA Plants database</t>
        </is>
      </c>
      <c r="P474" s="181" t="str"/>
      <c r="Q474" s="181" t="inlineStr">
        <is>
          <t>xanthium-strumarium</t>
        </is>
      </c>
      <c r="R474" s="181" t="n">
        <v>1</v>
      </c>
      <c r="S474" s="181" t="inlineStr">
        <is>
          <t>Yes</t>
        </is>
      </c>
      <c r="T474" s="181" t="inlineStr">
        <is>
          <t>Integrated from cleaned high-signal dataset</t>
        </is>
      </c>
    </row>
    <row r="475">
      <c r="A475" s="181" t="inlineStr">
        <is>
          <t>yangonin</t>
        </is>
      </c>
      <c r="B475" s="181" t="inlineStr">
        <is>
          <t>yangonin</t>
        </is>
      </c>
      <c r="C475" s="181" t="str"/>
      <c r="D475" s="181" t="inlineStr">
        <is>
          <t>other</t>
        </is>
      </c>
      <c r="E475" s="181" t="inlineStr">
        <is>
          <t>Kavalactones modulate GABA_A receptor activity, inhibit voltage-gated sodium and calcium channels, and influence dopamine signaling.</t>
        </is>
      </c>
      <c r="F475" s="181" t="inlineStr">
        <is>
          <t>GABAergic modulation; multi-target signaling modulation</t>
        </is>
      </c>
      <c r="G475" s="181" t="inlineStr">
        <is>
          <t>dopaminergic_modulation; gabaergic_modulation</t>
        </is>
      </c>
      <c r="H475" s="181" t="inlineStr">
        <is>
          <t>moderate absorption; hepatic metabolism</t>
        </is>
      </c>
      <c r="I475" s="181" t="inlineStr">
        <is>
          <t>low</t>
        </is>
      </c>
      <c r="J475" s="181" t="inlineStr">
        <is>
          <t>no well-documented interactions</t>
        </is>
      </c>
      <c r="K475" s="181" t="str"/>
      <c r="L475" s="181" t="inlineStr">
        <is>
          <t>compound_level</t>
        </is>
      </c>
      <c r="M475" s="181" t="inlineStr">
        <is>
          <t>https://plants.sc.egov.usda.gov/home/search?query=kava | https://plants.sc.egov.usda.gov/home/search?query=piper%20methysticum | https://pubchem.ncbi.nlm.nih.gov/#query=yangonin</t>
        </is>
      </c>
      <c r="N475" s="181" t="inlineStr">
        <is>
          <t>trusted_gov_added</t>
        </is>
      </c>
      <c r="O475" s="181" t="inlineStr">
        <is>
          <t>PubChem compound page (NIH); USDA Plants database</t>
        </is>
      </c>
      <c r="P475" s="181" t="str"/>
      <c r="Q475" s="181" t="inlineStr">
        <is>
          <t>kava; piper-methysticum</t>
        </is>
      </c>
      <c r="R475" s="181" t="n">
        <v>2</v>
      </c>
      <c r="S475" s="181" t="inlineStr">
        <is>
          <t>Yes</t>
        </is>
      </c>
      <c r="T475" s="181" t="inlineStr">
        <is>
          <t>Integrated from cleaned high-signal dataset</t>
        </is>
      </c>
    </row>
    <row r="476">
      <c r="A476" s="181" t="inlineStr">
        <is>
          <t>zerumbone</t>
        </is>
      </c>
      <c r="B476" s="181" t="inlineStr">
        <is>
          <t>zerumbone</t>
        </is>
      </c>
      <c r="C476" s="181" t="str"/>
      <c r="D476" s="181" t="inlineStr">
        <is>
          <t>sesquiterpenes</t>
        </is>
      </c>
      <c r="E476" s="181" t="inlineStr">
        <is>
          <t>Zerumbone is the best-characterized constituent and shows anti-inflammatory and immunomodulatory effects in preclinical models.</t>
        </is>
      </c>
      <c r="F476" s="181" t="inlineStr">
        <is>
          <t>COX/NF-kB inhibition</t>
        </is>
      </c>
      <c r="G476" s="181" t="inlineStr">
        <is>
          <t>inflammatory_pathway_modulation</t>
        </is>
      </c>
      <c r="H476" s="181" t="inlineStr">
        <is>
          <t>oral absorption; hepatic metabolism; systemic distribution</t>
        </is>
      </c>
      <c r="I476" s="181" t="inlineStr">
        <is>
          <t>low</t>
        </is>
      </c>
      <c r="J476" s="181" t="inlineStr">
        <is>
          <t>no well-documented interactions</t>
        </is>
      </c>
      <c r="K476" s="181" t="str"/>
      <c r="L476" s="181" t="inlineStr">
        <is>
          <t>compound_level</t>
        </is>
      </c>
      <c r="M476" s="181" t="inlineStr">
        <is>
          <t>https://plants.sc.egov.usda.gov/home/search?query=shampoo%20ginger | https://pubchem.ncbi.nlm.nih.gov/#query=zerumbone</t>
        </is>
      </c>
      <c r="N476" s="181" t="inlineStr">
        <is>
          <t>trusted_gov_added</t>
        </is>
      </c>
      <c r="O476" s="181" t="inlineStr">
        <is>
          <t>PubChem compound page (NIH); USDA Plants database</t>
        </is>
      </c>
      <c r="P476" s="181" t="str"/>
      <c r="Q476" s="181" t="inlineStr">
        <is>
          <t>zingiber-zerumbet</t>
        </is>
      </c>
      <c r="R476" s="181" t="n">
        <v>1</v>
      </c>
      <c r="S476" s="181" t="inlineStr">
        <is>
          <t>Yes</t>
        </is>
      </c>
      <c r="T476" s="181" t="inlineStr">
        <is>
          <t>Integrated from cleaned high-signal dataset</t>
        </is>
      </c>
    </row>
    <row r="477">
      <c r="A477" s="181" t="inlineStr">
        <is>
          <t>zinc</t>
        </is>
      </c>
      <c r="B477" s="181" t="inlineStr">
        <is>
          <t>zinc</t>
        </is>
      </c>
      <c r="C477" s="181" t="str"/>
      <c r="D477" s="181" t="inlineStr">
        <is>
          <t>trace mineral</t>
        </is>
      </c>
      <c r="E477" s="181" t="inlineStr">
        <is>
          <t>Cofactor regulating metallothioneins and zinc transporters (ZIP/ZnT)</t>
        </is>
      </c>
      <c r="F477" s="181" t="str"/>
      <c r="G477" s="181" t="inlineStr">
        <is>
          <t>MTF-1; Metallothionein; ZIP; ZnT</t>
        </is>
      </c>
      <c r="H477" s="181" t="str"/>
      <c r="I477" s="181" t="str"/>
      <c r="J477" s="181" t="inlineStr">
        <is>
          <t>Antibiotics (↓ absorption); diuretics (↑ loss)</t>
        </is>
      </c>
      <c r="K477" s="181" t="str"/>
      <c r="L477" s="181" t="inlineStr">
        <is>
          <t>Batch8-Mineral</t>
        </is>
      </c>
      <c r="M477" s="181" t="str"/>
      <c r="N477" s="181" t="str"/>
      <c r="O477" s="181" t="str"/>
      <c r="P477" s="181" t="inlineStr">
        <is>
          <t>precision_monographs_batch8.xlsx</t>
        </is>
      </c>
      <c r="Q477" s="181" t="str"/>
      <c r="R477" s="181" t="n">
        <v>0</v>
      </c>
      <c r="S477" s="181" t="inlineStr">
        <is>
          <t>No</t>
        </is>
      </c>
      <c r="T477" s="181" t="inlineStr">
        <is>
          <t>Integrated from compound monograph workbook</t>
        </is>
      </c>
    </row>
    <row r="478">
      <c r="A478" s="181" t="inlineStr">
        <is>
          <t>zingerone</t>
        </is>
      </c>
      <c r="B478" s="181" t="inlineStr">
        <is>
          <t>zingerone</t>
        </is>
      </c>
      <c r="C478" s="181" t="str"/>
      <c r="D478" s="181" t="inlineStr">
        <is>
          <t>other</t>
        </is>
      </c>
      <c r="E478" s="181" t="inlineStr">
        <is>
          <t>insufficient evidence</t>
        </is>
      </c>
      <c r="F478" s="181" t="inlineStr">
        <is>
          <t>COX/NF-kB inhibition</t>
        </is>
      </c>
      <c r="G478" s="181" t="inlineStr">
        <is>
          <t>inflammatory_pathway_modulation</t>
        </is>
      </c>
      <c r="H478" s="181" t="inlineStr">
        <is>
          <t>oral absorption; hepatic metabolism; systemic distribution</t>
        </is>
      </c>
      <c r="I478" s="181" t="inlineStr">
        <is>
          <t>low</t>
        </is>
      </c>
      <c r="J478" s="181" t="inlineStr">
        <is>
          <t>no well-documented interactions</t>
        </is>
      </c>
      <c r="K478" s="181" t="str"/>
      <c r="L478" s="181" t="inlineStr">
        <is>
          <t>compound_level</t>
        </is>
      </c>
      <c r="M478" s="181" t="inlineStr">
        <is>
          <t>https://plants.sc.egov.usda.gov/home/search?query=ginger | https://pubchem.ncbi.nlm.nih.gov/#query=zingerone</t>
        </is>
      </c>
      <c r="N478" s="181" t="inlineStr">
        <is>
          <t>trusted_gov_added</t>
        </is>
      </c>
      <c r="O478" s="181" t="inlineStr">
        <is>
          <t>PubChem compound page (NIH); USDA Plants database</t>
        </is>
      </c>
      <c r="P478" s="181" t="str"/>
      <c r="Q478" s="181" t="inlineStr">
        <is>
          <t>zingiber-officinale</t>
        </is>
      </c>
      <c r="R478" s="181" t="n">
        <v>1</v>
      </c>
      <c r="S478" s="181" t="inlineStr">
        <is>
          <t>Yes</t>
        </is>
      </c>
      <c r="T478" s="181" t="inlineStr">
        <is>
          <t>Integrated from cleaned high-signal dataset</t>
        </is>
      </c>
    </row>
    <row r="479">
      <c r="A479" s="181" t="inlineStr">
        <is>
          <t>alpha-terpineol</t>
        </is>
      </c>
      <c r="B479" s="181" t="inlineStr">
        <is>
          <t>α-terpineol</t>
        </is>
      </c>
      <c r="C479" s="181" t="str"/>
      <c r="D479" s="181" t="inlineStr">
        <is>
          <t>other</t>
        </is>
      </c>
      <c r="E479" s="181" t="inlineStr">
        <is>
          <t>insufficient evidence</t>
        </is>
      </c>
      <c r="F479" s="181" t="inlineStr">
        <is>
          <t>multi-target signaling modulation</t>
        </is>
      </c>
      <c r="G479" s="181" t="inlineStr">
        <is>
          <t>general or unknown targets</t>
        </is>
      </c>
      <c r="H479" s="181" t="inlineStr">
        <is>
          <t>Inhalation/topical; calming and antiseptic</t>
        </is>
      </c>
      <c r="I479" s="181" t="inlineStr">
        <is>
          <t>low</t>
        </is>
      </c>
      <c r="J479" s="181" t="inlineStr">
        <is>
          <t>no well-documented interactions</t>
        </is>
      </c>
      <c r="K479" s="181" t="str"/>
      <c r="L479" s="181" t="inlineStr">
        <is>
          <t>compound_level</t>
        </is>
      </c>
      <c r="M479" s="181" t="inlineStr">
        <is>
          <t>https://plants.sc.egov.usda.gov/home/search?query=Bursera%20graveolens | https://pubchem.ncbi.nlm.nih.gov/#query=alpha%20-terpineol</t>
        </is>
      </c>
      <c r="N479" s="181" t="inlineStr">
        <is>
          <t>inferred_plus_trusted_gov</t>
        </is>
      </c>
      <c r="O479" s="181" t="inlineStr">
        <is>
          <t>scientific name; PubChem compound page (NIH); USDA Plants database</t>
        </is>
      </c>
      <c r="P479" s="181" t="str"/>
      <c r="Q479" s="181" t="inlineStr">
        <is>
          <t>bursera-graveolens</t>
        </is>
      </c>
      <c r="R479" s="181" t="n">
        <v>1</v>
      </c>
      <c r="S479" s="181" t="inlineStr">
        <is>
          <t>Yes</t>
        </is>
      </c>
      <c r="T479" s="181" t="inlineStr">
        <is>
          <t>Integrated from cleaned high-signal dataset</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cols>
    <col width="18" customWidth="1" style="76" min="1" max="1"/>
    <col width="20" customWidth="1" style="76" min="2" max="2"/>
    <col width="24" customWidth="1" style="76" min="3" max="3"/>
    <col width="22" customWidth="1" style="76" min="4" max="4"/>
    <col width="22" customWidth="1" style="76" min="5" max="5"/>
    <col width="24" customWidth="1" style="76" min="6" max="6"/>
    <col width="14" customWidth="1" style="76" min="7" max="7"/>
    <col width="18" customWidth="1" style="76" min="8" max="8"/>
    <col width="10" customWidth="1" style="76" min="9" max="9"/>
    <col width="24" customWidth="1" style="76" min="10" max="10"/>
    <col width="20" customWidth="1" style="76" min="11" max="11"/>
  </cols>
  <sheetData>
    <row r="1" ht="24" customHeight="1" s="76">
      <c r="A1" s="122" t="inlineStr">
        <is>
          <t>herbSlug</t>
        </is>
      </c>
      <c r="B1" s="122" t="inlineStr">
        <is>
          <t>herbName</t>
        </is>
      </c>
      <c r="C1" s="122" t="inlineStr">
        <is>
          <t>rawCompound</t>
        </is>
      </c>
      <c r="D1" s="122" t="inlineStr">
        <is>
          <t>canonicalCompoundId</t>
        </is>
      </c>
      <c r="E1" s="122" t="inlineStr">
        <is>
          <t>canonicalCompoundName</t>
        </is>
      </c>
      <c r="F1" s="122" t="inlineStr">
        <is>
          <t>source</t>
        </is>
      </c>
      <c r="G1" s="122" t="inlineStr">
        <is>
          <t>matchType</t>
        </is>
      </c>
      <c r="H1" s="122" t="inlineStr">
        <is>
          <t>mappingConfidence</t>
        </is>
      </c>
      <c r="I1" s="122" t="inlineStr">
        <is>
          <t>compoundPresentInMaster</t>
        </is>
      </c>
      <c r="J1" s="122" t="inlineStr">
        <is>
          <t>pathwayTargets</t>
        </is>
      </c>
      <c r="K1" s="122" t="inlineStr">
        <is>
          <t>mechanismTags</t>
        </is>
      </c>
    </row>
    <row r="2">
      <c r="A2" s="181" t="inlineStr">
        <is>
          <t>ashwagandha</t>
        </is>
      </c>
      <c r="B2" s="181" t="inlineStr">
        <is>
          <t>Ashwagandha</t>
        </is>
      </c>
      <c r="C2" s="181" t="inlineStr">
        <is>
          <t>withaferin A</t>
        </is>
      </c>
      <c r="D2" s="181" t="inlineStr">
        <is>
          <t>withaferin a</t>
        </is>
      </c>
      <c r="E2" s="181" t="inlineStr">
        <is>
          <t>withaferin A</t>
        </is>
      </c>
      <c r="F2" s="181" t="inlineStr">
        <is>
          <t>herb_master_activeCompounds</t>
        </is>
      </c>
      <c r="G2" s="181" t="inlineStr">
        <is>
          <t>unmatched</t>
        </is>
      </c>
      <c r="H2" s="181" t="inlineStr">
        <is>
          <t>needs-normalization</t>
        </is>
      </c>
      <c r="I2" s="181" t="inlineStr">
        <is>
          <t>No</t>
        </is>
      </c>
      <c r="J2" s="181" t="str"/>
      <c r="K2" s="181" t="str"/>
    </row>
    <row r="3">
      <c r="A3" s="181" t="inlineStr">
        <is>
          <t>ashwagandha</t>
        </is>
      </c>
      <c r="B3" s="181" t="inlineStr">
        <is>
          <t>Ashwagandha</t>
        </is>
      </c>
      <c r="C3" s="181" t="inlineStr">
        <is>
          <t>withanolide D</t>
        </is>
      </c>
      <c r="D3" s="181" t="inlineStr">
        <is>
          <t>withanolide d</t>
        </is>
      </c>
      <c r="E3" s="181" t="inlineStr">
        <is>
          <t>withanolide d)</t>
        </is>
      </c>
      <c r="F3" s="181" t="inlineStr">
        <is>
          <t>herb_master_activeCompounds</t>
        </is>
      </c>
      <c r="G3" s="181" t="inlineStr">
        <is>
          <t>exact</t>
        </is>
      </c>
      <c r="H3" s="181" t="inlineStr">
        <is>
          <t>confirmed-in-herb-row</t>
        </is>
      </c>
      <c r="I3" s="181" t="inlineStr">
        <is>
          <t>Yes</t>
        </is>
      </c>
      <c r="J3" s="181" t="inlineStr">
        <is>
          <t>gabaergic_modulation; inflammatory_pathway_modulation</t>
        </is>
      </c>
      <c r="K3" s="181" t="inlineStr">
        <is>
          <t>COX/NF-kB inhibition; GABAergic modulation</t>
        </is>
      </c>
    </row>
    <row r="4">
      <c r="A4" s="181" t="inlineStr">
        <is>
          <t>ashwagandha</t>
        </is>
      </c>
      <c r="B4" s="181" t="inlineStr">
        <is>
          <t>Ashwagandha</t>
        </is>
      </c>
      <c r="C4" s="181" t="inlineStr">
        <is>
          <t>withanolide A</t>
        </is>
      </c>
      <c r="D4" s="181" t="inlineStr">
        <is>
          <t>withanolide a</t>
        </is>
      </c>
      <c r="E4" s="181" t="inlineStr">
        <is>
          <t>withanolide A</t>
        </is>
      </c>
      <c r="F4" s="181" t="inlineStr">
        <is>
          <t>herb_master_activeCompounds</t>
        </is>
      </c>
      <c r="G4" s="181" t="inlineStr">
        <is>
          <t>unmatched</t>
        </is>
      </c>
      <c r="H4" s="181" t="inlineStr">
        <is>
          <t>needs-normalization</t>
        </is>
      </c>
      <c r="I4" s="181" t="inlineStr">
        <is>
          <t>No</t>
        </is>
      </c>
      <c r="J4" s="181" t="str"/>
      <c r="K4" s="181" t="str"/>
    </row>
    <row r="5">
      <c r="A5" s="181" t="inlineStr">
        <is>
          <t>ashwagandha</t>
        </is>
      </c>
      <c r="B5" s="181" t="inlineStr">
        <is>
          <t>Ashwagandha</t>
        </is>
      </c>
      <c r="C5" s="181" t="inlineStr">
        <is>
          <t>withanoside IV</t>
        </is>
      </c>
      <c r="D5" s="181" t="inlineStr">
        <is>
          <t>withanoside iv</t>
        </is>
      </c>
      <c r="E5" s="181" t="inlineStr">
        <is>
          <t>withanoside IV</t>
        </is>
      </c>
      <c r="F5" s="181" t="inlineStr">
        <is>
          <t>herb_master_activeCompounds</t>
        </is>
      </c>
      <c r="G5" s="181" t="inlineStr">
        <is>
          <t>unmatched</t>
        </is>
      </c>
      <c r="H5" s="181" t="inlineStr">
        <is>
          <t>needs-normalization</t>
        </is>
      </c>
      <c r="I5" s="181" t="inlineStr">
        <is>
          <t>No</t>
        </is>
      </c>
      <c r="J5" s="181" t="str"/>
      <c r="K5" s="181" t="str"/>
    </row>
    <row r="6">
      <c r="A6" s="181" t="inlineStr">
        <is>
          <t>ashwagandha</t>
        </is>
      </c>
      <c r="B6" s="181" t="inlineStr">
        <is>
          <t>Ashwagandha</t>
        </is>
      </c>
      <c r="C6" s="181" t="inlineStr">
        <is>
          <t>sitoindosides</t>
        </is>
      </c>
      <c r="D6" s="181" t="inlineStr">
        <is>
          <t>sitoindosides</t>
        </is>
      </c>
      <c r="E6" s="181" t="inlineStr">
        <is>
          <t>sitoindosides</t>
        </is>
      </c>
      <c r="F6" s="181" t="inlineStr">
        <is>
          <t>herb_master_activeCompounds</t>
        </is>
      </c>
      <c r="G6" s="181" t="inlineStr">
        <is>
          <t>unmatched</t>
        </is>
      </c>
      <c r="H6" s="181" t="inlineStr">
        <is>
          <t>needs-normalization</t>
        </is>
      </c>
      <c r="I6" s="181" t="inlineStr">
        <is>
          <t>No</t>
        </is>
      </c>
      <c r="J6" s="181" t="str"/>
      <c r="K6" s="181" t="str"/>
    </row>
    <row r="7">
      <c r="A7" s="181" t="inlineStr">
        <is>
          <t>ashwagandha</t>
        </is>
      </c>
      <c r="B7" s="181" t="inlineStr">
        <is>
          <t>Ashwagandha</t>
        </is>
      </c>
      <c r="C7" s="181" t="inlineStr">
        <is>
          <t>alkaloids</t>
        </is>
      </c>
      <c r="D7" s="181" t="inlineStr">
        <is>
          <t>alkaloids</t>
        </is>
      </c>
      <c r="E7" s="181" t="inlineStr">
        <is>
          <t>alkaloids</t>
        </is>
      </c>
      <c r="F7" s="181" t="inlineStr">
        <is>
          <t>herb_master_activeCompounds</t>
        </is>
      </c>
      <c r="G7" s="181" t="inlineStr">
        <is>
          <t>unmatched</t>
        </is>
      </c>
      <c r="H7" s="181" t="inlineStr">
        <is>
          <t>needs-normalization</t>
        </is>
      </c>
      <c r="I7" s="181" t="inlineStr">
        <is>
          <t>No</t>
        </is>
      </c>
      <c r="J7" s="181" t="str"/>
      <c r="K7" s="181" t="str"/>
    </row>
    <row r="8">
      <c r="A8" s="181" t="inlineStr">
        <is>
          <t>black-cohosh</t>
        </is>
      </c>
      <c r="B8" s="181" t="inlineStr">
        <is>
          <t>Black Cohosh</t>
        </is>
      </c>
      <c r="C8" s="181" t="inlineStr">
        <is>
          <t>triterpene glycosides (actein, 23-epi-26-deoxyactein)</t>
        </is>
      </c>
      <c r="D8" s="181" t="inlineStr">
        <is>
          <t>triterpene glycosides actein 23-epi-26-deoxyactein</t>
        </is>
      </c>
      <c r="E8" s="181" t="inlineStr">
        <is>
          <t>triterpene glycosides (actein, 23-epi-26-deoxyactein)</t>
        </is>
      </c>
      <c r="F8" s="181" t="inlineStr">
        <is>
          <t>herb_master_activeCompounds</t>
        </is>
      </c>
      <c r="G8" s="181" t="inlineStr">
        <is>
          <t>unmatched</t>
        </is>
      </c>
      <c r="H8" s="181" t="inlineStr">
        <is>
          <t>needs-normalization</t>
        </is>
      </c>
      <c r="I8" s="181" t="inlineStr">
        <is>
          <t>No</t>
        </is>
      </c>
      <c r="J8" s="181" t="str"/>
      <c r="K8" s="181" t="str"/>
    </row>
    <row r="9">
      <c r="A9" s="181" t="inlineStr">
        <is>
          <t>black-cohosh</t>
        </is>
      </c>
      <c r="B9" s="181" t="inlineStr">
        <is>
          <t>Black Cohosh</t>
        </is>
      </c>
      <c r="C9" s="181" t="inlineStr">
        <is>
          <t>cimifugoside</t>
        </is>
      </c>
      <c r="D9" s="181" t="inlineStr">
        <is>
          <t>cimifugoside</t>
        </is>
      </c>
      <c r="E9" s="181" t="inlineStr">
        <is>
          <t>cimifugoside</t>
        </is>
      </c>
      <c r="F9" s="181" t="inlineStr">
        <is>
          <t>herb_master_activeCompounds</t>
        </is>
      </c>
      <c r="G9" s="181" t="inlineStr">
        <is>
          <t>unmatched</t>
        </is>
      </c>
      <c r="H9" s="181" t="inlineStr">
        <is>
          <t>needs-normalization</t>
        </is>
      </c>
      <c r="I9" s="181" t="inlineStr">
        <is>
          <t>No</t>
        </is>
      </c>
      <c r="J9" s="181" t="str"/>
      <c r="K9" s="181" t="str"/>
    </row>
    <row r="10">
      <c r="A10" s="181" t="inlineStr">
        <is>
          <t>black-cohosh</t>
        </is>
      </c>
      <c r="B10" s="181" t="inlineStr">
        <is>
          <t>Black Cohosh</t>
        </is>
      </c>
      <c r="C10" s="181" t="inlineStr">
        <is>
          <t>caffeic acid derivatives</t>
        </is>
      </c>
      <c r="D10" s="181" t="inlineStr">
        <is>
          <t>caffeic acid derivatives</t>
        </is>
      </c>
      <c r="E10" s="181" t="inlineStr">
        <is>
          <t>caffeic acid derivatives</t>
        </is>
      </c>
      <c r="F10" s="181" t="inlineStr">
        <is>
          <t>herb_master_activeCompounds</t>
        </is>
      </c>
      <c r="G10" s="181" t="inlineStr">
        <is>
          <t>unmatched</t>
        </is>
      </c>
      <c r="H10" s="181" t="inlineStr">
        <is>
          <t>needs-normalization</t>
        </is>
      </c>
      <c r="I10" s="181" t="inlineStr">
        <is>
          <t>No</t>
        </is>
      </c>
      <c r="J10" s="181" t="str"/>
      <c r="K10" s="181" t="str"/>
    </row>
    <row r="11">
      <c r="A11" s="181" t="inlineStr">
        <is>
          <t>black-cohosh</t>
        </is>
      </c>
      <c r="B11" s="181" t="inlineStr">
        <is>
          <t>Black Cohosh</t>
        </is>
      </c>
      <c r="C11" s="181" t="inlineStr">
        <is>
          <t>fukinolic acid</t>
        </is>
      </c>
      <c r="D11" s="181" t="inlineStr">
        <is>
          <t>fukinolic acid</t>
        </is>
      </c>
      <c r="E11" s="181" t="inlineStr">
        <is>
          <t>fukinolic acid</t>
        </is>
      </c>
      <c r="F11" s="181" t="inlineStr">
        <is>
          <t>herb_master_activeCompounds</t>
        </is>
      </c>
      <c r="G11" s="181" t="inlineStr">
        <is>
          <t>unmatched</t>
        </is>
      </c>
      <c r="H11" s="181" t="inlineStr">
        <is>
          <t>needs-normalization</t>
        </is>
      </c>
      <c r="I11" s="181" t="inlineStr">
        <is>
          <t>No</t>
        </is>
      </c>
      <c r="J11" s="181" t="str"/>
      <c r="K11" s="181" t="str"/>
    </row>
    <row r="12">
      <c r="A12" s="181" t="inlineStr">
        <is>
          <t>echinacea-purpurea</t>
        </is>
      </c>
      <c r="B12" s="181" t="inlineStr">
        <is>
          <t>Echinacea Purpurea</t>
        </is>
      </c>
      <c r="C12" s="181" t="inlineStr">
        <is>
          <t>alkamides</t>
        </is>
      </c>
      <c r="D12" s="181" t="inlineStr">
        <is>
          <t>alkamides</t>
        </is>
      </c>
      <c r="E12" s="181" t="inlineStr">
        <is>
          <t>alkamides</t>
        </is>
      </c>
      <c r="F12" s="181" t="inlineStr">
        <is>
          <t>herb_master_activeCompounds</t>
        </is>
      </c>
      <c r="G12" s="181" t="inlineStr">
        <is>
          <t>unmatched</t>
        </is>
      </c>
      <c r="H12" s="181" t="inlineStr">
        <is>
          <t>needs-normalization</t>
        </is>
      </c>
      <c r="I12" s="181" t="inlineStr">
        <is>
          <t>No</t>
        </is>
      </c>
      <c r="J12" s="181" t="str"/>
      <c r="K12" s="181" t="str"/>
    </row>
    <row r="13">
      <c r="A13" s="181" t="inlineStr">
        <is>
          <t>echinacea-purpurea</t>
        </is>
      </c>
      <c r="B13" s="181" t="inlineStr">
        <is>
          <t>Echinacea Purpurea</t>
        </is>
      </c>
      <c r="C13" s="181" t="inlineStr">
        <is>
          <t>chicoric acid</t>
        </is>
      </c>
      <c r="D13" s="181" t="inlineStr">
        <is>
          <t>chicoric acid</t>
        </is>
      </c>
      <c r="E13" s="181" t="inlineStr">
        <is>
          <t>chicoric acid</t>
        </is>
      </c>
      <c r="F13" s="181" t="inlineStr">
        <is>
          <t>herb_master_activeCompounds</t>
        </is>
      </c>
      <c r="G13" s="181" t="inlineStr">
        <is>
          <t>unmatched</t>
        </is>
      </c>
      <c r="H13" s="181" t="inlineStr">
        <is>
          <t>needs-normalization</t>
        </is>
      </c>
      <c r="I13" s="181" t="inlineStr">
        <is>
          <t>No</t>
        </is>
      </c>
      <c r="J13" s="181" t="str"/>
      <c r="K13" s="181" t="str"/>
    </row>
    <row r="14">
      <c r="A14" s="181" t="inlineStr">
        <is>
          <t>echinacea-purpurea</t>
        </is>
      </c>
      <c r="B14" s="181" t="inlineStr">
        <is>
          <t>Echinacea Purpurea</t>
        </is>
      </c>
      <c r="C14" s="181" t="inlineStr">
        <is>
          <t>echinacoside</t>
        </is>
      </c>
      <c r="D14" s="181" t="inlineStr">
        <is>
          <t>echinacoside</t>
        </is>
      </c>
      <c r="E14" s="181" t="inlineStr">
        <is>
          <t>echinacoside</t>
        </is>
      </c>
      <c r="F14" s="181" t="inlineStr">
        <is>
          <t>herb_master_activeCompounds</t>
        </is>
      </c>
      <c r="G14" s="181" t="inlineStr">
        <is>
          <t>unmatched</t>
        </is>
      </c>
      <c r="H14" s="181" t="inlineStr">
        <is>
          <t>needs-normalization</t>
        </is>
      </c>
      <c r="I14" s="181" t="inlineStr">
        <is>
          <t>No</t>
        </is>
      </c>
      <c r="J14" s="181" t="str"/>
      <c r="K14" s="181" t="str"/>
    </row>
    <row r="15">
      <c r="A15" s="181" t="inlineStr">
        <is>
          <t>echinacea-purpurea</t>
        </is>
      </c>
      <c r="B15" s="181" t="inlineStr">
        <is>
          <t>Echinacea Purpurea</t>
        </is>
      </c>
      <c r="C15" s="181" t="inlineStr">
        <is>
          <t>caffeic acid</t>
        </is>
      </c>
      <c r="D15" s="181" t="inlineStr">
        <is>
          <t>caffeic acid</t>
        </is>
      </c>
      <c r="E15" s="181" t="inlineStr">
        <is>
          <t>caffeic acid</t>
        </is>
      </c>
      <c r="F15" s="181" t="inlineStr">
        <is>
          <t>herb_master_activeCompounds</t>
        </is>
      </c>
      <c r="G15" s="181" t="inlineStr">
        <is>
          <t>unmatched</t>
        </is>
      </c>
      <c r="H15" s="181" t="inlineStr">
        <is>
          <t>needs-normalization</t>
        </is>
      </c>
      <c r="I15" s="181" t="inlineStr">
        <is>
          <t>No</t>
        </is>
      </c>
      <c r="J15" s="181" t="str"/>
      <c r="K15" s="181" t="str"/>
    </row>
    <row r="16">
      <c r="A16" s="181" t="inlineStr">
        <is>
          <t>echinacea-purpurea</t>
        </is>
      </c>
      <c r="B16" s="181" t="inlineStr">
        <is>
          <t>Echinacea Purpurea</t>
        </is>
      </c>
      <c r="C16" s="181" t="inlineStr">
        <is>
          <t>cynarin</t>
        </is>
      </c>
      <c r="D16" s="181" t="inlineStr">
        <is>
          <t>cynarin</t>
        </is>
      </c>
      <c r="E16" s="181" t="inlineStr">
        <is>
          <t>cynarin</t>
        </is>
      </c>
      <c r="F16" s="181" t="inlineStr">
        <is>
          <t>herb_master_activeCompounds</t>
        </is>
      </c>
      <c r="G16" s="181" t="inlineStr">
        <is>
          <t>exact</t>
        </is>
      </c>
      <c r="H16" s="181" t="inlineStr">
        <is>
          <t>confirmed-in-herb-row</t>
        </is>
      </c>
      <c r="I16" s="181" t="inlineStr">
        <is>
          <t>Yes</t>
        </is>
      </c>
      <c r="J16" s="181" t="inlineStr">
        <is>
          <t>general or unknown targets</t>
        </is>
      </c>
      <c r="K16" s="181" t="inlineStr">
        <is>
          <t>multi-target signaling modulation</t>
        </is>
      </c>
    </row>
    <row r="17">
      <c r="A17" s="181" t="inlineStr">
        <is>
          <t>garlic</t>
        </is>
      </c>
      <c r="B17" s="181" t="inlineStr">
        <is>
          <t>Garlic</t>
        </is>
      </c>
      <c r="C17" s="181" t="inlineStr">
        <is>
          <t>diallyl sulfide</t>
        </is>
      </c>
      <c r="D17" s="181" t="inlineStr">
        <is>
          <t>diallyl sulfide</t>
        </is>
      </c>
      <c r="E17" s="181" t="inlineStr">
        <is>
          <t>diallyl sulfide</t>
        </is>
      </c>
      <c r="F17" s="181" t="inlineStr">
        <is>
          <t>herb_master_activeCompounds</t>
        </is>
      </c>
      <c r="G17" s="181" t="inlineStr">
        <is>
          <t>unmatched</t>
        </is>
      </c>
      <c r="H17" s="181" t="inlineStr">
        <is>
          <t>needs-normalization</t>
        </is>
      </c>
      <c r="I17" s="181" t="inlineStr">
        <is>
          <t>No</t>
        </is>
      </c>
      <c r="J17" s="181" t="str"/>
      <c r="K17" s="181" t="str"/>
    </row>
    <row r="18">
      <c r="A18" s="181" t="inlineStr">
        <is>
          <t>garlic</t>
        </is>
      </c>
      <c r="B18" s="181" t="inlineStr">
        <is>
          <t>Garlic</t>
        </is>
      </c>
      <c r="C18" s="181" t="inlineStr">
        <is>
          <t>diallyl disulfide</t>
        </is>
      </c>
      <c r="D18" s="181" t="inlineStr">
        <is>
          <t>diallyl disulfide</t>
        </is>
      </c>
      <c r="E18" s="181" t="inlineStr">
        <is>
          <t>diallyl disulfide</t>
        </is>
      </c>
      <c r="F18" s="181" t="inlineStr">
        <is>
          <t>herb_master_activeCompounds</t>
        </is>
      </c>
      <c r="G18" s="181" t="inlineStr">
        <is>
          <t>unmatched</t>
        </is>
      </c>
      <c r="H18" s="181" t="inlineStr">
        <is>
          <t>needs-normalization</t>
        </is>
      </c>
      <c r="I18" s="181" t="inlineStr">
        <is>
          <t>No</t>
        </is>
      </c>
      <c r="J18" s="181" t="str"/>
      <c r="K18" s="181" t="str"/>
    </row>
    <row r="19">
      <c r="A19" s="181" t="inlineStr">
        <is>
          <t>garlic</t>
        </is>
      </c>
      <c r="B19" s="181" t="inlineStr">
        <is>
          <t>Garlic</t>
        </is>
      </c>
      <c r="C19" s="181" t="inlineStr">
        <is>
          <t>diallyl trisulfide</t>
        </is>
      </c>
      <c r="D19" s="181" t="inlineStr">
        <is>
          <t>diallyl trisulfide</t>
        </is>
      </c>
      <c r="E19" s="181" t="inlineStr">
        <is>
          <t>diallyl trisulfide</t>
        </is>
      </c>
      <c r="F19" s="181" t="inlineStr">
        <is>
          <t>herb_master_activeCompounds</t>
        </is>
      </c>
      <c r="G19" s="181" t="inlineStr">
        <is>
          <t>unmatched</t>
        </is>
      </c>
      <c r="H19" s="181" t="inlineStr">
        <is>
          <t>needs-normalization</t>
        </is>
      </c>
      <c r="I19" s="181" t="inlineStr">
        <is>
          <t>No</t>
        </is>
      </c>
      <c r="J19" s="181" t="str"/>
      <c r="K19" s="181" t="str"/>
    </row>
    <row r="20">
      <c r="A20" s="181" t="inlineStr">
        <is>
          <t>garlic</t>
        </is>
      </c>
      <c r="B20" s="181" t="inlineStr">
        <is>
          <t>Garlic</t>
        </is>
      </c>
      <c r="C20" s="181" t="inlineStr">
        <is>
          <t>ajoene</t>
        </is>
      </c>
      <c r="D20" s="181" t="inlineStr">
        <is>
          <t>ajoene</t>
        </is>
      </c>
      <c r="E20" s="181" t="inlineStr">
        <is>
          <t>ajoene</t>
        </is>
      </c>
      <c r="F20" s="181" t="inlineStr">
        <is>
          <t>herb_master_activeCompounds</t>
        </is>
      </c>
      <c r="G20" s="181" t="inlineStr">
        <is>
          <t>exact</t>
        </is>
      </c>
      <c r="H20" s="181" t="inlineStr">
        <is>
          <t>confirmed-in-herb-row</t>
        </is>
      </c>
      <c r="I20" s="181" t="inlineStr">
        <is>
          <t>Yes</t>
        </is>
      </c>
      <c r="J20" s="181" t="inlineStr">
        <is>
          <t>general or unknown targets</t>
        </is>
      </c>
      <c r="K20" s="181" t="inlineStr">
        <is>
          <t>multi-target signaling modulation</t>
        </is>
      </c>
    </row>
    <row r="21">
      <c r="A21" s="181" t="inlineStr">
        <is>
          <t>garlic</t>
        </is>
      </c>
      <c r="B21" s="181" t="inlineStr">
        <is>
          <t>Garlic</t>
        </is>
      </c>
      <c r="C21" s="181" t="inlineStr">
        <is>
          <t>S‑allyl‑cysteine</t>
        </is>
      </c>
      <c r="D21" s="181" t="inlineStr">
        <is>
          <t>s-allyl-cysteine</t>
        </is>
      </c>
      <c r="E21" s="181" t="inlineStr">
        <is>
          <t>S‑allyl‑cysteine</t>
        </is>
      </c>
      <c r="F21" s="181" t="inlineStr">
        <is>
          <t>herb_master_activeCompounds</t>
        </is>
      </c>
      <c r="G21" s="181" t="inlineStr">
        <is>
          <t>unmatched</t>
        </is>
      </c>
      <c r="H21" s="181" t="inlineStr">
        <is>
          <t>needs-normalization</t>
        </is>
      </c>
      <c r="I21" s="181" t="inlineStr">
        <is>
          <t>No</t>
        </is>
      </c>
      <c r="J21" s="181" t="str"/>
      <c r="K21" s="181" t="str"/>
    </row>
    <row r="22">
      <c r="A22" s="181" t="inlineStr">
        <is>
          <t>ginger</t>
        </is>
      </c>
      <c r="B22" s="181" t="inlineStr">
        <is>
          <t>Ginger</t>
        </is>
      </c>
      <c r="C22" s="181" t="inlineStr">
        <is>
          <t>[6]-gingerol</t>
        </is>
      </c>
      <c r="D22" s="181" t="inlineStr">
        <is>
          <t>6-gingerol</t>
        </is>
      </c>
      <c r="E22" s="181" t="inlineStr">
        <is>
          <t>6-gingerol</t>
        </is>
      </c>
      <c r="F22" s="181" t="inlineStr">
        <is>
          <t>herb_master_activeCompounds</t>
        </is>
      </c>
      <c r="G22" s="181" t="inlineStr">
        <is>
          <t>exact</t>
        </is>
      </c>
      <c r="H22" s="181" t="inlineStr">
        <is>
          <t>confirmed-in-herb-row</t>
        </is>
      </c>
      <c r="I22" s="181" t="inlineStr">
        <is>
          <t>Yes</t>
        </is>
      </c>
      <c r="J22" s="181" t="inlineStr">
        <is>
          <t>inflammatory_pathway_modulation</t>
        </is>
      </c>
      <c r="K22" s="181" t="inlineStr">
        <is>
          <t>COX/NF-kB inhibition</t>
        </is>
      </c>
    </row>
    <row r="23">
      <c r="A23" s="181" t="inlineStr">
        <is>
          <t>ginger</t>
        </is>
      </c>
      <c r="B23" s="181" t="inlineStr">
        <is>
          <t>Ginger</t>
        </is>
      </c>
      <c r="C23" s="181" t="inlineStr">
        <is>
          <t>shogaols</t>
        </is>
      </c>
      <c r="D23" s="181" t="inlineStr">
        <is>
          <t>shogaols</t>
        </is>
      </c>
      <c r="E23" s="181" t="inlineStr">
        <is>
          <t>shogaols</t>
        </is>
      </c>
      <c r="F23" s="181" t="inlineStr">
        <is>
          <t>herb_master_activeCompounds</t>
        </is>
      </c>
      <c r="G23" s="181" t="inlineStr">
        <is>
          <t>unmatched</t>
        </is>
      </c>
      <c r="H23" s="181" t="inlineStr">
        <is>
          <t>needs-normalization</t>
        </is>
      </c>
      <c r="I23" s="181" t="inlineStr">
        <is>
          <t>No</t>
        </is>
      </c>
      <c r="J23" s="181" t="str"/>
      <c r="K23" s="181" t="str"/>
    </row>
    <row r="24">
      <c r="A24" s="181" t="inlineStr">
        <is>
          <t>ginger</t>
        </is>
      </c>
      <c r="B24" s="181" t="inlineStr">
        <is>
          <t>Ginger</t>
        </is>
      </c>
      <c r="C24" s="181" t="inlineStr">
        <is>
          <t>zingerone</t>
        </is>
      </c>
      <c r="D24" s="181" t="inlineStr">
        <is>
          <t>zingerone</t>
        </is>
      </c>
      <c r="E24" s="181" t="inlineStr">
        <is>
          <t>zingerone</t>
        </is>
      </c>
      <c r="F24" s="181" t="inlineStr">
        <is>
          <t>herb_master_activeCompounds</t>
        </is>
      </c>
      <c r="G24" s="181" t="inlineStr">
        <is>
          <t>exact</t>
        </is>
      </c>
      <c r="H24" s="181" t="inlineStr">
        <is>
          <t>confirmed-in-herb-row</t>
        </is>
      </c>
      <c r="I24" s="181" t="inlineStr">
        <is>
          <t>Yes</t>
        </is>
      </c>
      <c r="J24" s="181" t="inlineStr">
        <is>
          <t>inflammatory_pathway_modulation</t>
        </is>
      </c>
      <c r="K24" s="181" t="inlineStr">
        <is>
          <t>COX/NF-kB inhibition</t>
        </is>
      </c>
    </row>
    <row r="25">
      <c r="A25" s="181" t="inlineStr">
        <is>
          <t>ginger</t>
        </is>
      </c>
      <c r="B25" s="181" t="inlineStr">
        <is>
          <t>Ginger</t>
        </is>
      </c>
      <c r="C25" s="181" t="inlineStr">
        <is>
          <t>paradols</t>
        </is>
      </c>
      <c r="D25" s="181" t="inlineStr">
        <is>
          <t>paradols</t>
        </is>
      </c>
      <c r="E25" s="181" t="inlineStr">
        <is>
          <t>paradols</t>
        </is>
      </c>
      <c r="F25" s="181" t="inlineStr">
        <is>
          <t>herb_master_activeCompounds</t>
        </is>
      </c>
      <c r="G25" s="181" t="inlineStr">
        <is>
          <t>unmatched</t>
        </is>
      </c>
      <c r="H25" s="181" t="inlineStr">
        <is>
          <t>needs-normalization</t>
        </is>
      </c>
      <c r="I25" s="181" t="inlineStr">
        <is>
          <t>No</t>
        </is>
      </c>
      <c r="J25" s="181" t="str"/>
      <c r="K25" s="181" t="str"/>
    </row>
    <row r="26">
      <c r="A26" s="181" t="inlineStr">
        <is>
          <t>ginkgo-biloba</t>
        </is>
      </c>
      <c r="B26" s="181" t="inlineStr">
        <is>
          <t>Ginkgo Biloba</t>
        </is>
      </c>
      <c r="C26" s="181" t="inlineStr">
        <is>
          <t>ginkgolides A, B, C, J</t>
        </is>
      </c>
      <c r="D26" s="181" t="inlineStr">
        <is>
          <t>ginkgolides a b c j</t>
        </is>
      </c>
      <c r="E26" s="181" t="inlineStr">
        <is>
          <t>ginkgolides A, B, C, J</t>
        </is>
      </c>
      <c r="F26" s="181" t="inlineStr">
        <is>
          <t>herb_master_activeCompounds</t>
        </is>
      </c>
      <c r="G26" s="181" t="inlineStr">
        <is>
          <t>unmatched</t>
        </is>
      </c>
      <c r="H26" s="181" t="inlineStr">
        <is>
          <t>needs-normalization</t>
        </is>
      </c>
      <c r="I26" s="181" t="inlineStr">
        <is>
          <t>No</t>
        </is>
      </c>
      <c r="J26" s="181" t="str"/>
      <c r="K26" s="181" t="str"/>
    </row>
    <row r="27">
      <c r="A27" s="181" t="inlineStr">
        <is>
          <t>ginkgo-biloba</t>
        </is>
      </c>
      <c r="B27" s="181" t="inlineStr">
        <is>
          <t>Ginkgo Biloba</t>
        </is>
      </c>
      <c r="C27" s="181" t="inlineStr">
        <is>
          <t>bilobalide</t>
        </is>
      </c>
      <c r="D27" s="181" t="inlineStr">
        <is>
          <t>bilobalide</t>
        </is>
      </c>
      <c r="E27" s="181" t="inlineStr">
        <is>
          <t>bilobalide</t>
        </is>
      </c>
      <c r="F27" s="181" t="inlineStr">
        <is>
          <t>herb_master_activeCompounds</t>
        </is>
      </c>
      <c r="G27" s="181" t="inlineStr">
        <is>
          <t>exact</t>
        </is>
      </c>
      <c r="H27" s="181" t="inlineStr">
        <is>
          <t>confirmed-in-herb-row</t>
        </is>
      </c>
      <c r="I27" s="181" t="inlineStr">
        <is>
          <t>Yes</t>
        </is>
      </c>
      <c r="J27" s="181" t="inlineStr">
        <is>
          <t>gabaergic_modulation</t>
        </is>
      </c>
      <c r="K27" s="181" t="inlineStr">
        <is>
          <t>GABAergic modulation</t>
        </is>
      </c>
    </row>
    <row r="28">
      <c r="A28" s="181" t="inlineStr">
        <is>
          <t>ginkgo-biloba</t>
        </is>
      </c>
      <c r="B28" s="181" t="inlineStr">
        <is>
          <t>Ginkgo Biloba</t>
        </is>
      </c>
      <c r="C28" s="181" t="inlineStr">
        <is>
          <t>ginkgetin</t>
        </is>
      </c>
      <c r="D28" s="181" t="inlineStr">
        <is>
          <t>ginkgetin</t>
        </is>
      </c>
      <c r="E28" s="181" t="inlineStr">
        <is>
          <t>ginkgetin</t>
        </is>
      </c>
      <c r="F28" s="181" t="inlineStr">
        <is>
          <t>herb_master_activeCompounds</t>
        </is>
      </c>
      <c r="G28" s="181" t="inlineStr">
        <is>
          <t>unmatched</t>
        </is>
      </c>
      <c r="H28" s="181" t="inlineStr">
        <is>
          <t>needs-normalization</t>
        </is>
      </c>
      <c r="I28" s="181" t="inlineStr">
        <is>
          <t>No</t>
        </is>
      </c>
      <c r="J28" s="181" t="str"/>
      <c r="K28" s="181" t="str"/>
    </row>
    <row r="29">
      <c r="A29" s="181" t="inlineStr">
        <is>
          <t>ginkgo-biloba</t>
        </is>
      </c>
      <c r="B29" s="181" t="inlineStr">
        <is>
          <t>Ginkgo Biloba</t>
        </is>
      </c>
      <c r="C29" s="181" t="inlineStr">
        <is>
          <t>bilobetin</t>
        </is>
      </c>
      <c r="D29" s="181" t="inlineStr">
        <is>
          <t>bilobetin</t>
        </is>
      </c>
      <c r="E29" s="181" t="inlineStr">
        <is>
          <t>bilobetin</t>
        </is>
      </c>
      <c r="F29" s="181" t="inlineStr">
        <is>
          <t>herb_master_activeCompounds</t>
        </is>
      </c>
      <c r="G29" s="181" t="inlineStr">
        <is>
          <t>unmatched</t>
        </is>
      </c>
      <c r="H29" s="181" t="inlineStr">
        <is>
          <t>needs-normalization</t>
        </is>
      </c>
      <c r="I29" s="181" t="inlineStr">
        <is>
          <t>No</t>
        </is>
      </c>
      <c r="J29" s="181" t="str"/>
      <c r="K29" s="181" t="str"/>
    </row>
    <row r="30">
      <c r="A30" s="181" t="inlineStr">
        <is>
          <t>ginkgo-biloba</t>
        </is>
      </c>
      <c r="B30" s="181" t="inlineStr">
        <is>
          <t>Ginkgo Biloba</t>
        </is>
      </c>
      <c r="C30" s="181" t="inlineStr">
        <is>
          <t>sciadopitysin</t>
        </is>
      </c>
      <c r="D30" s="181" t="inlineStr">
        <is>
          <t>sciadopitysin</t>
        </is>
      </c>
      <c r="E30" s="181" t="inlineStr">
        <is>
          <t>sciadopitysin</t>
        </is>
      </c>
      <c r="F30" s="181" t="inlineStr">
        <is>
          <t>herb_master_activeCompounds</t>
        </is>
      </c>
      <c r="G30" s="181" t="inlineStr">
        <is>
          <t>unmatched</t>
        </is>
      </c>
      <c r="H30" s="181" t="inlineStr">
        <is>
          <t>needs-normalization</t>
        </is>
      </c>
      <c r="I30" s="181" t="inlineStr">
        <is>
          <t>No</t>
        </is>
      </c>
      <c r="J30" s="181" t="str"/>
      <c r="K30" s="181" t="str"/>
    </row>
    <row r="31">
      <c r="A31" s="181" t="inlineStr">
        <is>
          <t>holy-basil</t>
        </is>
      </c>
      <c r="B31" s="181" t="inlineStr">
        <is>
          <t>Holy Basil</t>
        </is>
      </c>
      <c r="C31" s="181" t="inlineStr">
        <is>
          <t>eugenol</t>
        </is>
      </c>
      <c r="D31" s="181" t="inlineStr">
        <is>
          <t>eugenol</t>
        </is>
      </c>
      <c r="E31" s="181" t="inlineStr">
        <is>
          <t>eugenol</t>
        </is>
      </c>
      <c r="F31" s="181" t="inlineStr">
        <is>
          <t>herb_master_activeCompounds</t>
        </is>
      </c>
      <c r="G31" s="181" t="inlineStr">
        <is>
          <t>exact</t>
        </is>
      </c>
      <c r="H31" s="181" t="inlineStr">
        <is>
          <t>confirmed-in-herb-row</t>
        </is>
      </c>
      <c r="I31" s="181" t="inlineStr">
        <is>
          <t>Yes</t>
        </is>
      </c>
      <c r="J31" s="181" t="inlineStr">
        <is>
          <t>NF-kB pathway inhibition; PLCγ2-PKC pathway inhibition; TRPV1 activation; cPLA2-TxA2 pathway inhibition; gabaergic_modulation; general or unknown targets; inflammatory_pathway_modulation; voltage-gated sodium channel inhibition</t>
        </is>
      </c>
      <c r="K31" s="181" t="inlineStr">
        <is>
          <t>COX/NF-kB inhibition; GABAergic modulation; multi-target signaling modulation</t>
        </is>
      </c>
    </row>
    <row r="32">
      <c r="A32" s="181" t="inlineStr">
        <is>
          <t>holy-basil</t>
        </is>
      </c>
      <c r="B32" s="181" t="inlineStr">
        <is>
          <t>Holy Basil</t>
        </is>
      </c>
      <c r="C32" s="181" t="inlineStr">
        <is>
          <t>ursolic acid</t>
        </is>
      </c>
      <c r="D32" s="181" t="inlineStr">
        <is>
          <t>ursolic acid</t>
        </is>
      </c>
      <c r="E32" s="181" t="inlineStr">
        <is>
          <t>ursolic acid</t>
        </is>
      </c>
      <c r="F32" s="181" t="inlineStr">
        <is>
          <t>herb_master_activeCompounds</t>
        </is>
      </c>
      <c r="G32" s="181" t="inlineStr">
        <is>
          <t>exact</t>
        </is>
      </c>
      <c r="H32" s="181" t="inlineStr">
        <is>
          <t>confirmed-in-herb-row</t>
        </is>
      </c>
      <c r="I32" s="181" t="inlineStr">
        <is>
          <t>Yes</t>
        </is>
      </c>
      <c r="J32" s="181" t="inlineStr">
        <is>
          <t>general or unknown targets; inflammatory_pathway_modulation</t>
        </is>
      </c>
      <c r="K32" s="181" t="inlineStr">
        <is>
          <t>COX/NF-kB inhibition; multi-target signaling modulation</t>
        </is>
      </c>
    </row>
    <row r="33">
      <c r="A33" s="181" t="inlineStr">
        <is>
          <t>holy-basil</t>
        </is>
      </c>
      <c r="B33" s="181" t="inlineStr">
        <is>
          <t>Holy Basil</t>
        </is>
      </c>
      <c r="C33" s="181" t="inlineStr">
        <is>
          <t>rosmarinic acid</t>
        </is>
      </c>
      <c r="D33" s="181" t="inlineStr">
        <is>
          <t>rosmarinic acid</t>
        </is>
      </c>
      <c r="E33" s="181" t="inlineStr">
        <is>
          <t>rosmarinic acid</t>
        </is>
      </c>
      <c r="F33" s="181" t="inlineStr">
        <is>
          <t>herb_master_activeCompounds</t>
        </is>
      </c>
      <c r="G33" s="181" t="inlineStr">
        <is>
          <t>exact</t>
        </is>
      </c>
      <c r="H33" s="181" t="inlineStr">
        <is>
          <t>confirmed-in-herb-row</t>
        </is>
      </c>
      <c r="I33" s="181" t="inlineStr">
        <is>
          <t>Yes</t>
        </is>
      </c>
      <c r="J33" s="181" t="inlineStr">
        <is>
          <t>gabaergic_modulation; general or unknown targets; inflammatory_pathway_modulation</t>
        </is>
      </c>
      <c r="K33" s="181" t="inlineStr">
        <is>
          <t>COX/NF-kB inhibition; GABAergic modulation; multi-target signaling modulation</t>
        </is>
      </c>
    </row>
    <row r="34">
      <c r="A34" s="181" t="inlineStr">
        <is>
          <t>kava</t>
        </is>
      </c>
      <c r="B34" s="181" t="inlineStr">
        <is>
          <t>Kava</t>
        </is>
      </c>
      <c r="C34" s="181" t="inlineStr">
        <is>
          <t>kavain</t>
        </is>
      </c>
      <c r="D34" s="181" t="inlineStr">
        <is>
          <t>kavain</t>
        </is>
      </c>
      <c r="E34" s="181" t="inlineStr">
        <is>
          <t>kavain</t>
        </is>
      </c>
      <c r="F34" s="181" t="inlineStr">
        <is>
          <t>herb_master_activeCompounds</t>
        </is>
      </c>
      <c r="G34" s="181" t="inlineStr">
        <is>
          <t>exact</t>
        </is>
      </c>
      <c r="H34" s="181" t="inlineStr">
        <is>
          <t>confirmed-in-herb-row</t>
        </is>
      </c>
      <c r="I34" s="181" t="inlineStr">
        <is>
          <t>Yes</t>
        </is>
      </c>
      <c r="J34" s="181" t="inlineStr">
        <is>
          <t>dopaminergic_modulation; gabaergic_modulation</t>
        </is>
      </c>
      <c r="K34" s="181" t="inlineStr">
        <is>
          <t>GABAergic modulation; multi-target signaling modulation</t>
        </is>
      </c>
    </row>
    <row r="35">
      <c r="A35" s="181" t="inlineStr">
        <is>
          <t>kava</t>
        </is>
      </c>
      <c r="B35" s="181" t="inlineStr">
        <is>
          <t>Kava</t>
        </is>
      </c>
      <c r="C35" s="181" t="inlineStr">
        <is>
          <t>dihydrokavain</t>
        </is>
      </c>
      <c r="D35" s="181" t="inlineStr">
        <is>
          <t>dihydrokavain</t>
        </is>
      </c>
      <c r="E35" s="181" t="inlineStr">
        <is>
          <t>dihydrokavain</t>
        </is>
      </c>
      <c r="F35" s="181" t="inlineStr">
        <is>
          <t>herb_master_activeCompounds</t>
        </is>
      </c>
      <c r="G35" s="181" t="inlineStr">
        <is>
          <t>exact</t>
        </is>
      </c>
      <c r="H35" s="181" t="inlineStr">
        <is>
          <t>confirmed-in-herb-row</t>
        </is>
      </c>
      <c r="I35" s="181" t="inlineStr">
        <is>
          <t>Yes</t>
        </is>
      </c>
      <c r="J35" s="181" t="inlineStr">
        <is>
          <t>dopaminergic_modulation; gabaergic_modulation</t>
        </is>
      </c>
      <c r="K35" s="181" t="inlineStr">
        <is>
          <t>GABAergic modulation; multi-target signaling modulation</t>
        </is>
      </c>
    </row>
    <row r="36">
      <c r="A36" s="181" t="inlineStr">
        <is>
          <t>kava</t>
        </is>
      </c>
      <c r="B36" s="181" t="inlineStr">
        <is>
          <t>Kava</t>
        </is>
      </c>
      <c r="C36" s="181" t="inlineStr">
        <is>
          <t>methysticin</t>
        </is>
      </c>
      <c r="D36" s="181" t="inlineStr">
        <is>
          <t>methysticin</t>
        </is>
      </c>
      <c r="E36" s="181" t="inlineStr">
        <is>
          <t>methysticin</t>
        </is>
      </c>
      <c r="F36" s="181" t="inlineStr">
        <is>
          <t>herb_master_activeCompounds</t>
        </is>
      </c>
      <c r="G36" s="181" t="inlineStr">
        <is>
          <t>exact</t>
        </is>
      </c>
      <c r="H36" s="181" t="inlineStr">
        <is>
          <t>confirmed-in-herb-row</t>
        </is>
      </c>
      <c r="I36" s="181" t="inlineStr">
        <is>
          <t>Yes</t>
        </is>
      </c>
      <c r="J36" s="181" t="inlineStr">
        <is>
          <t>dopaminergic_modulation; gabaergic_modulation</t>
        </is>
      </c>
      <c r="K36" s="181" t="inlineStr">
        <is>
          <t>GABAergic modulation; multi-target signaling modulation</t>
        </is>
      </c>
    </row>
    <row r="37">
      <c r="A37" s="181" t="inlineStr">
        <is>
          <t>kava</t>
        </is>
      </c>
      <c r="B37" s="181" t="inlineStr">
        <is>
          <t>Kava</t>
        </is>
      </c>
      <c r="C37" s="181" t="inlineStr">
        <is>
          <t>dihydromethysticin</t>
        </is>
      </c>
      <c r="D37" s="181" t="inlineStr">
        <is>
          <t>dihydromethysticin</t>
        </is>
      </c>
      <c r="E37" s="181" t="inlineStr">
        <is>
          <t>dihydromethysticin</t>
        </is>
      </c>
      <c r="F37" s="181" t="inlineStr">
        <is>
          <t>herb_master_activeCompounds</t>
        </is>
      </c>
      <c r="G37" s="181" t="inlineStr">
        <is>
          <t>exact</t>
        </is>
      </c>
      <c r="H37" s="181" t="inlineStr">
        <is>
          <t>confirmed-in-herb-row</t>
        </is>
      </c>
      <c r="I37" s="181" t="inlineStr">
        <is>
          <t>Yes</t>
        </is>
      </c>
      <c r="J37" s="181" t="inlineStr">
        <is>
          <t>dopaminergic_modulation; gabaergic_modulation</t>
        </is>
      </c>
      <c r="K37" s="181" t="inlineStr">
        <is>
          <t>multi-target signaling modulation</t>
        </is>
      </c>
    </row>
    <row r="38">
      <c r="A38" s="181" t="inlineStr">
        <is>
          <t>kava</t>
        </is>
      </c>
      <c r="B38" s="181" t="inlineStr">
        <is>
          <t>Kava</t>
        </is>
      </c>
      <c r="C38" s="181" t="inlineStr">
        <is>
          <t>yangonin</t>
        </is>
      </c>
      <c r="D38" s="181" t="inlineStr">
        <is>
          <t>yangonin</t>
        </is>
      </c>
      <c r="E38" s="181" t="inlineStr">
        <is>
          <t>yangonin</t>
        </is>
      </c>
      <c r="F38" s="181" t="inlineStr">
        <is>
          <t>herb_master_activeCompounds</t>
        </is>
      </c>
      <c r="G38" s="181" t="inlineStr">
        <is>
          <t>exact</t>
        </is>
      </c>
      <c r="H38" s="181" t="inlineStr">
        <is>
          <t>confirmed-in-herb-row</t>
        </is>
      </c>
      <c r="I38" s="181" t="inlineStr">
        <is>
          <t>Yes</t>
        </is>
      </c>
      <c r="J38" s="181" t="inlineStr">
        <is>
          <t>dopaminergic_modulation; gabaergic_modulation</t>
        </is>
      </c>
      <c r="K38" s="181" t="inlineStr">
        <is>
          <t>GABAergic modulation; multi-target signaling modulation</t>
        </is>
      </c>
    </row>
    <row r="39">
      <c r="A39" s="181" t="inlineStr">
        <is>
          <t>kava</t>
        </is>
      </c>
      <c r="B39" s="181" t="inlineStr">
        <is>
          <t>Kava</t>
        </is>
      </c>
      <c r="C39" s="181" t="inlineStr">
        <is>
          <t>desmethoxyyangonin</t>
        </is>
      </c>
      <c r="D39" s="181" t="inlineStr">
        <is>
          <t>desmethoxyyangonin</t>
        </is>
      </c>
      <c r="E39" s="181" t="inlineStr">
        <is>
          <t>desmethoxyyangonin</t>
        </is>
      </c>
      <c r="F39" s="181" t="inlineStr">
        <is>
          <t>herb_master_activeCompounds</t>
        </is>
      </c>
      <c r="G39" s="181" t="inlineStr">
        <is>
          <t>exact</t>
        </is>
      </c>
      <c r="H39" s="181" t="inlineStr">
        <is>
          <t>confirmed-in-herb-row</t>
        </is>
      </c>
      <c r="I39" s="181" t="inlineStr">
        <is>
          <t>Yes</t>
        </is>
      </c>
      <c r="J39" s="181" t="inlineStr">
        <is>
          <t>dopaminergic_modulation; gabaergic_modulation</t>
        </is>
      </c>
      <c r="K39" s="181" t="inlineStr">
        <is>
          <t>GABAergic modulation; multi-target signaling modulation</t>
        </is>
      </c>
    </row>
    <row r="40">
      <c r="A40" s="181" t="inlineStr">
        <is>
          <t>kava</t>
        </is>
      </c>
      <c r="B40" s="181" t="inlineStr">
        <is>
          <t>Kava</t>
        </is>
      </c>
      <c r="C40" s="181" t="inlineStr">
        <is>
          <t>flavokavain A/B/C</t>
        </is>
      </c>
      <c r="D40" s="181" t="inlineStr">
        <is>
          <t>flavokavain a b c</t>
        </is>
      </c>
      <c r="E40" s="181" t="inlineStr">
        <is>
          <t>flavokavain A/B/C</t>
        </is>
      </c>
      <c r="F40" s="181" t="inlineStr">
        <is>
          <t>herb_master_activeCompounds</t>
        </is>
      </c>
      <c r="G40" s="181" t="inlineStr">
        <is>
          <t>unmatched</t>
        </is>
      </c>
      <c r="H40" s="181" t="inlineStr">
        <is>
          <t>needs-normalization</t>
        </is>
      </c>
      <c r="I40" s="181" t="inlineStr">
        <is>
          <t>No</t>
        </is>
      </c>
      <c r="J40" s="181" t="str"/>
      <c r="K40" s="181" t="str"/>
    </row>
    <row r="41">
      <c r="A41" s="181" t="inlineStr">
        <is>
          <t>lemon-balm</t>
        </is>
      </c>
      <c r="B41" s="181" t="inlineStr">
        <is>
          <t>Lemon Balm</t>
        </is>
      </c>
      <c r="C41" s="181" t="inlineStr">
        <is>
          <t>rosmarinic acid</t>
        </is>
      </c>
      <c r="D41" s="181" t="inlineStr">
        <is>
          <t>rosmarinic acid</t>
        </is>
      </c>
      <c r="E41" s="181" t="inlineStr">
        <is>
          <t>rosmarinic acid</t>
        </is>
      </c>
      <c r="F41" s="181" t="inlineStr">
        <is>
          <t>herb_master_activeCompounds</t>
        </is>
      </c>
      <c r="G41" s="181" t="inlineStr">
        <is>
          <t>exact</t>
        </is>
      </c>
      <c r="H41" s="181" t="inlineStr">
        <is>
          <t>confirmed-in-herb-row</t>
        </is>
      </c>
      <c r="I41" s="181" t="inlineStr">
        <is>
          <t>Yes</t>
        </is>
      </c>
      <c r="J41" s="181" t="inlineStr">
        <is>
          <t>gabaergic_modulation; general or unknown targets; inflammatory_pathway_modulation</t>
        </is>
      </c>
      <c r="K41" s="181" t="inlineStr">
        <is>
          <t>COX/NF-kB inhibition; GABAergic modulation; multi-target signaling modulation</t>
        </is>
      </c>
    </row>
    <row r="42">
      <c r="A42" s="181" t="inlineStr">
        <is>
          <t>lemon-balm</t>
        </is>
      </c>
      <c r="B42" s="181" t="inlineStr">
        <is>
          <t>Lemon Balm</t>
        </is>
      </c>
      <c r="C42" s="181" t="inlineStr">
        <is>
          <t>citral</t>
        </is>
      </c>
      <c r="D42" s="181" t="inlineStr">
        <is>
          <t>citral</t>
        </is>
      </c>
      <c r="E42" s="181" t="inlineStr">
        <is>
          <t>citral</t>
        </is>
      </c>
      <c r="F42" s="181" t="inlineStr">
        <is>
          <t>herb_master_activeCompounds</t>
        </is>
      </c>
      <c r="G42" s="181" t="inlineStr">
        <is>
          <t>exact</t>
        </is>
      </c>
      <c r="H42" s="181" t="inlineStr">
        <is>
          <t>confirmed-in-herb-row</t>
        </is>
      </c>
      <c r="I42" s="181" t="inlineStr">
        <is>
          <t>Yes</t>
        </is>
      </c>
      <c r="J42" s="181" t="inlineStr">
        <is>
          <t>TNF-a reduction; TRPM3 modulation; TRPM8 modulation; TRPV1 modulation; gabaergic_modulation; general or unknown targets</t>
        </is>
      </c>
      <c r="K42" s="181" t="inlineStr">
        <is>
          <t>GABAergic modulation; multi-target signaling modulation</t>
        </is>
      </c>
    </row>
    <row r="43">
      <c r="A43" s="181" t="inlineStr">
        <is>
          <t>lemon-balm</t>
        </is>
      </c>
      <c r="B43" s="181" t="inlineStr">
        <is>
          <t>Lemon Balm</t>
        </is>
      </c>
      <c r="C43" s="181" t="inlineStr">
        <is>
          <t>citronellal</t>
        </is>
      </c>
      <c r="D43" s="181" t="inlineStr">
        <is>
          <t>citronellal</t>
        </is>
      </c>
      <c r="E43" s="181" t="inlineStr">
        <is>
          <t>citronellal</t>
        </is>
      </c>
      <c r="F43" s="181" t="inlineStr">
        <is>
          <t>herb_master_activeCompounds</t>
        </is>
      </c>
      <c r="G43" s="181" t="inlineStr">
        <is>
          <t>exact</t>
        </is>
      </c>
      <c r="H43" s="181" t="inlineStr">
        <is>
          <t>confirmed-in-herb-row</t>
        </is>
      </c>
      <c r="I43" s="181" t="inlineStr">
        <is>
          <t>Yes</t>
        </is>
      </c>
      <c r="J43" s="181" t="inlineStr">
        <is>
          <t>gabaergic_modulation</t>
        </is>
      </c>
      <c r="K43" s="181" t="inlineStr">
        <is>
          <t>GABAergic modulation</t>
        </is>
      </c>
    </row>
    <row r="44">
      <c r="A44" s="181" t="inlineStr">
        <is>
          <t>lemon-balm</t>
        </is>
      </c>
      <c r="B44" s="181" t="inlineStr">
        <is>
          <t>Lemon Balm</t>
        </is>
      </c>
      <c r="C44" s="181" t="inlineStr">
        <is>
          <t>linalool</t>
        </is>
      </c>
      <c r="D44" s="181" t="inlineStr">
        <is>
          <t>linalool</t>
        </is>
      </c>
      <c r="E44" s="181" t="inlineStr">
        <is>
          <t>linalool</t>
        </is>
      </c>
      <c r="F44" s="181" t="inlineStr">
        <is>
          <t>herb_master_activeCompounds</t>
        </is>
      </c>
      <c r="G44" s="181" t="inlineStr">
        <is>
          <t>exact</t>
        </is>
      </c>
      <c r="H44" s="181" t="inlineStr">
        <is>
          <t>confirmed-in-herb-row</t>
        </is>
      </c>
      <c r="I44" s="181" t="inlineStr">
        <is>
          <t>Yes</t>
        </is>
      </c>
      <c r="J44" s="181" t="inlineStr">
        <is>
          <t>gabaergic_modulation</t>
        </is>
      </c>
      <c r="K44" s="181" t="inlineStr">
        <is>
          <t>GABAergic modulation</t>
        </is>
      </c>
    </row>
    <row r="45">
      <c r="A45" s="181" t="inlineStr">
        <is>
          <t>lemon-balm</t>
        </is>
      </c>
      <c r="B45" s="181" t="inlineStr">
        <is>
          <t>Lemon Balm</t>
        </is>
      </c>
      <c r="C45" s="181" t="inlineStr">
        <is>
          <t>flavonoids</t>
        </is>
      </c>
      <c r="D45" s="181" t="inlineStr">
        <is>
          <t>flavonoids</t>
        </is>
      </c>
      <c r="E45" s="181" t="inlineStr">
        <is>
          <t>flavonoids</t>
        </is>
      </c>
      <c r="F45" s="181" t="inlineStr">
        <is>
          <t>herb_master_activeCompounds</t>
        </is>
      </c>
      <c r="G45" s="181" t="inlineStr">
        <is>
          <t>unmatched</t>
        </is>
      </c>
      <c r="H45" s="181" t="inlineStr">
        <is>
          <t>needs-normalization</t>
        </is>
      </c>
      <c r="I45" s="181" t="inlineStr">
        <is>
          <t>No</t>
        </is>
      </c>
      <c r="J45" s="181" t="str"/>
      <c r="K45" s="181" t="str"/>
    </row>
    <row r="46">
      <c r="A46" s="181" t="inlineStr">
        <is>
          <t>maca</t>
        </is>
      </c>
      <c r="B46" s="181" t="inlineStr">
        <is>
          <t>Maca</t>
        </is>
      </c>
      <c r="C46" s="181" t="inlineStr">
        <is>
          <t>macamides</t>
        </is>
      </c>
      <c r="D46" s="181" t="inlineStr">
        <is>
          <t>macamides</t>
        </is>
      </c>
      <c r="E46" s="181" t="inlineStr">
        <is>
          <t>macamides</t>
        </is>
      </c>
      <c r="F46" s="181" t="inlineStr">
        <is>
          <t>herb_master_activeCompounds</t>
        </is>
      </c>
      <c r="G46" s="181" t="inlineStr">
        <is>
          <t>unmatched</t>
        </is>
      </c>
      <c r="H46" s="181" t="inlineStr">
        <is>
          <t>needs-normalization</t>
        </is>
      </c>
      <c r="I46" s="181" t="inlineStr">
        <is>
          <t>No</t>
        </is>
      </c>
      <c r="J46" s="181" t="str"/>
      <c r="K46" s="181" t="str"/>
    </row>
    <row r="47">
      <c r="A47" s="181" t="inlineStr">
        <is>
          <t>maca</t>
        </is>
      </c>
      <c r="B47" s="181" t="inlineStr">
        <is>
          <t>Maca</t>
        </is>
      </c>
      <c r="C47" s="181" t="inlineStr">
        <is>
          <t>macaenes</t>
        </is>
      </c>
      <c r="D47" s="181" t="inlineStr">
        <is>
          <t>macaenes</t>
        </is>
      </c>
      <c r="E47" s="181" t="inlineStr">
        <is>
          <t>macaenes</t>
        </is>
      </c>
      <c r="F47" s="181" t="inlineStr">
        <is>
          <t>herb_master_activeCompounds</t>
        </is>
      </c>
      <c r="G47" s="181" t="inlineStr">
        <is>
          <t>unmatched</t>
        </is>
      </c>
      <c r="H47" s="181" t="inlineStr">
        <is>
          <t>needs-normalization</t>
        </is>
      </c>
      <c r="I47" s="181" t="inlineStr">
        <is>
          <t>No</t>
        </is>
      </c>
      <c r="J47" s="181" t="str"/>
      <c r="K47" s="181" t="str"/>
    </row>
    <row r="48">
      <c r="A48" s="181" t="inlineStr">
        <is>
          <t>maca</t>
        </is>
      </c>
      <c r="B48" s="181" t="inlineStr">
        <is>
          <t>Maca</t>
        </is>
      </c>
      <c r="C48" s="181" t="inlineStr">
        <is>
          <t>glucosinolates</t>
        </is>
      </c>
      <c r="D48" s="181" t="inlineStr">
        <is>
          <t>glucosinolates</t>
        </is>
      </c>
      <c r="E48" s="181" t="inlineStr">
        <is>
          <t>glucosinolates</t>
        </is>
      </c>
      <c r="F48" s="181" t="inlineStr">
        <is>
          <t>herb_master_activeCompounds</t>
        </is>
      </c>
      <c r="G48" s="181" t="inlineStr">
        <is>
          <t>unmatched</t>
        </is>
      </c>
      <c r="H48" s="181" t="inlineStr">
        <is>
          <t>needs-normalization</t>
        </is>
      </c>
      <c r="I48" s="181" t="inlineStr">
        <is>
          <t>No</t>
        </is>
      </c>
      <c r="J48" s="181" t="str"/>
      <c r="K48" s="181" t="str"/>
    </row>
    <row r="49">
      <c r="A49" s="181" t="inlineStr">
        <is>
          <t>milk-thistle</t>
        </is>
      </c>
      <c r="B49" s="181" t="inlineStr">
        <is>
          <t>Milk Thistle</t>
        </is>
      </c>
      <c r="C49" s="181" t="inlineStr">
        <is>
          <t>silybin A/B</t>
        </is>
      </c>
      <c r="D49" s="181" t="inlineStr">
        <is>
          <t>silybin a b</t>
        </is>
      </c>
      <c r="E49" s="181" t="inlineStr">
        <is>
          <t>silybin A/B</t>
        </is>
      </c>
      <c r="F49" s="181" t="inlineStr">
        <is>
          <t>herb_master_activeCompounds</t>
        </is>
      </c>
      <c r="G49" s="181" t="inlineStr">
        <is>
          <t>unmatched</t>
        </is>
      </c>
      <c r="H49" s="181" t="inlineStr">
        <is>
          <t>needs-normalization</t>
        </is>
      </c>
      <c r="I49" s="181" t="inlineStr">
        <is>
          <t>No</t>
        </is>
      </c>
      <c r="J49" s="181" t="str"/>
      <c r="K49" s="181" t="str"/>
    </row>
    <row r="50">
      <c r="A50" s="181" t="inlineStr">
        <is>
          <t>milk-thistle</t>
        </is>
      </c>
      <c r="B50" s="181" t="inlineStr">
        <is>
          <t>Milk Thistle</t>
        </is>
      </c>
      <c r="C50" s="181" t="inlineStr">
        <is>
          <t>isosilybin A/B</t>
        </is>
      </c>
      <c r="D50" s="181" t="inlineStr">
        <is>
          <t>isosilybin a b</t>
        </is>
      </c>
      <c r="E50" s="181" t="inlineStr">
        <is>
          <t>isosilybin A/B</t>
        </is>
      </c>
      <c r="F50" s="181" t="inlineStr">
        <is>
          <t>herb_master_activeCompounds</t>
        </is>
      </c>
      <c r="G50" s="181" t="inlineStr">
        <is>
          <t>unmatched</t>
        </is>
      </c>
      <c r="H50" s="181" t="inlineStr">
        <is>
          <t>needs-normalization</t>
        </is>
      </c>
      <c r="I50" s="181" t="inlineStr">
        <is>
          <t>No</t>
        </is>
      </c>
      <c r="J50" s="181" t="str"/>
      <c r="K50" s="181" t="str"/>
    </row>
    <row r="51">
      <c r="A51" s="181" t="inlineStr">
        <is>
          <t>milk-thistle</t>
        </is>
      </c>
      <c r="B51" s="181" t="inlineStr">
        <is>
          <t>Milk Thistle</t>
        </is>
      </c>
      <c r="C51" s="181" t="inlineStr">
        <is>
          <t>silychristin</t>
        </is>
      </c>
      <c r="D51" s="181" t="inlineStr">
        <is>
          <t>silychristin</t>
        </is>
      </c>
      <c r="E51" s="181" t="inlineStr">
        <is>
          <t>silychristin)</t>
        </is>
      </c>
      <c r="F51" s="181" t="inlineStr">
        <is>
          <t>herb_master_activeCompounds</t>
        </is>
      </c>
      <c r="G51" s="181" t="inlineStr">
        <is>
          <t>exact</t>
        </is>
      </c>
      <c r="H51" s="181" t="inlineStr">
        <is>
          <t>confirmed-in-herb-row</t>
        </is>
      </c>
      <c r="I51" s="181" t="inlineStr">
        <is>
          <t>Yes</t>
        </is>
      </c>
      <c r="J51" s="181" t="inlineStr">
        <is>
          <t>general or unknown targets</t>
        </is>
      </c>
      <c r="K51" s="181" t="inlineStr">
        <is>
          <t>multi-target signaling modulation</t>
        </is>
      </c>
    </row>
    <row r="52">
      <c r="A52" s="181" t="inlineStr">
        <is>
          <t>milk-thistle</t>
        </is>
      </c>
      <c r="B52" s="181" t="inlineStr">
        <is>
          <t>Milk Thistle</t>
        </is>
      </c>
      <c r="C52" s="181" t="inlineStr">
        <is>
          <t>silydianin</t>
        </is>
      </c>
      <c r="D52" s="181" t="inlineStr">
        <is>
          <t>silydianin</t>
        </is>
      </c>
      <c r="E52" s="181" t="inlineStr">
        <is>
          <t>silydianin</t>
        </is>
      </c>
      <c r="F52" s="181" t="inlineStr">
        <is>
          <t>herb_master_activeCompounds</t>
        </is>
      </c>
      <c r="G52" s="181" t="inlineStr">
        <is>
          <t>exact</t>
        </is>
      </c>
      <c r="H52" s="181" t="inlineStr">
        <is>
          <t>confirmed-in-herb-row</t>
        </is>
      </c>
      <c r="I52" s="181" t="inlineStr">
        <is>
          <t>Yes</t>
        </is>
      </c>
      <c r="J52" s="181" t="inlineStr">
        <is>
          <t>general or unknown targets</t>
        </is>
      </c>
      <c r="K52" s="181" t="inlineStr">
        <is>
          <t>multi-target signaling modulation</t>
        </is>
      </c>
    </row>
    <row r="53">
      <c r="A53" s="181" t="inlineStr">
        <is>
          <t>milk-thistle</t>
        </is>
      </c>
      <c r="B53" s="181" t="inlineStr">
        <is>
          <t>Milk Thistle</t>
        </is>
      </c>
      <c r="C53" s="181" t="inlineStr">
        <is>
          <t>isosilychristin</t>
        </is>
      </c>
      <c r="D53" s="181" t="inlineStr">
        <is>
          <t>isosilychristin</t>
        </is>
      </c>
      <c r="E53" s="181" t="inlineStr">
        <is>
          <t>isosilychristin</t>
        </is>
      </c>
      <c r="F53" s="181" t="inlineStr">
        <is>
          <t>herb_master_activeCompounds</t>
        </is>
      </c>
      <c r="G53" s="181" t="inlineStr">
        <is>
          <t>unmatched</t>
        </is>
      </c>
      <c r="H53" s="181" t="inlineStr">
        <is>
          <t>needs-normalization</t>
        </is>
      </c>
      <c r="I53" s="181" t="inlineStr">
        <is>
          <t>No</t>
        </is>
      </c>
      <c r="J53" s="181" t="str"/>
      <c r="K53" s="181" t="str"/>
    </row>
    <row r="54">
      <c r="A54" s="181" t="inlineStr">
        <is>
          <t>peppermint</t>
        </is>
      </c>
      <c r="B54" s="181" t="inlineStr">
        <is>
          <t>Peppermint</t>
        </is>
      </c>
      <c r="C54" s="181" t="inlineStr">
        <is>
          <t>l‑menthol</t>
        </is>
      </c>
      <c r="D54" s="181" t="inlineStr">
        <is>
          <t>l-menthol</t>
        </is>
      </c>
      <c r="E54" s="181" t="inlineStr">
        <is>
          <t>l‑menthol</t>
        </is>
      </c>
      <c r="F54" s="181" t="inlineStr">
        <is>
          <t>herb_master_activeCompounds</t>
        </is>
      </c>
      <c r="G54" s="181" t="inlineStr">
        <is>
          <t>unmatched</t>
        </is>
      </c>
      <c r="H54" s="181" t="inlineStr">
        <is>
          <t>needs-normalization</t>
        </is>
      </c>
      <c r="I54" s="181" t="inlineStr">
        <is>
          <t>No</t>
        </is>
      </c>
      <c r="J54" s="181" t="str"/>
      <c r="K54" s="181" t="str"/>
    </row>
    <row r="55">
      <c r="A55" s="181" t="inlineStr">
        <is>
          <t>peppermint</t>
        </is>
      </c>
      <c r="B55" s="181" t="inlineStr">
        <is>
          <t>Peppermint</t>
        </is>
      </c>
      <c r="C55" s="181" t="inlineStr">
        <is>
          <t>l‑menthone</t>
        </is>
      </c>
      <c r="D55" s="181" t="inlineStr">
        <is>
          <t>l-menthone</t>
        </is>
      </c>
      <c r="E55" s="181" t="inlineStr">
        <is>
          <t>l‑menthone</t>
        </is>
      </c>
      <c r="F55" s="181" t="inlineStr">
        <is>
          <t>herb_master_activeCompounds</t>
        </is>
      </c>
      <c r="G55" s="181" t="inlineStr">
        <is>
          <t>unmatched</t>
        </is>
      </c>
      <c r="H55" s="181" t="inlineStr">
        <is>
          <t>needs-normalization</t>
        </is>
      </c>
      <c r="I55" s="181" t="inlineStr">
        <is>
          <t>No</t>
        </is>
      </c>
      <c r="J55" s="181" t="str"/>
      <c r="K55" s="181" t="str"/>
    </row>
    <row r="56">
      <c r="A56" s="181" t="inlineStr">
        <is>
          <t>peppermint</t>
        </is>
      </c>
      <c r="B56" s="181" t="inlineStr">
        <is>
          <t>Peppermint</t>
        </is>
      </c>
      <c r="C56" s="181" t="inlineStr">
        <is>
          <t>isomenthone</t>
        </is>
      </c>
      <c r="D56" s="181" t="inlineStr">
        <is>
          <t>isomenthone</t>
        </is>
      </c>
      <c r="E56" s="181" t="inlineStr">
        <is>
          <t>isomenthone</t>
        </is>
      </c>
      <c r="F56" s="181" t="inlineStr">
        <is>
          <t>herb_master_activeCompounds</t>
        </is>
      </c>
      <c r="G56" s="181" t="inlineStr">
        <is>
          <t>unmatched</t>
        </is>
      </c>
      <c r="H56" s="181" t="inlineStr">
        <is>
          <t>needs-normalization</t>
        </is>
      </c>
      <c r="I56" s="181" t="inlineStr">
        <is>
          <t>No</t>
        </is>
      </c>
      <c r="J56" s="181" t="str"/>
      <c r="K56" s="181" t="str"/>
    </row>
    <row r="57">
      <c r="A57" s="181" t="inlineStr">
        <is>
          <t>peppermint</t>
        </is>
      </c>
      <c r="B57" s="181" t="inlineStr">
        <is>
          <t>Peppermint</t>
        </is>
      </c>
      <c r="C57" s="181" t="inlineStr">
        <is>
          <t>menthyl acetate</t>
        </is>
      </c>
      <c r="D57" s="181" t="inlineStr">
        <is>
          <t>menthyl acetate</t>
        </is>
      </c>
      <c r="E57" s="181" t="inlineStr">
        <is>
          <t>menthyl acetate</t>
        </is>
      </c>
      <c r="F57" s="181" t="inlineStr">
        <is>
          <t>herb_master_activeCompounds</t>
        </is>
      </c>
      <c r="G57" s="181" t="inlineStr">
        <is>
          <t>unmatched</t>
        </is>
      </c>
      <c r="H57" s="181" t="inlineStr">
        <is>
          <t>needs-normalization</t>
        </is>
      </c>
      <c r="I57" s="181" t="inlineStr">
        <is>
          <t>No</t>
        </is>
      </c>
      <c r="J57" s="181" t="str"/>
      <c r="K57" s="181" t="str"/>
    </row>
    <row r="58">
      <c r="A58" s="181" t="inlineStr">
        <is>
          <t>peppermint</t>
        </is>
      </c>
      <c r="B58" s="181" t="inlineStr">
        <is>
          <t>Peppermint</t>
        </is>
      </c>
      <c r="C58" s="181" t="inlineStr">
        <is>
          <t>1,8‑cineole (eucalyptol)</t>
        </is>
      </c>
      <c r="D58" s="181" t="inlineStr">
        <is>
          <t>1 8-cineole eucalyptol</t>
        </is>
      </c>
      <c r="E58" s="181" t="inlineStr">
        <is>
          <t>1,8‑cineole (eucalyptol)</t>
        </is>
      </c>
      <c r="F58" s="181" t="inlineStr">
        <is>
          <t>herb_master_activeCompounds</t>
        </is>
      </c>
      <c r="G58" s="181" t="inlineStr">
        <is>
          <t>unmatched</t>
        </is>
      </c>
      <c r="H58" s="181" t="inlineStr">
        <is>
          <t>needs-normalization</t>
        </is>
      </c>
      <c r="I58" s="181" t="inlineStr">
        <is>
          <t>No</t>
        </is>
      </c>
      <c r="J58" s="181" t="str"/>
      <c r="K58" s="181" t="str"/>
    </row>
    <row r="59">
      <c r="A59" s="181" t="inlineStr">
        <is>
          <t>peppermint</t>
        </is>
      </c>
      <c r="B59" s="181" t="inlineStr">
        <is>
          <t>Peppermint</t>
        </is>
      </c>
      <c r="C59" s="181" t="inlineStr">
        <is>
          <t>menthofuran</t>
        </is>
      </c>
      <c r="D59" s="181" t="inlineStr">
        <is>
          <t>menthofuran</t>
        </is>
      </c>
      <c r="E59" s="181" t="inlineStr">
        <is>
          <t>menthofuran</t>
        </is>
      </c>
      <c r="F59" s="181" t="inlineStr">
        <is>
          <t>herb_master_activeCompounds</t>
        </is>
      </c>
      <c r="G59" s="181" t="inlineStr">
        <is>
          <t>unmatched</t>
        </is>
      </c>
      <c r="H59" s="181" t="inlineStr">
        <is>
          <t>needs-normalization</t>
        </is>
      </c>
      <c r="I59" s="181" t="inlineStr">
        <is>
          <t>No</t>
        </is>
      </c>
      <c r="J59" s="181" t="str"/>
      <c r="K59" s="181" t="str"/>
    </row>
    <row r="60">
      <c r="A60" s="181" t="inlineStr">
        <is>
          <t>peppermint</t>
        </is>
      </c>
      <c r="B60" s="181" t="inlineStr">
        <is>
          <t>Peppermint</t>
        </is>
      </c>
      <c r="C60" s="181" t="inlineStr">
        <is>
          <t>limonene</t>
        </is>
      </c>
      <c r="D60" s="181" t="inlineStr">
        <is>
          <t>limonene</t>
        </is>
      </c>
      <c r="E60" s="181" t="inlineStr">
        <is>
          <t>limonene</t>
        </is>
      </c>
      <c r="F60" s="181" t="inlineStr">
        <is>
          <t>herb_master_activeCompounds</t>
        </is>
      </c>
      <c r="G60" s="181" t="inlineStr">
        <is>
          <t>exact</t>
        </is>
      </c>
      <c r="H60" s="181" t="inlineStr">
        <is>
          <t>confirmed-in-herb-row</t>
        </is>
      </c>
      <c r="I60" s="181" t="inlineStr">
        <is>
          <t>Yes</t>
        </is>
      </c>
      <c r="J60" s="181" t="inlineStr">
        <is>
          <t>endocannabinoid_modulation; general or unknown targets</t>
        </is>
      </c>
      <c r="K60" s="181" t="inlineStr">
        <is>
          <t>multi-target signaling modulation</t>
        </is>
      </c>
    </row>
    <row r="61">
      <c r="A61" s="181" t="inlineStr">
        <is>
          <t>rhodiola-rosea</t>
        </is>
      </c>
      <c r="B61" s="181" t="inlineStr">
        <is>
          <t>Rhodiola Rosea</t>
        </is>
      </c>
      <c r="C61" s="181" t="inlineStr">
        <is>
          <t>rosavin</t>
        </is>
      </c>
      <c r="D61" s="181" t="inlineStr">
        <is>
          <t>rosavin</t>
        </is>
      </c>
      <c r="E61" s="181" t="inlineStr">
        <is>
          <t>rosavin</t>
        </is>
      </c>
      <c r="F61" s="181" t="inlineStr">
        <is>
          <t>herb_master_activeCompounds</t>
        </is>
      </c>
      <c r="G61" s="181" t="inlineStr">
        <is>
          <t>exact</t>
        </is>
      </c>
      <c r="H61" s="181" t="inlineStr">
        <is>
          <t>confirmed-in-herb-row</t>
        </is>
      </c>
      <c r="I61" s="181" t="inlineStr">
        <is>
          <t>Yes</t>
        </is>
      </c>
      <c r="J61" s="181" t="inlineStr">
        <is>
          <t>general or unknown targets</t>
        </is>
      </c>
      <c r="K61" s="181" t="inlineStr">
        <is>
          <t>multi-target signaling modulation</t>
        </is>
      </c>
    </row>
    <row r="62">
      <c r="A62" s="181" t="inlineStr">
        <is>
          <t>rhodiola-rosea</t>
        </is>
      </c>
      <c r="B62" s="181" t="inlineStr">
        <is>
          <t>Rhodiola Rosea</t>
        </is>
      </c>
      <c r="C62" s="181" t="inlineStr">
        <is>
          <t>rosarin</t>
        </is>
      </c>
      <c r="D62" s="181" t="inlineStr">
        <is>
          <t>rosarin</t>
        </is>
      </c>
      <c r="E62" s="181" t="inlineStr">
        <is>
          <t>rosarin</t>
        </is>
      </c>
      <c r="F62" s="181" t="inlineStr">
        <is>
          <t>herb_master_activeCompounds</t>
        </is>
      </c>
      <c r="G62" s="181" t="inlineStr">
        <is>
          <t>unmatched</t>
        </is>
      </c>
      <c r="H62" s="181" t="inlineStr">
        <is>
          <t>needs-normalization</t>
        </is>
      </c>
      <c r="I62" s="181" t="inlineStr">
        <is>
          <t>No</t>
        </is>
      </c>
      <c r="J62" s="181" t="str"/>
      <c r="K62" s="181" t="str"/>
    </row>
    <row r="63">
      <c r="A63" s="181" t="inlineStr">
        <is>
          <t>rhodiola-rosea</t>
        </is>
      </c>
      <c r="B63" s="181" t="inlineStr">
        <is>
          <t>Rhodiola Rosea</t>
        </is>
      </c>
      <c r="C63" s="181" t="inlineStr">
        <is>
          <t>rosin</t>
        </is>
      </c>
      <c r="D63" s="181" t="inlineStr">
        <is>
          <t>rosin</t>
        </is>
      </c>
      <c r="E63" s="181" t="inlineStr">
        <is>
          <t>rosin</t>
        </is>
      </c>
      <c r="F63" s="181" t="inlineStr">
        <is>
          <t>herb_master_activeCompounds</t>
        </is>
      </c>
      <c r="G63" s="181" t="inlineStr">
        <is>
          <t>unmatched</t>
        </is>
      </c>
      <c r="H63" s="181" t="inlineStr">
        <is>
          <t>needs-normalization</t>
        </is>
      </c>
      <c r="I63" s="181" t="inlineStr">
        <is>
          <t>No</t>
        </is>
      </c>
      <c r="J63" s="181" t="str"/>
      <c r="K63" s="181" t="str"/>
    </row>
    <row r="64">
      <c r="A64" s="181" t="inlineStr">
        <is>
          <t>rhodiola-rosea</t>
        </is>
      </c>
      <c r="B64" s="181" t="inlineStr">
        <is>
          <t>Rhodiola Rosea</t>
        </is>
      </c>
      <c r="C64" s="181" t="inlineStr">
        <is>
          <t>salidroside</t>
        </is>
      </c>
      <c r="D64" s="181" t="inlineStr">
        <is>
          <t>salidroside</t>
        </is>
      </c>
      <c r="E64" s="181" t="inlineStr">
        <is>
          <t>salidroside</t>
        </is>
      </c>
      <c r="F64" s="181" t="inlineStr">
        <is>
          <t>herb_master_activeCompounds</t>
        </is>
      </c>
      <c r="G64" s="181" t="inlineStr">
        <is>
          <t>exact</t>
        </is>
      </c>
      <c r="H64" s="181" t="inlineStr">
        <is>
          <t>confirmed-in-herb-row</t>
        </is>
      </c>
      <c r="I64" s="181" t="inlineStr">
        <is>
          <t>Yes</t>
        </is>
      </c>
      <c r="J64" s="181" t="inlineStr">
        <is>
          <t>AMPK activation; Nrf2/ARE pathway activation; PI3K/Akt pathway modulation; general or unknown targets</t>
        </is>
      </c>
      <c r="K64" s="181" t="inlineStr">
        <is>
          <t>multi-target signaling modulation</t>
        </is>
      </c>
    </row>
    <row r="65">
      <c r="A65" s="181" t="inlineStr">
        <is>
          <t>rhodiola-rosea</t>
        </is>
      </c>
      <c r="B65" s="181" t="inlineStr">
        <is>
          <t>Rhodiola Rosea</t>
        </is>
      </c>
      <c r="C65" s="181" t="inlineStr">
        <is>
          <t>tyrosol</t>
        </is>
      </c>
      <c r="D65" s="181" t="inlineStr">
        <is>
          <t>tyrosol</t>
        </is>
      </c>
      <c r="E65" s="181" t="inlineStr">
        <is>
          <t>tyrosol</t>
        </is>
      </c>
      <c r="F65" s="181" t="inlineStr">
        <is>
          <t>herb_master_activeCompounds</t>
        </is>
      </c>
      <c r="G65" s="181" t="inlineStr">
        <is>
          <t>unmatched</t>
        </is>
      </c>
      <c r="H65" s="181" t="inlineStr">
        <is>
          <t>needs-normalization</t>
        </is>
      </c>
      <c r="I65" s="181" t="inlineStr">
        <is>
          <t>No</t>
        </is>
      </c>
      <c r="J65" s="181" t="str"/>
      <c r="K65" s="181" t="str"/>
    </row>
    <row r="66">
      <c r="A66" s="181" t="inlineStr">
        <is>
          <t>saw-palmetto</t>
        </is>
      </c>
      <c r="B66" s="181" t="inlineStr">
        <is>
          <t>Saw Palmetto</t>
        </is>
      </c>
      <c r="C66" s="181" t="inlineStr">
        <is>
          <t>fatty acids</t>
        </is>
      </c>
      <c r="D66" s="181" t="inlineStr">
        <is>
          <t>fatty acids</t>
        </is>
      </c>
      <c r="E66" s="181" t="inlineStr">
        <is>
          <t>fatty acids</t>
        </is>
      </c>
      <c r="F66" s="181" t="inlineStr">
        <is>
          <t>herb_master_activeCompounds</t>
        </is>
      </c>
      <c r="G66" s="181" t="inlineStr">
        <is>
          <t>unmatched</t>
        </is>
      </c>
      <c r="H66" s="181" t="inlineStr">
        <is>
          <t>needs-normalization</t>
        </is>
      </c>
      <c r="I66" s="181" t="inlineStr">
        <is>
          <t>No</t>
        </is>
      </c>
      <c r="J66" s="181" t="str"/>
      <c r="K66" s="181" t="str"/>
    </row>
    <row r="67">
      <c r="A67" s="181" t="inlineStr">
        <is>
          <t>saw-palmetto</t>
        </is>
      </c>
      <c r="B67" s="181" t="inlineStr">
        <is>
          <t>Saw Palmetto</t>
        </is>
      </c>
      <c r="C67" s="181" t="inlineStr">
        <is>
          <t>phytosterols (beta-sitosterol)</t>
        </is>
      </c>
      <c r="D67" s="181" t="inlineStr">
        <is>
          <t>phytosterols beta-sitosterol</t>
        </is>
      </c>
      <c r="E67" s="181" t="inlineStr">
        <is>
          <t>phytosterols (beta-sitosterol)</t>
        </is>
      </c>
      <c r="F67" s="181" t="inlineStr">
        <is>
          <t>herb_master_activeCompounds</t>
        </is>
      </c>
      <c r="G67" s="181" t="inlineStr">
        <is>
          <t>unmatched</t>
        </is>
      </c>
      <c r="H67" s="181" t="inlineStr">
        <is>
          <t>needs-normalization</t>
        </is>
      </c>
      <c r="I67" s="181" t="inlineStr">
        <is>
          <t>No</t>
        </is>
      </c>
      <c r="J67" s="181" t="str"/>
      <c r="K67" s="181" t="str"/>
    </row>
    <row r="68">
      <c r="A68" s="181" t="inlineStr">
        <is>
          <t>st-johns-wort</t>
        </is>
      </c>
      <c r="B68" s="181" t="inlineStr">
        <is>
          <t>St Johns Wort</t>
        </is>
      </c>
      <c r="C68" s="181" t="inlineStr">
        <is>
          <t>hyperforin</t>
        </is>
      </c>
      <c r="D68" s="181" t="inlineStr">
        <is>
          <t>hyperforin</t>
        </is>
      </c>
      <c r="E68" s="181" t="inlineStr">
        <is>
          <t>hyperforin</t>
        </is>
      </c>
      <c r="F68" s="181" t="inlineStr">
        <is>
          <t>herb_master_activeCompounds</t>
        </is>
      </c>
      <c r="G68" s="181" t="inlineStr">
        <is>
          <t>exact</t>
        </is>
      </c>
      <c r="H68" s="181" t="inlineStr">
        <is>
          <t>confirmed-in-herb-row</t>
        </is>
      </c>
      <c r="I68" s="181" t="inlineStr">
        <is>
          <t>Yes</t>
        </is>
      </c>
      <c r="J68" s="181" t="inlineStr">
        <is>
          <t>general or unknown targets</t>
        </is>
      </c>
      <c r="K68" s="181" t="inlineStr">
        <is>
          <t>multi-target signaling modulation</t>
        </is>
      </c>
    </row>
    <row r="69">
      <c r="A69" s="181" t="inlineStr">
        <is>
          <t>st-johns-wort</t>
        </is>
      </c>
      <c r="B69" s="181" t="inlineStr">
        <is>
          <t>St Johns Wort</t>
        </is>
      </c>
      <c r="C69" s="181" t="inlineStr">
        <is>
          <t>hypericin</t>
        </is>
      </c>
      <c r="D69" s="181" t="inlineStr">
        <is>
          <t>hypericin</t>
        </is>
      </c>
      <c r="E69" s="181" t="inlineStr">
        <is>
          <t>hypericin</t>
        </is>
      </c>
      <c r="F69" s="181" t="inlineStr">
        <is>
          <t>herb_master_activeCompounds</t>
        </is>
      </c>
      <c r="G69" s="181" t="inlineStr">
        <is>
          <t>exact</t>
        </is>
      </c>
      <c r="H69" s="181" t="inlineStr">
        <is>
          <t>confirmed-in-herb-row</t>
        </is>
      </c>
      <c r="I69" s="181" t="inlineStr">
        <is>
          <t>Yes</t>
        </is>
      </c>
      <c r="J69" s="181" t="inlineStr">
        <is>
          <t>general or unknown targets</t>
        </is>
      </c>
      <c r="K69" s="181" t="inlineStr">
        <is>
          <t>multi-target signaling modulation</t>
        </is>
      </c>
    </row>
    <row r="70">
      <c r="A70" s="181" t="inlineStr">
        <is>
          <t>st-johns-wort</t>
        </is>
      </c>
      <c r="B70" s="181" t="inlineStr">
        <is>
          <t>St Johns Wort</t>
        </is>
      </c>
      <c r="C70" s="181" t="inlineStr">
        <is>
          <t>pseudohypericin</t>
        </is>
      </c>
      <c r="D70" s="181" t="inlineStr">
        <is>
          <t>pseudohypericin</t>
        </is>
      </c>
      <c r="E70" s="181" t="inlineStr">
        <is>
          <t>pseudohypericin</t>
        </is>
      </c>
      <c r="F70" s="181" t="inlineStr">
        <is>
          <t>herb_master_activeCompounds</t>
        </is>
      </c>
      <c r="G70" s="181" t="inlineStr">
        <is>
          <t>unmatched</t>
        </is>
      </c>
      <c r="H70" s="181" t="inlineStr">
        <is>
          <t>needs-normalization</t>
        </is>
      </c>
      <c r="I70" s="181" t="inlineStr">
        <is>
          <t>No</t>
        </is>
      </c>
      <c r="J70" s="181" t="str"/>
      <c r="K70" s="181" t="str"/>
    </row>
    <row r="71">
      <c r="A71" s="181" t="inlineStr">
        <is>
          <t>st-johns-wort</t>
        </is>
      </c>
      <c r="B71" s="181" t="inlineStr">
        <is>
          <t>St Johns Wort</t>
        </is>
      </c>
      <c r="C71" s="181" t="inlineStr">
        <is>
          <t>quercetin</t>
        </is>
      </c>
      <c r="D71" s="181" t="inlineStr">
        <is>
          <t>quercetin</t>
        </is>
      </c>
      <c r="E71" s="181" t="inlineStr">
        <is>
          <t>quercetin</t>
        </is>
      </c>
      <c r="F71" s="181" t="inlineStr">
        <is>
          <t>herb_master_activeCompounds</t>
        </is>
      </c>
      <c r="G71" s="181" t="inlineStr">
        <is>
          <t>exact</t>
        </is>
      </c>
      <c r="H71" s="181" t="inlineStr">
        <is>
          <t>confirmed-in-herb-row</t>
        </is>
      </c>
      <c r="I71" s="181" t="inlineStr">
        <is>
          <t>Yes</t>
        </is>
      </c>
      <c r="J71" s="181" t="inlineStr">
        <is>
          <t>NF-kB pathway inhibition; Nrf2 pathway activation; cholinergic_modulation; general or unknown targets; xanthine oxidase inhibition</t>
        </is>
      </c>
      <c r="K71" s="181" t="inlineStr">
        <is>
          <t>multi-target signaling modulation; muscarinic receptor interaction</t>
        </is>
      </c>
    </row>
    <row r="72">
      <c r="A72" s="181" t="inlineStr">
        <is>
          <t>st-johns-wort</t>
        </is>
      </c>
      <c r="B72" s="181" t="inlineStr">
        <is>
          <t>St Johns Wort</t>
        </is>
      </c>
      <c r="C72" s="181" t="inlineStr">
        <is>
          <t>rutin</t>
        </is>
      </c>
      <c r="D72" s="181" t="inlineStr">
        <is>
          <t>rutin</t>
        </is>
      </c>
      <c r="E72" s="181" t="inlineStr">
        <is>
          <t>rutin</t>
        </is>
      </c>
      <c r="F72" s="181" t="inlineStr">
        <is>
          <t>herb_master_activeCompounds</t>
        </is>
      </c>
      <c r="G72" s="181" t="inlineStr">
        <is>
          <t>exact</t>
        </is>
      </c>
      <c r="H72" s="181" t="inlineStr">
        <is>
          <t>confirmed-in-herb-row</t>
        </is>
      </c>
      <c r="I72" s="181" t="inlineStr">
        <is>
          <t>Yes</t>
        </is>
      </c>
      <c r="J72" s="181" t="inlineStr">
        <is>
          <t>cholinergic_modulation; general or unknown targets</t>
        </is>
      </c>
      <c r="K72" s="181" t="inlineStr">
        <is>
          <t>multi-target signaling modulation; muscarinic receptor interaction</t>
        </is>
      </c>
    </row>
    <row r="73">
      <c r="A73" s="181" t="inlineStr">
        <is>
          <t>st-johns-wort</t>
        </is>
      </c>
      <c r="B73" s="181" t="inlineStr">
        <is>
          <t>St Johns Wort</t>
        </is>
      </c>
      <c r="C73" s="181" t="inlineStr">
        <is>
          <t>kaempferol</t>
        </is>
      </c>
      <c r="D73" s="181" t="inlineStr">
        <is>
          <t>kaempferol</t>
        </is>
      </c>
      <c r="E73" s="181" t="inlineStr">
        <is>
          <t>kaempferol</t>
        </is>
      </c>
      <c r="F73" s="181" t="inlineStr">
        <is>
          <t>herb_master_activeCompounds</t>
        </is>
      </c>
      <c r="G73" s="181" t="inlineStr">
        <is>
          <t>exact</t>
        </is>
      </c>
      <c r="H73" s="181" t="inlineStr">
        <is>
          <t>confirmed-in-herb-row</t>
        </is>
      </c>
      <c r="I73" s="181" t="inlineStr">
        <is>
          <t>Yes</t>
        </is>
      </c>
      <c r="J73" s="181" t="inlineStr">
        <is>
          <t>general or unknown targets</t>
        </is>
      </c>
      <c r="K73" s="181" t="inlineStr">
        <is>
          <t>multi-target signaling modulation</t>
        </is>
      </c>
    </row>
    <row r="74">
      <c r="A74" s="181" t="inlineStr">
        <is>
          <t>turmeric</t>
        </is>
      </c>
      <c r="B74" s="181" t="inlineStr">
        <is>
          <t>Turmeric</t>
        </is>
      </c>
      <c r="C74" s="181" t="inlineStr">
        <is>
          <t>curcumin</t>
        </is>
      </c>
      <c r="D74" s="181" t="inlineStr">
        <is>
          <t>curcumin</t>
        </is>
      </c>
      <c r="E74" s="181" t="inlineStr">
        <is>
          <t>curcumin</t>
        </is>
      </c>
      <c r="F74" s="181" t="inlineStr">
        <is>
          <t>herb_master_activeCompounds</t>
        </is>
      </c>
      <c r="G74" s="181" t="inlineStr">
        <is>
          <t>exact</t>
        </is>
      </c>
      <c r="H74" s="181" t="inlineStr">
        <is>
          <t>confirmed-in-herb-row</t>
        </is>
      </c>
      <c r="I74" s="181" t="inlineStr">
        <is>
          <t>Yes</t>
        </is>
      </c>
      <c r="J74" s="181" t="inlineStr">
        <is>
          <t>COX-2 pathway modulation; NF-kB pathway inhibition; NFKB1 pathway; Nrf2 pathway activation</t>
        </is>
      </c>
      <c r="K74" s="181" t="inlineStr">
        <is>
          <t>nf-kb inhibition</t>
        </is>
      </c>
    </row>
    <row r="75">
      <c r="A75" s="181" t="inlineStr">
        <is>
          <t>turmeric</t>
        </is>
      </c>
      <c r="B75" s="181" t="inlineStr">
        <is>
          <t>Turmeric</t>
        </is>
      </c>
      <c r="C75" s="181" t="inlineStr">
        <is>
          <t>demethoxycurcumin</t>
        </is>
      </c>
      <c r="D75" s="181" t="inlineStr">
        <is>
          <t>demethoxycurcumin</t>
        </is>
      </c>
      <c r="E75" s="181" t="inlineStr">
        <is>
          <t>demethoxycurcumin</t>
        </is>
      </c>
      <c r="F75" s="181" t="inlineStr">
        <is>
          <t>herb_master_activeCompounds</t>
        </is>
      </c>
      <c r="G75" s="181" t="inlineStr">
        <is>
          <t>unmatched</t>
        </is>
      </c>
      <c r="H75" s="181" t="inlineStr">
        <is>
          <t>needs-normalization</t>
        </is>
      </c>
      <c r="I75" s="181" t="inlineStr">
        <is>
          <t>No</t>
        </is>
      </c>
      <c r="J75" s="181" t="str"/>
      <c r="K75" s="181" t="str"/>
    </row>
    <row r="76">
      <c r="A76" s="181" t="inlineStr">
        <is>
          <t>turmeric</t>
        </is>
      </c>
      <c r="B76" s="181" t="inlineStr">
        <is>
          <t>Turmeric</t>
        </is>
      </c>
      <c r="C76" s="181" t="inlineStr">
        <is>
          <t>bisdemethoxycurcumin</t>
        </is>
      </c>
      <c r="D76" s="181" t="inlineStr">
        <is>
          <t>bisdemethoxycurcumin</t>
        </is>
      </c>
      <c r="E76" s="181" t="inlineStr">
        <is>
          <t>bisdemethoxycurcumin</t>
        </is>
      </c>
      <c r="F76" s="181" t="inlineStr">
        <is>
          <t>herb_master_activeCompounds</t>
        </is>
      </c>
      <c r="G76" s="181" t="inlineStr">
        <is>
          <t>unmatched</t>
        </is>
      </c>
      <c r="H76" s="181" t="inlineStr">
        <is>
          <t>needs-normalization</t>
        </is>
      </c>
      <c r="I76" s="181" t="inlineStr">
        <is>
          <t>No</t>
        </is>
      </c>
      <c r="J76" s="181" t="str"/>
      <c r="K76" s="181" t="str"/>
    </row>
    <row r="77">
      <c r="A77" s="181" t="inlineStr">
        <is>
          <t>valerian</t>
        </is>
      </c>
      <c r="B77" s="181" t="inlineStr">
        <is>
          <t>Valerian</t>
        </is>
      </c>
      <c r="C77" s="181" t="inlineStr">
        <is>
          <t>valerenic acid</t>
        </is>
      </c>
      <c r="D77" s="181" t="inlineStr">
        <is>
          <t>valerenic acid</t>
        </is>
      </c>
      <c r="E77" s="181" t="inlineStr">
        <is>
          <t>valerenic acid</t>
        </is>
      </c>
      <c r="F77" s="181" t="inlineStr">
        <is>
          <t>herb_master_activeCompounds</t>
        </is>
      </c>
      <c r="G77" s="181" t="inlineStr">
        <is>
          <t>exact</t>
        </is>
      </c>
      <c r="H77" s="181" t="inlineStr">
        <is>
          <t>confirmed-in-herb-row</t>
        </is>
      </c>
      <c r="I77" s="181" t="inlineStr">
        <is>
          <t>Yes</t>
        </is>
      </c>
      <c r="J77" s="181" t="inlineStr">
        <is>
          <t>gabaergic_modulation; general or unknown targets</t>
        </is>
      </c>
      <c r="K77" s="181" t="inlineStr">
        <is>
          <t>GABAergic modulation; multi-target signaling modulation</t>
        </is>
      </c>
    </row>
    <row r="78">
      <c r="A78" s="181" t="inlineStr">
        <is>
          <t>valerian</t>
        </is>
      </c>
      <c r="B78" s="181" t="inlineStr">
        <is>
          <t>Valerian</t>
        </is>
      </c>
      <c r="C78" s="181" t="inlineStr">
        <is>
          <t>valerenol</t>
        </is>
      </c>
      <c r="D78" s="181" t="inlineStr">
        <is>
          <t>valerenol</t>
        </is>
      </c>
      <c r="E78" s="181" t="inlineStr">
        <is>
          <t>valerenol</t>
        </is>
      </c>
      <c r="F78" s="181" t="inlineStr">
        <is>
          <t>herb_master_activeCompounds</t>
        </is>
      </c>
      <c r="G78" s="181" t="inlineStr">
        <is>
          <t>exact</t>
        </is>
      </c>
      <c r="H78" s="181" t="inlineStr">
        <is>
          <t>confirmed-in-herb-row</t>
        </is>
      </c>
      <c r="I78" s="181" t="inlineStr">
        <is>
          <t>Yes</t>
        </is>
      </c>
      <c r="J78" s="181" t="inlineStr">
        <is>
          <t>gabaergic_modulation</t>
        </is>
      </c>
      <c r="K78" s="181" t="inlineStr">
        <is>
          <t>GABAergic modulation</t>
        </is>
      </c>
    </row>
    <row r="79">
      <c r="A79" s="181" t="inlineStr">
        <is>
          <t>valerian</t>
        </is>
      </c>
      <c r="B79" s="181" t="inlineStr">
        <is>
          <t>Valerian</t>
        </is>
      </c>
      <c r="C79" s="181" t="inlineStr">
        <is>
          <t>valerenal</t>
        </is>
      </c>
      <c r="D79" s="181" t="inlineStr">
        <is>
          <t>valerenal</t>
        </is>
      </c>
      <c r="E79" s="181" t="inlineStr">
        <is>
          <t>valerenal</t>
        </is>
      </c>
      <c r="F79" s="181" t="inlineStr">
        <is>
          <t>herb_master_activeCompounds</t>
        </is>
      </c>
      <c r="G79" s="181" t="inlineStr">
        <is>
          <t>unmatched</t>
        </is>
      </c>
      <c r="H79" s="181" t="inlineStr">
        <is>
          <t>needs-normalization</t>
        </is>
      </c>
      <c r="I79" s="181" t="inlineStr">
        <is>
          <t>No</t>
        </is>
      </c>
      <c r="J79" s="181" t="str"/>
      <c r="K79" s="181" t="str"/>
    </row>
    <row r="80">
      <c r="A80" s="181" t="inlineStr">
        <is>
          <t>valerian</t>
        </is>
      </c>
      <c r="B80" s="181" t="inlineStr">
        <is>
          <t>Valerian</t>
        </is>
      </c>
      <c r="C80" s="181" t="inlineStr">
        <is>
          <t>valepotriates (valtrate, isovaltrate)</t>
        </is>
      </c>
      <c r="D80" s="181" t="inlineStr">
        <is>
          <t>valepotriates valtrate isovaltrate</t>
        </is>
      </c>
      <c r="E80" s="181" t="inlineStr">
        <is>
          <t>valepotriates (valtrate, isovaltrate)</t>
        </is>
      </c>
      <c r="F80" s="181" t="inlineStr">
        <is>
          <t>herb_master_activeCompounds</t>
        </is>
      </c>
      <c r="G80" s="181" t="inlineStr">
        <is>
          <t>unmatched</t>
        </is>
      </c>
      <c r="H80" s="181" t="inlineStr">
        <is>
          <t>needs-normalization</t>
        </is>
      </c>
      <c r="I80" s="181" t="inlineStr">
        <is>
          <t>No</t>
        </is>
      </c>
      <c r="J80" s="181" t="str"/>
      <c r="K80" s="181" t="str"/>
    </row>
    <row r="81">
      <c r="A81" s="181" t="inlineStr">
        <is>
          <t>valerian</t>
        </is>
      </c>
      <c r="B81" s="181" t="inlineStr">
        <is>
          <t>Valerian</t>
        </is>
      </c>
      <c r="C81" s="181" t="inlineStr">
        <is>
          <t>sesquiterpenoids</t>
        </is>
      </c>
      <c r="D81" s="181" t="inlineStr">
        <is>
          <t>sesquiterpenoids</t>
        </is>
      </c>
      <c r="E81" s="181" t="inlineStr">
        <is>
          <t>sesquiterpenoids</t>
        </is>
      </c>
      <c r="F81" s="181" t="inlineStr">
        <is>
          <t>herb_master_activeCompounds</t>
        </is>
      </c>
      <c r="G81" s="181" t="inlineStr">
        <is>
          <t>unmatched</t>
        </is>
      </c>
      <c r="H81" s="181" t="inlineStr">
        <is>
          <t>needs-normalization</t>
        </is>
      </c>
      <c r="I81" s="181" t="inlineStr">
        <is>
          <t>No</t>
        </is>
      </c>
      <c r="J81" s="181" t="str"/>
      <c r="K81" s="181" t="str"/>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I444"/>
  <sheetViews>
    <sheetView workbookViewId="0">
      <selection activeCell="A1" sqref="A1"/>
    </sheetView>
  </sheetViews>
  <sheetFormatPr baseColWidth="8" defaultRowHeight="15"/>
  <cols>
    <col width="22" customWidth="1" style="76" min="1" max="1"/>
    <col width="20" customWidth="1" style="76" min="2" max="2"/>
    <col width="24" customWidth="1" style="76" min="3" max="3"/>
    <col width="24" customWidth="1" style="76" min="4" max="4"/>
    <col width="10" customWidth="1" style="76" min="5" max="5"/>
    <col width="24" customWidth="1" style="76" min="6" max="6"/>
    <col width="22" customWidth="1" style="76" min="7" max="7"/>
    <col width="16" customWidth="1" style="76" min="8" max="8"/>
    <col width="26" customWidth="1" style="76" min="9" max="9"/>
  </cols>
  <sheetData>
    <row r="1" ht="24" customHeight="1" s="76">
      <c r="A1" s="122" t="inlineStr">
        <is>
          <t>canonicalCompoundId</t>
        </is>
      </c>
      <c r="B1" s="122" t="inlineStr">
        <is>
          <t>compoundName</t>
        </is>
      </c>
      <c r="C1" s="122" t="inlineStr">
        <is>
          <t>herbSlugs</t>
        </is>
      </c>
      <c r="D1" s="122" t="inlineStr">
        <is>
          <t>herbNames</t>
        </is>
      </c>
      <c r="E1" s="122" t="inlineStr">
        <is>
          <t>herbCount</t>
        </is>
      </c>
      <c r="F1" s="122" t="inlineStr">
        <is>
          <t>pathwayTargets</t>
        </is>
      </c>
      <c r="G1" s="122" t="inlineStr">
        <is>
          <t>mechanismTags</t>
        </is>
      </c>
      <c r="H1" s="122" t="inlineStr">
        <is>
          <t>sourceQuality</t>
        </is>
      </c>
      <c r="I1" s="122" t="inlineStr">
        <is>
          <t>integrationNotes</t>
        </is>
      </c>
    </row>
    <row r="2">
      <c r="A2" s="181" t="inlineStr">
        <is>
          <t>11-keto-beta-boswellic acid</t>
        </is>
      </c>
      <c r="B2" s="181" t="inlineStr">
        <is>
          <t>11-keto-beta-boswellic acid</t>
        </is>
      </c>
      <c r="C2" s="181" t="inlineStr">
        <is>
          <t>frankincense-boswellia</t>
        </is>
      </c>
      <c r="D2" s="181" t="inlineStr">
        <is>
          <t>frankincense (boswellia)</t>
        </is>
      </c>
      <c r="E2" s="181" t="n">
        <v>1</v>
      </c>
      <c r="F2" s="181" t="inlineStr">
        <is>
          <t>general or unknown targets</t>
        </is>
      </c>
      <c r="G2" s="181" t="inlineStr">
        <is>
          <t>multi-target signaling modulation</t>
        </is>
      </c>
      <c r="H2" s="181" t="inlineStr">
        <is>
          <t>trusted_gov_added</t>
        </is>
      </c>
      <c r="I2" s="181" t="inlineStr">
        <is>
          <t>Integrated from cleaned high-signal dataset</t>
        </is>
      </c>
    </row>
    <row r="3">
      <c r="A3" s="181" t="inlineStr">
        <is>
          <t>5-hydroxytryptophan</t>
        </is>
      </c>
      <c r="B3" s="181" t="inlineStr">
        <is>
          <t>5-hydroxytryptophan (5-HTP)</t>
        </is>
      </c>
      <c r="C3" s="181" t="inlineStr">
        <is>
          <t>griffonia-simplicifolia</t>
        </is>
      </c>
      <c r="D3" s="181" t="inlineStr">
        <is>
          <t>griffonia simplicifolia</t>
        </is>
      </c>
      <c r="E3" s="181" t="n">
        <v>1</v>
      </c>
      <c r="F3" s="181" t="inlineStr">
        <is>
          <t>Aromatic L-amino-acid decarboxylase pathway; HTR1A, HTR2A (serotonin receptors); melatonin precursor biology; serotonin biosynthesis</t>
        </is>
      </c>
      <c r="G3" s="181" t="inlineStr">
        <is>
          <t>serotonergic modulation</t>
        </is>
      </c>
      <c r="H3" s="181" t="inlineStr">
        <is>
          <t>inferred_plus_trusted_gov</t>
        </is>
      </c>
      <c r="I3" s="181" t="inlineStr">
        <is>
          <t>Integrated from cleaned high-signal dataset; Integrated from compound monograph workbook</t>
        </is>
      </c>
    </row>
    <row r="4">
      <c r="A4" s="181" t="inlineStr">
        <is>
          <t>5-meo-dmt</t>
        </is>
      </c>
      <c r="B4" s="181" t="inlineStr">
        <is>
          <t>5-meo-dmt</t>
        </is>
      </c>
      <c r="C4" s="181" t="inlineStr">
        <is>
          <t>anadenanthera-colubrina; anadenanthera-colubrina-ceb-l; anadenanthera-peregrina; piptadenia-peregrina; virola-calophylla; virola-elongata; virola-sebifera; virola-spp.</t>
        </is>
      </c>
      <c r="D4" s="181" t="inlineStr">
        <is>
          <t>anadenanthera colubrina; anadenanthera colubrina (cebíl); anadenanthera peregrina; piptadenia peregrina; virola calophylla; virola elongata; virola sebifera; virola spp.</t>
        </is>
      </c>
      <c r="E4" s="181" t="n">
        <v>8</v>
      </c>
      <c r="F4" s="181" t="inlineStr">
        <is>
          <t>serotonergic_5HT2A_agonism</t>
        </is>
      </c>
      <c r="G4" s="181" t="inlineStr">
        <is>
          <t>serotonin receptor interaction</t>
        </is>
      </c>
      <c r="H4" s="181" t="inlineStr">
        <is>
          <t>inferred_plus_trusted_gov; trusted_gov_added</t>
        </is>
      </c>
      <c r="I4" s="181" t="inlineStr">
        <is>
          <t>Integrated from cleaned high-signal dataset</t>
        </is>
      </c>
    </row>
    <row r="5">
      <c r="A5" s="181" t="inlineStr">
        <is>
          <t>6-gingerol</t>
        </is>
      </c>
      <c r="B5" s="181" t="inlineStr">
        <is>
          <t>6-gingerol</t>
        </is>
      </c>
      <c r="C5" s="181" t="inlineStr">
        <is>
          <t>zingiber-officinale</t>
        </is>
      </c>
      <c r="D5" s="181" t="inlineStr">
        <is>
          <t>ginger</t>
        </is>
      </c>
      <c r="E5" s="181" t="n">
        <v>1</v>
      </c>
      <c r="F5" s="181" t="inlineStr">
        <is>
          <t>inflammatory_pathway_modulation</t>
        </is>
      </c>
      <c r="G5" s="181" t="inlineStr">
        <is>
          <t>COX/NF-kB inhibition</t>
        </is>
      </c>
      <c r="H5" s="181" t="inlineStr">
        <is>
          <t>trusted_gov_added</t>
        </is>
      </c>
      <c r="I5" s="181" t="inlineStr">
        <is>
          <t>Integrated from cleaned high-signal dataset</t>
        </is>
      </c>
    </row>
    <row r="6">
      <c r="A6" s="181" t="inlineStr">
        <is>
          <t>7-hydroxymitragynine</t>
        </is>
      </c>
      <c r="B6" s="181" t="inlineStr">
        <is>
          <t>7-hydroxymitragynine</t>
        </is>
      </c>
      <c r="C6" s="181" t="inlineStr">
        <is>
          <t>kratom-hybrids; mitragyna-speciosa</t>
        </is>
      </c>
      <c r="D6" s="181" t="inlineStr">
        <is>
          <t>kratom hybrids; mitragyna speciosa</t>
        </is>
      </c>
      <c r="E6" s="181" t="n">
        <v>2</v>
      </c>
      <c r="F6" s="181" t="inlineStr">
        <is>
          <t>general or unknown targets</t>
        </is>
      </c>
      <c r="G6" s="181" t="inlineStr">
        <is>
          <t>multi-target signaling modulation</t>
        </is>
      </c>
      <c r="H6" s="181" t="inlineStr">
        <is>
          <t>inferred_plus_trusted_gov; trusted_gov_added</t>
        </is>
      </c>
      <c r="I6" s="181" t="inlineStr">
        <is>
          <t>Integrated from cleaned high-signal dataset</t>
        </is>
      </c>
    </row>
    <row r="7">
      <c r="A7" s="181" t="inlineStr">
        <is>
          <t>8-cineole</t>
        </is>
      </c>
      <c r="B7" s="181" t="inlineStr">
        <is>
          <t>8-cineole</t>
        </is>
      </c>
      <c r="C7" s="181" t="inlineStr">
        <is>
          <t>artemisia-herba-alba; nepeta-cataria</t>
        </is>
      </c>
      <c r="D7" s="181" t="inlineStr">
        <is>
          <t>artemisia herba-alba; catnip</t>
        </is>
      </c>
      <c r="E7" s="181" t="n">
        <v>2</v>
      </c>
      <c r="F7" s="181" t="inlineStr">
        <is>
          <t>general or unknown targets</t>
        </is>
      </c>
      <c r="G7" s="181" t="inlineStr">
        <is>
          <t>multi-target signaling modulation</t>
        </is>
      </c>
      <c r="H7" s="181" t="inlineStr">
        <is>
          <t>inferred_plus_trusted_gov; trusted_gov_added</t>
        </is>
      </c>
      <c r="I7" s="181" t="inlineStr">
        <is>
          <t>Integrated from cleaned high-signal dataset</t>
        </is>
      </c>
    </row>
    <row r="8">
      <c r="A8" s="181" t="inlineStr">
        <is>
          <t>absinthin</t>
        </is>
      </c>
      <c r="B8" s="181" t="inlineStr">
        <is>
          <t>absinthin</t>
        </is>
      </c>
      <c r="C8" s="181" t="inlineStr">
        <is>
          <t>artemisia-absinthium</t>
        </is>
      </c>
      <c r="D8" s="181" t="inlineStr">
        <is>
          <t>artemisia absinthium</t>
        </is>
      </c>
      <c r="E8" s="181" t="n">
        <v>1</v>
      </c>
      <c r="F8" s="181" t="inlineStr">
        <is>
          <t>gabaergic_modulation</t>
        </is>
      </c>
      <c r="G8" s="181" t="inlineStr">
        <is>
          <t>GABAergic modulation</t>
        </is>
      </c>
      <c r="H8" s="181" t="inlineStr">
        <is>
          <t>trusted_gov_added</t>
        </is>
      </c>
      <c r="I8" s="181" t="inlineStr">
        <is>
          <t>Integrated from cleaned high-signal dataset</t>
        </is>
      </c>
    </row>
    <row r="9">
      <c r="A9" s="181" t="inlineStr">
        <is>
          <t>acetyl-11-keto-beta-boswellic acid</t>
        </is>
      </c>
      <c r="B9" s="181" t="inlineStr">
        <is>
          <t>acetyl-11-keto-beta-boswellic acid (akba)</t>
        </is>
      </c>
      <c r="C9" s="181" t="inlineStr">
        <is>
          <t>frankincense-boswellia</t>
        </is>
      </c>
      <c r="D9" s="181" t="inlineStr">
        <is>
          <t>frankincense (boswellia)</t>
        </is>
      </c>
      <c r="E9" s="181" t="n">
        <v>1</v>
      </c>
      <c r="F9" s="181" t="inlineStr">
        <is>
          <t>general or unknown targets</t>
        </is>
      </c>
      <c r="G9" s="181" t="inlineStr">
        <is>
          <t>multi-target signaling modulation</t>
        </is>
      </c>
      <c r="H9" s="181" t="inlineStr">
        <is>
          <t>trusted_gov_added</t>
        </is>
      </c>
      <c r="I9" s="181" t="inlineStr">
        <is>
          <t>Integrated from cleaned high-signal dataset</t>
        </is>
      </c>
    </row>
    <row r="10">
      <c r="A10" s="181" t="inlineStr">
        <is>
          <t>acetyl-beta-boswellic acid</t>
        </is>
      </c>
      <c r="B10" s="181" t="inlineStr">
        <is>
          <t>acetyl-beta-boswellic acid</t>
        </is>
      </c>
      <c r="C10" s="181" t="inlineStr">
        <is>
          <t>frankincense-boswellia</t>
        </is>
      </c>
      <c r="D10" s="181" t="inlineStr">
        <is>
          <t>frankincense (boswellia)</t>
        </is>
      </c>
      <c r="E10" s="181" t="n">
        <v>1</v>
      </c>
      <c r="F10" s="181" t="inlineStr">
        <is>
          <t>general or unknown targets</t>
        </is>
      </c>
      <c r="G10" s="181" t="inlineStr">
        <is>
          <t>multi-target signaling modulation</t>
        </is>
      </c>
      <c r="H10" s="181" t="inlineStr">
        <is>
          <t>trusted_gov_added</t>
        </is>
      </c>
      <c r="I10" s="181" t="inlineStr">
        <is>
          <t>Integrated from cleaned high-signal dataset</t>
        </is>
      </c>
    </row>
    <row r="11">
      <c r="A11" s="181" t="inlineStr">
        <is>
          <t>aconitine</t>
        </is>
      </c>
      <c r="B11" s="181" t="inlineStr">
        <is>
          <t>aconitine</t>
        </is>
      </c>
      <c r="C11" s="181" t="inlineStr">
        <is>
          <t>aconitum-ferox; aconitum-napellus</t>
        </is>
      </c>
      <c r="D11" s="181" t="inlineStr">
        <is>
          <t>aconitum ferox; aconitum napellus</t>
        </is>
      </c>
      <c r="E11" s="181" t="n">
        <v>2</v>
      </c>
      <c r="F11" s="181" t="inlineStr">
        <is>
          <t>general or unknown targets</t>
        </is>
      </c>
      <c r="G11" s="181" t="inlineStr">
        <is>
          <t>multi-target signaling modulation</t>
        </is>
      </c>
      <c r="H11" s="181" t="inlineStr">
        <is>
          <t>inferred_plus_trusted_gov</t>
        </is>
      </c>
      <c r="I11" s="181" t="inlineStr">
        <is>
          <t>Integrated from cleaned high-signal dataset</t>
        </is>
      </c>
    </row>
    <row r="12">
      <c r="A12" s="181" t="inlineStr">
        <is>
          <t>adenosine</t>
        </is>
      </c>
      <c r="B12" s="181" t="inlineStr">
        <is>
          <t>adenosine</t>
        </is>
      </c>
      <c r="C12" s="181" t="inlineStr">
        <is>
          <t>cordyceps-sinensis</t>
        </is>
      </c>
      <c r="D12" s="181" t="inlineStr">
        <is>
          <t>cordyceps sinensis</t>
        </is>
      </c>
      <c r="E12" s="181" t="n">
        <v>1</v>
      </c>
      <c r="F12" s="181" t="inlineStr">
        <is>
          <t>adenosine_antagonism</t>
        </is>
      </c>
      <c r="G12" s="181" t="inlineStr">
        <is>
          <t>adenosine receptor antagonism</t>
        </is>
      </c>
      <c r="H12" s="181" t="inlineStr">
        <is>
          <t>inferred_plus_trusted_gov</t>
        </is>
      </c>
      <c r="I12" s="181" t="inlineStr">
        <is>
          <t>Integrated from cleaned high-signal dataset</t>
        </is>
      </c>
    </row>
    <row r="13">
      <c r="A13" s="181" t="inlineStr">
        <is>
          <t>aegeline</t>
        </is>
      </c>
      <c r="B13" s="181" t="inlineStr">
        <is>
          <t>aegeline</t>
        </is>
      </c>
      <c r="C13" s="181" t="inlineStr">
        <is>
          <t>aegle-marmelos</t>
        </is>
      </c>
      <c r="D13" s="181" t="inlineStr">
        <is>
          <t>aegle marmelos</t>
        </is>
      </c>
      <c r="E13" s="181" t="n">
        <v>1</v>
      </c>
      <c r="F13" s="181" t="inlineStr">
        <is>
          <t>general or unknown targets</t>
        </is>
      </c>
      <c r="G13" s="181" t="inlineStr">
        <is>
          <t>multi-target signaling modulation</t>
        </is>
      </c>
      <c r="H13" s="181" t="inlineStr">
        <is>
          <t>trusted_gov_added</t>
        </is>
      </c>
      <c r="I13" s="181" t="inlineStr">
        <is>
          <t>Integrated from cleaned high-signal dataset</t>
        </is>
      </c>
    </row>
    <row r="14">
      <c r="A14" s="181" t="inlineStr">
        <is>
          <t>aescin</t>
        </is>
      </c>
      <c r="B14" s="181" t="inlineStr">
        <is>
          <t>aescin</t>
        </is>
      </c>
      <c r="C14" s="181" t="inlineStr">
        <is>
          <t>aesculus-hippocastanum</t>
        </is>
      </c>
      <c r="D14" s="181" t="inlineStr">
        <is>
          <t>aesculus hippocastanum</t>
        </is>
      </c>
      <c r="E14" s="181" t="n">
        <v>1</v>
      </c>
      <c r="F14" s="181" t="inlineStr">
        <is>
          <t>general or unknown targets</t>
        </is>
      </c>
      <c r="G14" s="181" t="inlineStr">
        <is>
          <t>multi-target signaling modulation</t>
        </is>
      </c>
      <c r="H14" s="181" t="inlineStr">
        <is>
          <t>inferred_plus_trusted_gov</t>
        </is>
      </c>
      <c r="I14" s="181" t="inlineStr">
        <is>
          <t>Integrated from cleaned high-signal dataset</t>
        </is>
      </c>
    </row>
    <row r="15">
      <c r="A15" s="181" t="inlineStr">
        <is>
          <t>aesculin</t>
        </is>
      </c>
      <c r="B15" s="181" t="inlineStr">
        <is>
          <t>aesculin</t>
        </is>
      </c>
      <c r="C15" s="181" t="inlineStr">
        <is>
          <t>aesculus-hippocastanum</t>
        </is>
      </c>
      <c r="D15" s="181" t="inlineStr">
        <is>
          <t>aesculus hippocastanum</t>
        </is>
      </c>
      <c r="E15" s="181" t="n">
        <v>1</v>
      </c>
      <c r="F15" s="181" t="inlineStr">
        <is>
          <t>general or unknown targets</t>
        </is>
      </c>
      <c r="G15" s="181" t="inlineStr">
        <is>
          <t>multi-target signaling modulation</t>
        </is>
      </c>
      <c r="H15" s="181" t="inlineStr">
        <is>
          <t>inferred_plus_trusted_gov</t>
        </is>
      </c>
      <c r="I15" s="181" t="inlineStr">
        <is>
          <t>Integrated from cleaned high-signal dataset</t>
        </is>
      </c>
    </row>
    <row r="16">
      <c r="A16" s="181" t="inlineStr">
        <is>
          <t>agnuside</t>
        </is>
      </c>
      <c r="B16" s="181" t="inlineStr">
        <is>
          <t>agnuside</t>
        </is>
      </c>
      <c r="C16" s="181" t="inlineStr">
        <is>
          <t>vitex-agnus-castus</t>
        </is>
      </c>
      <c r="D16" s="181" t="inlineStr">
        <is>
          <t>vitex agnus-castus</t>
        </is>
      </c>
      <c r="E16" s="181" t="n">
        <v>1</v>
      </c>
      <c r="F16" s="181" t="inlineStr">
        <is>
          <t>general or unknown targets</t>
        </is>
      </c>
      <c r="G16" s="181" t="inlineStr">
        <is>
          <t>multi-target signaling modulation</t>
        </is>
      </c>
      <c r="H16" s="181" t="inlineStr">
        <is>
          <t>inferred_plus_trusted_gov</t>
        </is>
      </c>
      <c r="I16" s="181" t="inlineStr">
        <is>
          <t>Integrated from cleaned high-signal dataset</t>
        </is>
      </c>
    </row>
    <row r="17">
      <c r="A17" s="181" t="inlineStr">
        <is>
          <t>agrimoniin</t>
        </is>
      </c>
      <c r="B17" s="181" t="inlineStr">
        <is>
          <t>agrimoniin</t>
        </is>
      </c>
      <c r="C17" s="181" t="inlineStr">
        <is>
          <t>agrimonia-eupatoria</t>
        </is>
      </c>
      <c r="D17" s="181" t="inlineStr">
        <is>
          <t>agrimonia eupatoria</t>
        </is>
      </c>
      <c r="E17" s="181" t="n">
        <v>1</v>
      </c>
      <c r="F17" s="181" t="inlineStr">
        <is>
          <t>general or unknown targets</t>
        </is>
      </c>
      <c r="G17" s="181" t="inlineStr">
        <is>
          <t>multi-target signaling modulation</t>
        </is>
      </c>
      <c r="H17" s="181" t="inlineStr">
        <is>
          <t>inferred_plus_trusted_gov</t>
        </is>
      </c>
      <c r="I17" s="181" t="inlineStr">
        <is>
          <t>Integrated from cleaned high-signal dataset</t>
        </is>
      </c>
    </row>
    <row r="18">
      <c r="A18" s="181" t="inlineStr">
        <is>
          <t>ajmaline</t>
        </is>
      </c>
      <c r="B18" s="181" t="inlineStr">
        <is>
          <t>ajmaline</t>
        </is>
      </c>
      <c r="C18" s="181" t="inlineStr">
        <is>
          <t>rauvolfia-serpentina; rauvolfia-vomitoria</t>
        </is>
      </c>
      <c r="D18" s="181" t="inlineStr">
        <is>
          <t>rauvolfia serpentina; rauvolfia vomitoria</t>
        </is>
      </c>
      <c r="E18" s="181" t="n">
        <v>2</v>
      </c>
      <c r="F18" s="181" t="inlineStr">
        <is>
          <t>general or unknown targets</t>
        </is>
      </c>
      <c r="G18" s="181" t="inlineStr">
        <is>
          <t>multi-target signaling modulation</t>
        </is>
      </c>
      <c r="H18" s="181" t="inlineStr">
        <is>
          <t>inferred_plus_trusted_gov</t>
        </is>
      </c>
      <c r="I18" s="181" t="inlineStr">
        <is>
          <t>Integrated from cleaned high-signal dataset</t>
        </is>
      </c>
    </row>
    <row r="19">
      <c r="A19" s="181" t="inlineStr">
        <is>
          <t>ajoene</t>
        </is>
      </c>
      <c r="B19" s="181" t="inlineStr">
        <is>
          <t>ajoene</t>
        </is>
      </c>
      <c r="C19" s="181" t="inlineStr">
        <is>
          <t>allium-sativum</t>
        </is>
      </c>
      <c r="D19" s="181" t="inlineStr">
        <is>
          <t>allium sativum</t>
        </is>
      </c>
      <c r="E19" s="181" t="n">
        <v>1</v>
      </c>
      <c r="F19" s="181" t="inlineStr">
        <is>
          <t>general or unknown targets</t>
        </is>
      </c>
      <c r="G19" s="181" t="inlineStr">
        <is>
          <t>multi-target signaling modulation</t>
        </is>
      </c>
      <c r="H19" s="181" t="inlineStr">
        <is>
          <t>inferred_plus_trusted_gov</t>
        </is>
      </c>
      <c r="I19" s="181" t="inlineStr">
        <is>
          <t>Integrated from cleaned high-signal dataset</t>
        </is>
      </c>
    </row>
    <row r="20">
      <c r="A20" s="181" t="inlineStr">
        <is>
          <t>akba</t>
        </is>
      </c>
      <c r="B20" s="181" t="inlineStr">
        <is>
          <t>akba</t>
        </is>
      </c>
      <c r="C20" s="181" t="inlineStr">
        <is>
          <t>boswellia-sacra</t>
        </is>
      </c>
      <c r="D20" s="181" t="inlineStr">
        <is>
          <t>boswellia sacra</t>
        </is>
      </c>
      <c r="E20" s="181" t="n">
        <v>1</v>
      </c>
      <c r="F20" s="181" t="inlineStr">
        <is>
          <t>general or unknown targets</t>
        </is>
      </c>
      <c r="G20" s="181" t="inlineStr">
        <is>
          <t>multi-target signaling modulation</t>
        </is>
      </c>
      <c r="H20" s="181" t="inlineStr">
        <is>
          <t>inferred_plus_trusted_gov</t>
        </is>
      </c>
      <c r="I20" s="181" t="inlineStr">
        <is>
          <t>Integrated from cleaned high-signal dataset</t>
        </is>
      </c>
    </row>
    <row r="21">
      <c r="A21" s="181" t="inlineStr">
        <is>
          <t>alangine</t>
        </is>
      </c>
      <c r="B21" s="181" t="inlineStr">
        <is>
          <t>alangine</t>
        </is>
      </c>
      <c r="C21" s="181" t="inlineStr">
        <is>
          <t>alangium-salvifolium</t>
        </is>
      </c>
      <c r="D21" s="181" t="inlineStr">
        <is>
          <t>alangium salvifolium</t>
        </is>
      </c>
      <c r="E21" s="181" t="n">
        <v>1</v>
      </c>
      <c r="F21" s="181" t="inlineStr">
        <is>
          <t>general or unknown targets</t>
        </is>
      </c>
      <c r="G21" s="181" t="inlineStr">
        <is>
          <t>multi-target signaling modulation</t>
        </is>
      </c>
      <c r="H21" s="181" t="inlineStr">
        <is>
          <t>inferred_plus_trusted_gov</t>
        </is>
      </c>
      <c r="I21" s="181" t="inlineStr">
        <is>
          <t>Integrated from cleaned high-signal dataset</t>
        </is>
      </c>
    </row>
    <row r="22">
      <c r="A22" s="181" t="inlineStr">
        <is>
          <t>alchorneine</t>
        </is>
      </c>
      <c r="B22" s="181" t="inlineStr">
        <is>
          <t>alchorneine</t>
        </is>
      </c>
      <c r="C22" s="181" t="inlineStr">
        <is>
          <t>alchornea-floribunda</t>
        </is>
      </c>
      <c r="D22" s="181" t="inlineStr">
        <is>
          <t>alchornea floribunda</t>
        </is>
      </c>
      <c r="E22" s="181" t="n">
        <v>1</v>
      </c>
      <c r="F22" s="181" t="inlineStr">
        <is>
          <t>general or unknown targets</t>
        </is>
      </c>
      <c r="G22" s="181" t="inlineStr">
        <is>
          <t>multi-target signaling modulation</t>
        </is>
      </c>
      <c r="H22" s="181" t="inlineStr">
        <is>
          <t>inferred_plus_trusted_gov</t>
        </is>
      </c>
      <c r="I22" s="181" t="inlineStr">
        <is>
          <t>Integrated from cleaned high-signal dataset</t>
        </is>
      </c>
    </row>
    <row r="23">
      <c r="A23" s="181" t="inlineStr">
        <is>
          <t>allantoin</t>
        </is>
      </c>
      <c r="B23" s="181" t="inlineStr">
        <is>
          <t>allantoin</t>
        </is>
      </c>
      <c r="C23" s="181" t="inlineStr">
        <is>
          <t>plantago-major; symphytum-officinale</t>
        </is>
      </c>
      <c r="D23" s="181" t="inlineStr">
        <is>
          <t>plantago major; symphytum officinale</t>
        </is>
      </c>
      <c r="E23" s="181" t="n">
        <v>2</v>
      </c>
      <c r="F23" s="181" t="inlineStr">
        <is>
          <t>general or unknown targets</t>
        </is>
      </c>
      <c r="G23" s="181" t="inlineStr">
        <is>
          <t>multi-target signaling modulation</t>
        </is>
      </c>
      <c r="H23" s="181" t="inlineStr">
        <is>
          <t>inferred_plus_trusted_gov</t>
        </is>
      </c>
      <c r="I23" s="181" t="inlineStr">
        <is>
          <t>Integrated from cleaned high-signal dataset</t>
        </is>
      </c>
    </row>
    <row r="24">
      <c r="A24" s="181" t="inlineStr">
        <is>
          <t>allicin</t>
        </is>
      </c>
      <c r="B24" s="181" t="inlineStr">
        <is>
          <t>allicin</t>
        </is>
      </c>
      <c r="C24" s="181" t="inlineStr">
        <is>
          <t>allium-sativum</t>
        </is>
      </c>
      <c r="D24" s="181" t="inlineStr">
        <is>
          <t>allium sativum</t>
        </is>
      </c>
      <c r="E24" s="181" t="n">
        <v>1</v>
      </c>
      <c r="F24" s="181" t="inlineStr">
        <is>
          <t>general or unknown targets</t>
        </is>
      </c>
      <c r="G24" s="181" t="inlineStr">
        <is>
          <t>multi-target signaling modulation</t>
        </is>
      </c>
      <c r="H24" s="181" t="inlineStr">
        <is>
          <t>inferred_plus_trusted_gov</t>
        </is>
      </c>
      <c r="I24" s="181" t="inlineStr">
        <is>
          <t>Integrated from cleaned high-signal dataset</t>
        </is>
      </c>
    </row>
    <row r="25">
      <c r="A25" s="181" t="inlineStr">
        <is>
          <t>allyl isothiocyanate</t>
        </is>
      </c>
      <c r="B25" s="181" t="inlineStr">
        <is>
          <t>allyl isothiocyanate</t>
        </is>
      </c>
      <c r="C25" s="181" t="inlineStr">
        <is>
          <t>armoracia-rusticana</t>
        </is>
      </c>
      <c r="D25" s="181" t="inlineStr">
        <is>
          <t>armoracia rusticana</t>
        </is>
      </c>
      <c r="E25" s="181" t="n">
        <v>1</v>
      </c>
      <c r="F25" s="181" t="inlineStr">
        <is>
          <t>general or unknown targets</t>
        </is>
      </c>
      <c r="G25" s="181" t="inlineStr">
        <is>
          <t>multi-target signaling modulation</t>
        </is>
      </c>
      <c r="H25" s="181" t="inlineStr">
        <is>
          <t>inferred_plus_trusted_gov</t>
        </is>
      </c>
      <c r="I25" s="181" t="inlineStr">
        <is>
          <t>Integrated from cleaned high-signal dataset</t>
        </is>
      </c>
    </row>
    <row r="26">
      <c r="A26" s="181" t="inlineStr">
        <is>
          <t>aloe-emodin</t>
        </is>
      </c>
      <c r="B26" s="181" t="inlineStr">
        <is>
          <t>aloe-emodin</t>
        </is>
      </c>
      <c r="C26" s="181" t="inlineStr">
        <is>
          <t>cassia-alata; cassia-occidentalis</t>
        </is>
      </c>
      <c r="D26" s="181" t="inlineStr">
        <is>
          <t>cassia alata; cassia occidentalis</t>
        </is>
      </c>
      <c r="E26" s="181" t="n">
        <v>2</v>
      </c>
      <c r="F26" s="181" t="inlineStr">
        <is>
          <t>MAPK pathway; NF-kB inhibition; general or unknown targets</t>
        </is>
      </c>
      <c r="G26" s="181" t="inlineStr">
        <is>
          <t>multi-target signaling modulation</t>
        </is>
      </c>
      <c r="H26" s="181" t="inlineStr">
        <is>
          <t>inferred_plus_trusted_gov</t>
        </is>
      </c>
      <c r="I26" s="181" t="inlineStr">
        <is>
          <t>Integrated from cleaned high-signal dataset; Integrated from compound monograph workbook</t>
        </is>
      </c>
    </row>
    <row r="27">
      <c r="A27" s="181" t="inlineStr">
        <is>
          <t>aloin</t>
        </is>
      </c>
      <c r="B27" s="181" t="inlineStr">
        <is>
          <t>aloin</t>
        </is>
      </c>
      <c r="C27" s="181" t="inlineStr">
        <is>
          <t>aloe-vera</t>
        </is>
      </c>
      <c r="D27" s="181" t="inlineStr">
        <is>
          <t>aloe vera</t>
        </is>
      </c>
      <c r="E27" s="181" t="n">
        <v>1</v>
      </c>
      <c r="F27" s="181" t="inlineStr">
        <is>
          <t>general or unknown targets</t>
        </is>
      </c>
      <c r="G27" s="181" t="inlineStr">
        <is>
          <t>multi-target signaling modulation</t>
        </is>
      </c>
      <c r="H27" s="181" t="inlineStr">
        <is>
          <t>inferred_plus_trusted_gov</t>
        </is>
      </c>
      <c r="I27" s="181" t="inlineStr">
        <is>
          <t>Integrated from cleaned high-signal dataset</t>
        </is>
      </c>
    </row>
    <row r="28">
      <c r="A28" s="181" t="inlineStr">
        <is>
          <t>alpha-asarone</t>
        </is>
      </c>
      <c r="B28" s="181" t="inlineStr">
        <is>
          <t>alpha-asarone</t>
        </is>
      </c>
      <c r="C28" s="181" t="inlineStr">
        <is>
          <t>acorus-americanus; acorus-calamus; acorus-calamus-angustatus; acorus-tatarinowii</t>
        </is>
      </c>
      <c r="D28" s="181" t="inlineStr">
        <is>
          <t>acorus americanus; acorus calamus; acorus calamus var. angustatus; acorus tatarinowii</t>
        </is>
      </c>
      <c r="E28" s="181" t="n">
        <v>4</v>
      </c>
      <c r="F28" s="181" t="inlineStr">
        <is>
          <t>gabaergic_modulation; general or unknown targets</t>
        </is>
      </c>
      <c r="G28" s="181" t="inlineStr">
        <is>
          <t>GABAergic modulation; multi-target signaling modulation</t>
        </is>
      </c>
      <c r="H28" s="181" t="inlineStr">
        <is>
          <t>inferred_plus_trusted_gov; trusted_gov_added</t>
        </is>
      </c>
      <c r="I28" s="181" t="inlineStr">
        <is>
          <t>Integrated from cleaned high-signal dataset</t>
        </is>
      </c>
    </row>
    <row r="29">
      <c r="A29" s="181" t="inlineStr">
        <is>
          <t>alpha-bisabolol</t>
        </is>
      </c>
      <c r="B29" s="181" t="inlineStr">
        <is>
          <t>alpha-bisabolol</t>
        </is>
      </c>
      <c r="C29" s="181" t="inlineStr">
        <is>
          <t>matricaria-chamomilla</t>
        </is>
      </c>
      <c r="D29" s="181" t="inlineStr">
        <is>
          <t>chamomile</t>
        </is>
      </c>
      <c r="E29" s="181" t="n">
        <v>1</v>
      </c>
      <c r="F29" s="181" t="inlineStr">
        <is>
          <t>gabaergic_modulation; inflammatory_pathway_modulation</t>
        </is>
      </c>
      <c r="G29" s="181" t="inlineStr">
        <is>
          <t>GABAergic modulation</t>
        </is>
      </c>
      <c r="H29" s="181" t="inlineStr">
        <is>
          <t>trusted_gov_added</t>
        </is>
      </c>
      <c r="I29" s="181" t="inlineStr">
        <is>
          <t>Integrated from cleaned high-signal dataset</t>
        </is>
      </c>
    </row>
    <row r="30">
      <c r="A30" s="181" t="inlineStr">
        <is>
          <t>alpha-pinene</t>
        </is>
      </c>
      <c r="B30" s="181" t="inlineStr">
        <is>
          <t>alpha-pinene</t>
        </is>
      </c>
      <c r="C30" s="181" t="inlineStr">
        <is>
          <t>juniperus-sibirica</t>
        </is>
      </c>
      <c r="D30" s="181" t="inlineStr">
        <is>
          <t>juniperus sibirica</t>
        </is>
      </c>
      <c r="E30" s="181" t="n">
        <v>1</v>
      </c>
      <c r="F30" s="181" t="inlineStr">
        <is>
          <t>general or unknown targets</t>
        </is>
      </c>
      <c r="G30" s="181" t="inlineStr">
        <is>
          <t>multi-target signaling modulation</t>
        </is>
      </c>
      <c r="H30" s="181" t="inlineStr">
        <is>
          <t>inferred_plus_trusted_gov</t>
        </is>
      </c>
      <c r="I30" s="181" t="inlineStr">
        <is>
          <t>Integrated from cleaned high-signal dataset</t>
        </is>
      </c>
    </row>
    <row r="31">
      <c r="A31" s="181" t="inlineStr">
        <is>
          <t>alpha-terpineol</t>
        </is>
      </c>
      <c r="B31" s="181" t="inlineStr">
        <is>
          <t>α-terpineol</t>
        </is>
      </c>
      <c r="C31" s="181" t="inlineStr">
        <is>
          <t>bursera-graveolens</t>
        </is>
      </c>
      <c r="D31" s="181" t="inlineStr">
        <is>
          <t>bursera graveolens</t>
        </is>
      </c>
      <c r="E31" s="181" t="n">
        <v>1</v>
      </c>
      <c r="F31" s="181" t="inlineStr">
        <is>
          <t>general or unknown targets</t>
        </is>
      </c>
      <c r="G31" s="181" t="inlineStr">
        <is>
          <t>multi-target signaling modulation</t>
        </is>
      </c>
      <c r="H31" s="181" t="inlineStr">
        <is>
          <t>inferred_plus_trusted_gov</t>
        </is>
      </c>
      <c r="I31" s="181" t="inlineStr">
        <is>
          <t>Integrated from cleaned high-signal dataset</t>
        </is>
      </c>
    </row>
    <row r="32">
      <c r="A32" s="181" t="inlineStr">
        <is>
          <t>alpha-thujone</t>
        </is>
      </c>
      <c r="B32" s="181" t="inlineStr">
        <is>
          <t>alpha-thujone</t>
        </is>
      </c>
      <c r="C32" s="181" t="inlineStr">
        <is>
          <t>artemisia-absinthium</t>
        </is>
      </c>
      <c r="D32" s="181" t="inlineStr">
        <is>
          <t>artemisia absinthium</t>
        </is>
      </c>
      <c r="E32" s="181" t="n">
        <v>1</v>
      </c>
      <c r="F32" s="181" t="inlineStr">
        <is>
          <t>gabaergic_modulation</t>
        </is>
      </c>
      <c r="G32" s="181" t="inlineStr">
        <is>
          <t>GABAergic modulation</t>
        </is>
      </c>
      <c r="H32" s="181" t="inlineStr">
        <is>
          <t>trusted_gov_added</t>
        </is>
      </c>
      <c r="I32" s="181" t="inlineStr">
        <is>
          <t>Integrated from cleaned high-signal dataset</t>
        </is>
      </c>
    </row>
    <row r="33">
      <c r="A33" s="181" t="inlineStr">
        <is>
          <t>amarogentin</t>
        </is>
      </c>
      <c r="B33" s="181" t="inlineStr">
        <is>
          <t>amarogentin</t>
        </is>
      </c>
      <c r="C33" s="181" t="inlineStr">
        <is>
          <t>gentiana-lutea</t>
        </is>
      </c>
      <c r="D33" s="181" t="inlineStr">
        <is>
          <t>gentiana lutea</t>
        </is>
      </c>
      <c r="E33" s="181" t="n">
        <v>1</v>
      </c>
      <c r="F33" s="181" t="inlineStr">
        <is>
          <t>general or unknown targets</t>
        </is>
      </c>
      <c r="G33" s="181" t="inlineStr">
        <is>
          <t>multi-target signaling modulation</t>
        </is>
      </c>
      <c r="H33" s="181" t="inlineStr">
        <is>
          <t>inferred_plus_trusted_gov</t>
        </is>
      </c>
      <c r="I33" s="181" t="inlineStr">
        <is>
          <t>Integrated from cleaned high-signal dataset</t>
        </is>
      </c>
    </row>
    <row r="34">
      <c r="A34" s="181" t="inlineStr">
        <is>
          <t>amentoflavone</t>
        </is>
      </c>
      <c r="B34" s="181" t="inlineStr">
        <is>
          <t>amentoflavone</t>
        </is>
      </c>
      <c r="C34" s="181" t="inlineStr">
        <is>
          <t>selaginella-tamariscina</t>
        </is>
      </c>
      <c r="D34" s="181" t="inlineStr">
        <is>
          <t>selaginella tamariscina</t>
        </is>
      </c>
      <c r="E34" s="181" t="n">
        <v>1</v>
      </c>
      <c r="F34" s="181" t="inlineStr">
        <is>
          <t>general or unknown targets</t>
        </is>
      </c>
      <c r="G34" s="181" t="inlineStr">
        <is>
          <t>multi-target signaling modulation</t>
        </is>
      </c>
      <c r="H34" s="181" t="inlineStr">
        <is>
          <t>inferred_plus_trusted_gov</t>
        </is>
      </c>
      <c r="I34" s="181" t="inlineStr">
        <is>
          <t>Integrated from cleaned high-signal dataset</t>
        </is>
      </c>
    </row>
    <row r="35">
      <c r="A35" s="181" t="inlineStr">
        <is>
          <t>anabasine</t>
        </is>
      </c>
      <c r="B35" s="181" t="inlineStr">
        <is>
          <t>anabasine</t>
        </is>
      </c>
      <c r="C35" s="181" t="inlineStr">
        <is>
          <t>nicotiana-rustica</t>
        </is>
      </c>
      <c r="D35" s="181" t="inlineStr">
        <is>
          <t>nicotiana rustica</t>
        </is>
      </c>
      <c r="E35" s="181" t="n">
        <v>1</v>
      </c>
      <c r="F35" s="181" t="inlineStr">
        <is>
          <t>cholinergic_modulation; dopaminergic_modulation</t>
        </is>
      </c>
      <c r="G35" s="181" t="inlineStr">
        <is>
          <t>muscarinic receptor interaction</t>
        </is>
      </c>
      <c r="H35" s="181" t="inlineStr">
        <is>
          <t>trusted_gov_added</t>
        </is>
      </c>
      <c r="I35" s="181" t="inlineStr">
        <is>
          <t>Integrated from cleaned high-signal dataset</t>
        </is>
      </c>
    </row>
    <row r="36">
      <c r="A36" s="181" t="inlineStr">
        <is>
          <t>anethole</t>
        </is>
      </c>
      <c r="B36" s="181" t="inlineStr">
        <is>
          <t>anethole</t>
        </is>
      </c>
      <c r="C36" s="181" t="inlineStr">
        <is>
          <t>agastache-foeniculum; foeniculum-vulgare; pimpinella-anisum</t>
        </is>
      </c>
      <c r="D36" s="181" t="inlineStr">
        <is>
          <t>agastache foeniculum; foeniculum vulgare; pimpinella anisum</t>
        </is>
      </c>
      <c r="E36" s="181" t="n">
        <v>3</v>
      </c>
      <c r="F36" s="181" t="inlineStr">
        <is>
          <t>general or unknown targets</t>
        </is>
      </c>
      <c r="G36" s="181" t="inlineStr">
        <is>
          <t>multi-target signaling modulation</t>
        </is>
      </c>
      <c r="H36" s="181" t="inlineStr">
        <is>
          <t>inferred_plus_trusted_gov</t>
        </is>
      </c>
      <c r="I36" s="181" t="inlineStr">
        <is>
          <t>Integrated from cleaned high-signal dataset</t>
        </is>
      </c>
    </row>
    <row r="37">
      <c r="A37" s="181" t="inlineStr">
        <is>
          <t>anisomelic acid</t>
        </is>
      </c>
      <c r="B37" s="181" t="inlineStr">
        <is>
          <t>anisomelic acid</t>
        </is>
      </c>
      <c r="C37" s="181" t="inlineStr">
        <is>
          <t>anisomeles-indica</t>
        </is>
      </c>
      <c r="D37" s="181" t="inlineStr">
        <is>
          <t>anisomeles indica</t>
        </is>
      </c>
      <c r="E37" s="181" t="n">
        <v>1</v>
      </c>
      <c r="F37" s="181" t="inlineStr">
        <is>
          <t>general or unknown targets</t>
        </is>
      </c>
      <c r="G37" s="181" t="inlineStr">
        <is>
          <t>multi-target signaling modulation</t>
        </is>
      </c>
      <c r="H37" s="181" t="inlineStr">
        <is>
          <t>inferred_plus_trusted_gov</t>
        </is>
      </c>
      <c r="I37" s="181" t="inlineStr">
        <is>
          <t>Integrated from cleaned high-signal dataset</t>
        </is>
      </c>
    </row>
    <row r="38">
      <c r="A38" s="181" t="inlineStr">
        <is>
          <t>annonacin</t>
        </is>
      </c>
      <c r="B38" s="181" t="inlineStr">
        <is>
          <t>annonacin</t>
        </is>
      </c>
      <c r="C38" s="181" t="inlineStr">
        <is>
          <t>annona-muricata</t>
        </is>
      </c>
      <c r="D38" s="181" t="inlineStr">
        <is>
          <t>annona muricata</t>
        </is>
      </c>
      <c r="E38" s="181" t="n">
        <v>1</v>
      </c>
      <c r="F38" s="181" t="inlineStr">
        <is>
          <t>general or unknown targets</t>
        </is>
      </c>
      <c r="G38" s="181" t="inlineStr">
        <is>
          <t>multi-target signaling modulation</t>
        </is>
      </c>
      <c r="H38" s="181" t="inlineStr">
        <is>
          <t>inferred_plus_trusted_gov</t>
        </is>
      </c>
      <c r="I38" s="181" t="inlineStr">
        <is>
          <t>Integrated from cleaned high-signal dataset</t>
        </is>
      </c>
    </row>
    <row r="39">
      <c r="A39" s="181" t="inlineStr">
        <is>
          <t>anonaine</t>
        </is>
      </c>
      <c r="B39" s="181" t="inlineStr">
        <is>
          <t>anonaine</t>
        </is>
      </c>
      <c r="C39" s="181" t="inlineStr">
        <is>
          <t>nelumbo-lutea</t>
        </is>
      </c>
      <c r="D39" s="181" t="inlineStr">
        <is>
          <t>american yellow lotus</t>
        </is>
      </c>
      <c r="E39" s="181" t="n">
        <v>1</v>
      </c>
      <c r="F39" s="181" t="inlineStr">
        <is>
          <t>general or unknown targets</t>
        </is>
      </c>
      <c r="G39" s="181" t="inlineStr">
        <is>
          <t>multi-target signaling modulation</t>
        </is>
      </c>
      <c r="H39" s="181" t="inlineStr">
        <is>
          <t>trusted_gov_added</t>
        </is>
      </c>
      <c r="I39" s="181" t="inlineStr">
        <is>
          <t>Integrated from cleaned high-signal dataset</t>
        </is>
      </c>
    </row>
    <row r="40">
      <c r="A40" s="181" t="inlineStr">
        <is>
          <t>anthocyanins delphinidin</t>
        </is>
      </c>
      <c r="B40" s="181" t="inlineStr">
        <is>
          <t>anthocyanins (delphinidin</t>
        </is>
      </c>
      <c r="C40" s="181" t="inlineStr">
        <is>
          <t>hibiscus-sabdariffa</t>
        </is>
      </c>
      <c r="D40" s="181" t="inlineStr">
        <is>
          <t>hibiscus sabdariffa</t>
        </is>
      </c>
      <c r="E40" s="181" t="n">
        <v>1</v>
      </c>
      <c r="F40" s="181" t="inlineStr">
        <is>
          <t>general or unknown targets</t>
        </is>
      </c>
      <c r="G40" s="181" t="inlineStr">
        <is>
          <t>multi-target signaling modulation</t>
        </is>
      </c>
      <c r="H40" s="181" t="inlineStr">
        <is>
          <t>trusted_gov_added</t>
        </is>
      </c>
      <c r="I40" s="181" t="inlineStr">
        <is>
          <t>Integrated from cleaned high-signal dataset</t>
        </is>
      </c>
    </row>
    <row r="41">
      <c r="A41" s="181" t="inlineStr">
        <is>
          <t>apigenin</t>
        </is>
      </c>
      <c r="B41" s="181" t="inlineStr">
        <is>
          <t>apigenin</t>
        </is>
      </c>
      <c r="C41" s="181" t="inlineStr">
        <is>
          <t>amorpha-fruticosa; apium-graveolens; matricaria-chamomilla; turnera-diffusa</t>
        </is>
      </c>
      <c r="D41" s="181" t="inlineStr">
        <is>
          <t>amorpha fruticosa; apium graveolens; chamomile; matricaria chamomilla; turnera diffusa</t>
        </is>
      </c>
      <c r="E41" s="181" t="n">
        <v>4</v>
      </c>
      <c r="F41" s="181" t="inlineStr">
        <is>
          <t>cholinergic_modulation; gabaergic_modulation; general or unknown targets; inflammatory_pathway_modulation</t>
        </is>
      </c>
      <c r="G41" s="181" t="inlineStr">
        <is>
          <t>GABAergic modulation; multi-target signaling modulation; muscarinic receptor interaction</t>
        </is>
      </c>
      <c r="H41" s="181" t="inlineStr">
        <is>
          <t>inferred_plus_trusted_gov; trusted_gov_added</t>
        </is>
      </c>
      <c r="I41" s="181" t="inlineStr">
        <is>
          <t>Integrated from cleaned high-signal dataset</t>
        </is>
      </c>
    </row>
    <row r="42">
      <c r="A42" s="181" t="inlineStr">
        <is>
          <t>apomorphine</t>
        </is>
      </c>
      <c r="B42" s="181" t="inlineStr">
        <is>
          <t>apomorphine</t>
        </is>
      </c>
      <c r="C42" s="181" t="inlineStr">
        <is>
          <t>blue-lotus-nymphaea-caerulea</t>
        </is>
      </c>
      <c r="D42" s="181" t="inlineStr">
        <is>
          <t>blue lotus (nymphaea caerulea)</t>
        </is>
      </c>
      <c r="E42" s="181" t="n">
        <v>1</v>
      </c>
      <c r="F42" s="181" t="inlineStr">
        <is>
          <t>dopaminergic_modulation</t>
        </is>
      </c>
      <c r="G42" s="181" t="inlineStr">
        <is>
          <t>multi-target signaling modulation</t>
        </is>
      </c>
      <c r="H42" s="181" t="inlineStr">
        <is>
          <t>trusted_gov_added</t>
        </is>
      </c>
      <c r="I42" s="181" t="inlineStr">
        <is>
          <t>Integrated from cleaned high-signal dataset</t>
        </is>
      </c>
    </row>
    <row r="43">
      <c r="A43" s="181" t="inlineStr">
        <is>
          <t>arbutin</t>
        </is>
      </c>
      <c r="B43" s="181" t="inlineStr">
        <is>
          <t>arbutin</t>
        </is>
      </c>
      <c r="C43" s="181" t="inlineStr">
        <is>
          <t>chimaphila-umbellata; turnera-diffusa</t>
        </is>
      </c>
      <c r="D43" s="181" t="inlineStr">
        <is>
          <t>chimaphila umbellata; turnera diffusa</t>
        </is>
      </c>
      <c r="E43" s="181" t="n">
        <v>2</v>
      </c>
      <c r="F43" s="181" t="inlineStr">
        <is>
          <t>gabaergic_modulation; general or unknown targets</t>
        </is>
      </c>
      <c r="G43" s="181" t="inlineStr">
        <is>
          <t>GABAergic modulation; multi-target signaling modulation</t>
        </is>
      </c>
      <c r="H43" s="181" t="inlineStr">
        <is>
          <t>inferred_plus_trusted_gov; trusted_gov_added</t>
        </is>
      </c>
      <c r="I43" s="181" t="inlineStr">
        <is>
          <t>Integrated from cleaned high-signal dataset</t>
        </is>
      </c>
    </row>
    <row r="44">
      <c r="A44" s="181" t="inlineStr">
        <is>
          <t>arctiin</t>
        </is>
      </c>
      <c r="B44" s="181" t="inlineStr">
        <is>
          <t>arctiin</t>
        </is>
      </c>
      <c r="C44" s="181" t="inlineStr">
        <is>
          <t>arctium-lappa</t>
        </is>
      </c>
      <c r="D44" s="181" t="inlineStr">
        <is>
          <t>arctium lappa</t>
        </is>
      </c>
      <c r="E44" s="181" t="n">
        <v>1</v>
      </c>
      <c r="F44" s="181" t="inlineStr">
        <is>
          <t>general or unknown targets</t>
        </is>
      </c>
      <c r="G44" s="181" t="inlineStr">
        <is>
          <t>multi-target signaling modulation</t>
        </is>
      </c>
      <c r="H44" s="181" t="inlineStr">
        <is>
          <t>inferred_plus_trusted_gov</t>
        </is>
      </c>
      <c r="I44" s="181" t="inlineStr">
        <is>
          <t>Integrated from cleaned high-signal dataset</t>
        </is>
      </c>
    </row>
    <row r="45">
      <c r="A45" s="181" t="inlineStr">
        <is>
          <t>arecaidine</t>
        </is>
      </c>
      <c r="B45" s="181" t="inlineStr">
        <is>
          <t>arecaidine</t>
        </is>
      </c>
      <c r="C45" s="181" t="inlineStr">
        <is>
          <t>areca-catechu</t>
        </is>
      </c>
      <c r="D45" s="181" t="inlineStr">
        <is>
          <t>areca catechu</t>
        </is>
      </c>
      <c r="E45" s="181" t="n">
        <v>1</v>
      </c>
      <c r="F45" s="181" t="inlineStr">
        <is>
          <t>general or unknown targets</t>
        </is>
      </c>
      <c r="G45" s="181" t="inlineStr">
        <is>
          <t>multi-target signaling modulation</t>
        </is>
      </c>
      <c r="H45" s="181" t="inlineStr">
        <is>
          <t>inferred_plus_trusted_gov</t>
        </is>
      </c>
      <c r="I45" s="181" t="inlineStr">
        <is>
          <t>Integrated from cleaned high-signal dataset</t>
        </is>
      </c>
    </row>
    <row r="46">
      <c r="A46" s="181" t="inlineStr">
        <is>
          <t>arecoline</t>
        </is>
      </c>
      <c r="B46" s="181" t="inlineStr">
        <is>
          <t>arecoline</t>
        </is>
      </c>
      <c r="C46" s="181" t="inlineStr">
        <is>
          <t>areca-catechu</t>
        </is>
      </c>
      <c r="D46" s="181" t="inlineStr">
        <is>
          <t>areca catechu</t>
        </is>
      </c>
      <c r="E46" s="181" t="n">
        <v>1</v>
      </c>
      <c r="F46" s="181" t="inlineStr">
        <is>
          <t>general or unknown targets</t>
        </is>
      </c>
      <c r="G46" s="181" t="inlineStr">
        <is>
          <t>multi-target signaling modulation</t>
        </is>
      </c>
      <c r="H46" s="181" t="inlineStr">
        <is>
          <t>inferred_plus_trusted_gov</t>
        </is>
      </c>
      <c r="I46" s="181" t="inlineStr">
        <is>
          <t>Integrated from cleaned high-signal dataset</t>
        </is>
      </c>
    </row>
    <row r="47">
      <c r="A47" s="181" t="inlineStr">
        <is>
          <t>armepavine</t>
        </is>
      </c>
      <c r="B47" s="181" t="inlineStr">
        <is>
          <t>armepavine</t>
        </is>
      </c>
      <c r="C47" s="181" t="inlineStr">
        <is>
          <t>nelumbo-lutea</t>
        </is>
      </c>
      <c r="D47" s="181" t="inlineStr">
        <is>
          <t>american yellow lotus</t>
        </is>
      </c>
      <c r="E47" s="181" t="n">
        <v>1</v>
      </c>
      <c r="F47" s="181" t="inlineStr">
        <is>
          <t>general or unknown targets</t>
        </is>
      </c>
      <c r="G47" s="181" t="inlineStr">
        <is>
          <t>multi-target signaling modulation</t>
        </is>
      </c>
      <c r="H47" s="181" t="inlineStr">
        <is>
          <t>trusted_gov_added</t>
        </is>
      </c>
      <c r="I47" s="181" t="inlineStr">
        <is>
          <t>Integrated from cleaned high-signal dataset</t>
        </is>
      </c>
    </row>
    <row r="48">
      <c r="A48" s="181" t="inlineStr">
        <is>
          <t>artemisinin</t>
        </is>
      </c>
      <c r="B48" s="181" t="inlineStr">
        <is>
          <t>artemisinin</t>
        </is>
      </c>
      <c r="C48" s="181" t="inlineStr">
        <is>
          <t>artemisia-annua</t>
        </is>
      </c>
      <c r="D48" s="181" t="inlineStr">
        <is>
          <t>artemisia annua</t>
        </is>
      </c>
      <c r="E48" s="181" t="n">
        <v>1</v>
      </c>
      <c r="F48" s="181" t="inlineStr">
        <is>
          <t>general or unknown targets</t>
        </is>
      </c>
      <c r="G48" s="181" t="inlineStr">
        <is>
          <t>multi-target signaling modulation</t>
        </is>
      </c>
      <c r="H48" s="181" t="inlineStr">
        <is>
          <t>inferred_plus_trusted_gov</t>
        </is>
      </c>
      <c r="I48" s="181" t="inlineStr">
        <is>
          <t>Integrated from cleaned high-signal dataset</t>
        </is>
      </c>
    </row>
    <row r="49">
      <c r="A49" s="181" t="inlineStr">
        <is>
          <t>asclepiadin</t>
        </is>
      </c>
      <c r="B49" s="181" t="inlineStr">
        <is>
          <t>asclepiadin</t>
        </is>
      </c>
      <c r="C49" s="181" t="inlineStr">
        <is>
          <t>asclepias-tuberosa</t>
        </is>
      </c>
      <c r="D49" s="181" t="inlineStr">
        <is>
          <t>asclepias tuberosa</t>
        </is>
      </c>
      <c r="E49" s="181" t="n">
        <v>1</v>
      </c>
      <c r="F49" s="181" t="inlineStr">
        <is>
          <t>general or unknown targets</t>
        </is>
      </c>
      <c r="G49" s="181" t="inlineStr">
        <is>
          <t>multi-target signaling modulation</t>
        </is>
      </c>
      <c r="H49" s="181" t="inlineStr">
        <is>
          <t>inferred_plus_trusted_gov</t>
        </is>
      </c>
      <c r="I49" s="181" t="inlineStr">
        <is>
          <t>Integrated from cleaned high-signal dataset</t>
        </is>
      </c>
    </row>
    <row r="50">
      <c r="A50" s="181" t="inlineStr">
        <is>
          <t>asiatic acid</t>
        </is>
      </c>
      <c r="B50" s="181" t="inlineStr">
        <is>
          <t>asiatic acid</t>
        </is>
      </c>
      <c r="C50" s="181" t="inlineStr">
        <is>
          <t>centella-asiatica; gotu-kola</t>
        </is>
      </c>
      <c r="D50" s="181" t="inlineStr">
        <is>
          <t>centella asiatica; gotu kola</t>
        </is>
      </c>
      <c r="E50" s="181" t="n">
        <v>2</v>
      </c>
      <c r="F50" s="181" t="inlineStr">
        <is>
          <t>general or unknown targets; inflammatory_pathway_modulation</t>
        </is>
      </c>
      <c r="G50" s="181" t="inlineStr">
        <is>
          <t>COX/NF-kB inhibition; multi-target signaling modulation</t>
        </is>
      </c>
      <c r="H50" s="181" t="inlineStr">
        <is>
          <t>inferred_plus_trusted_gov; trusted_gov_added</t>
        </is>
      </c>
      <c r="I50" s="181" t="inlineStr">
        <is>
          <t>Integrated from cleaned high-signal dataset</t>
        </is>
      </c>
    </row>
    <row r="51">
      <c r="A51" s="181" t="inlineStr">
        <is>
          <t>asiaticoside</t>
        </is>
      </c>
      <c r="B51" s="181" t="inlineStr">
        <is>
          <t>asiaticoside</t>
        </is>
      </c>
      <c r="C51" s="181" t="inlineStr">
        <is>
          <t>centella-asiatica; gotu-kola</t>
        </is>
      </c>
      <c r="D51" s="181" t="inlineStr">
        <is>
          <t>centella asiatica; gotu kola</t>
        </is>
      </c>
      <c r="E51" s="181" t="n">
        <v>2</v>
      </c>
      <c r="F51" s="181" t="inlineStr">
        <is>
          <t>general or unknown targets; inflammatory_pathway_modulation</t>
        </is>
      </c>
      <c r="G51" s="181" t="inlineStr">
        <is>
          <t>COX/NF-kB inhibition; multi-target signaling modulation</t>
        </is>
      </c>
      <c r="H51" s="181" t="inlineStr">
        <is>
          <t>inferred_plus_trusted_gov; trusted_gov_added</t>
        </is>
      </c>
      <c r="I51" s="181" t="inlineStr">
        <is>
          <t>Integrated from cleaned high-signal dataset</t>
        </is>
      </c>
    </row>
    <row r="52">
      <c r="A52" s="181" t="inlineStr">
        <is>
          <t>asperuloside</t>
        </is>
      </c>
      <c r="B52" s="181" t="inlineStr">
        <is>
          <t>asperuloside</t>
        </is>
      </c>
      <c r="C52" s="181" t="inlineStr">
        <is>
          <t>galium-aparine</t>
        </is>
      </c>
      <c r="D52" s="181" t="inlineStr">
        <is>
          <t>galium aparine</t>
        </is>
      </c>
      <c r="E52" s="181" t="n">
        <v>1</v>
      </c>
      <c r="F52" s="181" t="inlineStr">
        <is>
          <t>general or unknown targets</t>
        </is>
      </c>
      <c r="G52" s="181" t="inlineStr">
        <is>
          <t>multi-target signaling modulation</t>
        </is>
      </c>
      <c r="H52" s="181" t="inlineStr">
        <is>
          <t>inferred_plus_trusted_gov</t>
        </is>
      </c>
      <c r="I52" s="181" t="inlineStr">
        <is>
          <t>Integrated from cleaned high-signal dataset</t>
        </is>
      </c>
    </row>
    <row r="53">
      <c r="A53" s="181" t="inlineStr">
        <is>
          <t>aspidospermine</t>
        </is>
      </c>
      <c r="B53" s="181" t="inlineStr">
        <is>
          <t>aspidospermine</t>
        </is>
      </c>
      <c r="C53" s="181" t="inlineStr">
        <is>
          <t>aspidosperma-quebracho-blanco</t>
        </is>
      </c>
      <c r="D53" s="181" t="inlineStr">
        <is>
          <t>aspidosperma quebracho-blanco</t>
        </is>
      </c>
      <c r="E53" s="181" t="n">
        <v>1</v>
      </c>
      <c r="F53" s="181" t="inlineStr">
        <is>
          <t>general or unknown targets</t>
        </is>
      </c>
      <c r="G53" s="181" t="inlineStr">
        <is>
          <t>multi-target signaling modulation</t>
        </is>
      </c>
      <c r="H53" s="181" t="inlineStr">
        <is>
          <t>inferred_plus_trusted_gov</t>
        </is>
      </c>
      <c r="I53" s="181" t="inlineStr">
        <is>
          <t>Integrated from cleaned high-signal dataset</t>
        </is>
      </c>
    </row>
    <row r="54">
      <c r="A54" s="181" t="inlineStr">
        <is>
          <t>astragaloside iv</t>
        </is>
      </c>
      <c r="B54" s="181" t="inlineStr">
        <is>
          <t>astragaloside iv</t>
        </is>
      </c>
      <c r="C54" s="181" t="inlineStr">
        <is>
          <t>astragalus-membranaceus</t>
        </is>
      </c>
      <c r="D54" s="181" t="inlineStr">
        <is>
          <t>astragalus membranaceus</t>
        </is>
      </c>
      <c r="E54" s="181" t="n">
        <v>1</v>
      </c>
      <c r="F54" s="181" t="inlineStr">
        <is>
          <t>general or unknown targets</t>
        </is>
      </c>
      <c r="G54" s="181" t="inlineStr">
        <is>
          <t>multi-target signaling modulation</t>
        </is>
      </c>
      <c r="H54" s="181" t="inlineStr">
        <is>
          <t>inferred_plus_trusted_gov</t>
        </is>
      </c>
      <c r="I54" s="181" t="inlineStr">
        <is>
          <t>Integrated from cleaned high-signal dataset</t>
        </is>
      </c>
    </row>
    <row r="55">
      <c r="A55" s="181" t="inlineStr">
        <is>
          <t>atractylenolide i</t>
        </is>
      </c>
      <c r="B55" s="181" t="inlineStr">
        <is>
          <t>atractylenolide i</t>
        </is>
      </c>
      <c r="C55" s="181" t="inlineStr">
        <is>
          <t>atractylodes-macrocephala</t>
        </is>
      </c>
      <c r="D55" s="181" t="inlineStr">
        <is>
          <t>atractylodes macrocephala</t>
        </is>
      </c>
      <c r="E55" s="181" t="n">
        <v>1</v>
      </c>
      <c r="F55" s="181" t="inlineStr">
        <is>
          <t>general or unknown targets</t>
        </is>
      </c>
      <c r="G55" s="181" t="inlineStr">
        <is>
          <t>multi-target signaling modulation</t>
        </is>
      </c>
      <c r="H55" s="181" t="inlineStr">
        <is>
          <t>inferred_plus_trusted_gov</t>
        </is>
      </c>
      <c r="I55" s="181" t="inlineStr">
        <is>
          <t>Integrated from cleaned high-signal dataset</t>
        </is>
      </c>
    </row>
    <row r="56">
      <c r="A56" s="181" t="inlineStr">
        <is>
          <t>atractylenolide ii</t>
        </is>
      </c>
      <c r="B56" s="181" t="inlineStr">
        <is>
          <t>atractylenolide ii</t>
        </is>
      </c>
      <c r="C56" s="181" t="inlineStr">
        <is>
          <t>atractylodes-macrocephala</t>
        </is>
      </c>
      <c r="D56" s="181" t="inlineStr">
        <is>
          <t>atractylodes macrocephala</t>
        </is>
      </c>
      <c r="E56" s="181" t="n">
        <v>1</v>
      </c>
      <c r="F56" s="181" t="inlineStr">
        <is>
          <t>general or unknown targets</t>
        </is>
      </c>
      <c r="G56" s="181" t="inlineStr">
        <is>
          <t>multi-target signaling modulation</t>
        </is>
      </c>
      <c r="H56" s="181" t="inlineStr">
        <is>
          <t>inferred_plus_trusted_gov</t>
        </is>
      </c>
      <c r="I56" s="181" t="inlineStr">
        <is>
          <t>Integrated from cleaned high-signal dataset</t>
        </is>
      </c>
    </row>
    <row r="57">
      <c r="A57" s="181" t="inlineStr">
        <is>
          <t>atractylenolide iii</t>
        </is>
      </c>
      <c r="B57" s="181" t="inlineStr">
        <is>
          <t>atractylenolide iii</t>
        </is>
      </c>
      <c r="C57" s="181" t="inlineStr">
        <is>
          <t>atractylodes-macrocephala</t>
        </is>
      </c>
      <c r="D57" s="181" t="inlineStr">
        <is>
          <t>atractylodes macrocephala</t>
        </is>
      </c>
      <c r="E57" s="181" t="n">
        <v>1</v>
      </c>
      <c r="F57" s="181" t="inlineStr">
        <is>
          <t>general or unknown targets</t>
        </is>
      </c>
      <c r="G57" s="181" t="inlineStr">
        <is>
          <t>multi-target signaling modulation</t>
        </is>
      </c>
      <c r="H57" s="181" t="inlineStr">
        <is>
          <t>inferred_plus_trusted_gov</t>
        </is>
      </c>
      <c r="I57" s="181" t="inlineStr">
        <is>
          <t>Integrated from cleaned high-signal dataset</t>
        </is>
      </c>
    </row>
    <row r="58">
      <c r="A58" s="181" t="inlineStr">
        <is>
          <t>atractylon</t>
        </is>
      </c>
      <c r="B58" s="181" t="inlineStr">
        <is>
          <t>atractylon</t>
        </is>
      </c>
      <c r="C58" s="181" t="inlineStr">
        <is>
          <t>atractylodes-macrocephala</t>
        </is>
      </c>
      <c r="D58" s="181" t="inlineStr">
        <is>
          <t>atractylodes macrocephala</t>
        </is>
      </c>
      <c r="E58" s="181" t="n">
        <v>1</v>
      </c>
      <c r="F58" s="181" t="inlineStr">
        <is>
          <t>general or unknown targets</t>
        </is>
      </c>
      <c r="G58" s="181" t="inlineStr">
        <is>
          <t>multi-target signaling modulation</t>
        </is>
      </c>
      <c r="H58" s="181" t="inlineStr">
        <is>
          <t>inferred_plus_trusted_gov</t>
        </is>
      </c>
      <c r="I58" s="181" t="inlineStr">
        <is>
          <t>Integrated from cleaned high-signal dataset</t>
        </is>
      </c>
    </row>
    <row r="59">
      <c r="A59" s="181" t="inlineStr">
        <is>
          <t>atropine</t>
        </is>
      </c>
      <c r="B59" s="181" t="inlineStr">
        <is>
          <t>atropine</t>
        </is>
      </c>
      <c r="C59" s="181" t="inlineStr">
        <is>
          <t>atropa-belladonna; brugmansia; brugmansia-sanguinea; brugmansia-suaveolens; datura-ferox; datura-stramonium; datura-wrightii; mandragora-officinarum; solandra-maxima</t>
        </is>
      </c>
      <c r="D59" s="181" t="inlineStr">
        <is>
          <t>atropa belladonna; brugmansia; brugmansia sanguinea; brugmansia suaveolens; datura ferox; datura stramonium; datura wrightii; european mandrake; mandrake; solandra maxima</t>
        </is>
      </c>
      <c r="E59" s="181" t="n">
        <v>9</v>
      </c>
      <c r="F59" s="181" t="inlineStr">
        <is>
          <t>CHRM1, CHRM2 (muscarinic receptors); cholinergic_modulation</t>
        </is>
      </c>
      <c r="G59" s="181" t="inlineStr">
        <is>
          <t>muscarinic receptor interaction</t>
        </is>
      </c>
      <c r="H59" s="181" t="inlineStr">
        <is>
          <t>inferred_plus_trusted_gov; trusted_gov_added</t>
        </is>
      </c>
      <c r="I59" s="181" t="inlineStr">
        <is>
          <t>Integrated from cleaned high-signal dataset</t>
        </is>
      </c>
    </row>
    <row r="60">
      <c r="A60" s="181" t="inlineStr">
        <is>
          <t>aucubin</t>
        </is>
      </c>
      <c r="B60" s="181" t="inlineStr">
        <is>
          <t>aucubin</t>
        </is>
      </c>
      <c r="C60" s="181" t="inlineStr">
        <is>
          <t>plantago-major</t>
        </is>
      </c>
      <c r="D60" s="181" t="inlineStr">
        <is>
          <t>plantago major</t>
        </is>
      </c>
      <c r="E60" s="181" t="n">
        <v>1</v>
      </c>
      <c r="F60" s="181" t="inlineStr">
        <is>
          <t>general or unknown targets</t>
        </is>
      </c>
      <c r="G60" s="181" t="inlineStr">
        <is>
          <t>multi-target signaling modulation</t>
        </is>
      </c>
      <c r="H60" s="181" t="inlineStr">
        <is>
          <t>inferred_plus_trusted_gov</t>
        </is>
      </c>
      <c r="I60" s="181" t="inlineStr">
        <is>
          <t>Integrated from cleaned high-signal dataset</t>
        </is>
      </c>
    </row>
    <row r="61">
      <c r="A61" s="181" t="inlineStr">
        <is>
          <t>azadirachtin</t>
        </is>
      </c>
      <c r="B61" s="181" t="inlineStr">
        <is>
          <t>azadirachtin</t>
        </is>
      </c>
      <c r="C61" s="181" t="inlineStr">
        <is>
          <t>azadirachta-indica</t>
        </is>
      </c>
      <c r="D61" s="181" t="inlineStr">
        <is>
          <t>azadirachta indica</t>
        </is>
      </c>
      <c r="E61" s="181" t="n">
        <v>1</v>
      </c>
      <c r="F61" s="181" t="inlineStr">
        <is>
          <t>general or unknown targets</t>
        </is>
      </c>
      <c r="G61" s="181" t="inlineStr">
        <is>
          <t>multi-target signaling modulation</t>
        </is>
      </c>
      <c r="H61" s="181" t="inlineStr">
        <is>
          <t>inferred_plus_trusted_gov</t>
        </is>
      </c>
      <c r="I61" s="181" t="inlineStr">
        <is>
          <t>Integrated from cleaned high-signal dataset</t>
        </is>
      </c>
    </row>
    <row r="62">
      <c r="A62" s="181" t="inlineStr">
        <is>
          <t>baicalein</t>
        </is>
      </c>
      <c r="B62" s="181" t="inlineStr">
        <is>
          <t>baicalein</t>
        </is>
      </c>
      <c r="C62" s="181" t="inlineStr">
        <is>
          <t>scutellaria-baicalensis; scutellaria-lateriflora</t>
        </is>
      </c>
      <c r="D62" s="181" t="inlineStr">
        <is>
          <t>scutellaria baicalensis; scutellaria lateriflora</t>
        </is>
      </c>
      <c r="E62" s="181" t="n">
        <v>2</v>
      </c>
      <c r="F62" s="181" t="inlineStr">
        <is>
          <t>LOX inhibition; NF-kB inhibition; gabaergic_modulation; general or unknown targets</t>
        </is>
      </c>
      <c r="G62" s="181" t="inlineStr">
        <is>
          <t>GABAergic modulation; multi-target signaling modulation</t>
        </is>
      </c>
      <c r="H62" s="181" t="inlineStr">
        <is>
          <t>inferred_plus_trusted_gov; trusted_gov_added</t>
        </is>
      </c>
      <c r="I62" s="181" t="inlineStr">
        <is>
          <t>Integrated from cleaned high-signal dataset; Integrated from compound monograph workbook</t>
        </is>
      </c>
    </row>
    <row r="63">
      <c r="A63" s="181" t="inlineStr">
        <is>
          <t>baicalin</t>
        </is>
      </c>
      <c r="B63" s="181" t="inlineStr">
        <is>
          <t>baicalin</t>
        </is>
      </c>
      <c r="C63" s="181" t="inlineStr">
        <is>
          <t>scutellaria-baicalensis; scutellaria-lateriflora</t>
        </is>
      </c>
      <c r="D63" s="181" t="inlineStr">
        <is>
          <t>scutellaria baicalensis; scutellaria lateriflora</t>
        </is>
      </c>
      <c r="E63" s="181" t="n">
        <v>2</v>
      </c>
      <c r="F63" s="181" t="inlineStr">
        <is>
          <t>gabaergic_modulation; general or unknown targets</t>
        </is>
      </c>
      <c r="G63" s="181" t="inlineStr">
        <is>
          <t>GABAergic modulation; multi-target signaling modulation</t>
        </is>
      </c>
      <c r="H63" s="181" t="inlineStr">
        <is>
          <t>inferred_plus_trusted_gov; trusted_gov_added</t>
        </is>
      </c>
      <c r="I63" s="181" t="inlineStr">
        <is>
          <t>Integrated from cleaned high-signal dataset</t>
        </is>
      </c>
    </row>
    <row r="64">
      <c r="A64" s="181" t="inlineStr">
        <is>
          <t>benzyl benzoate</t>
        </is>
      </c>
      <c r="B64" s="181" t="inlineStr">
        <is>
          <t>benzyl benzoate</t>
        </is>
      </c>
      <c r="C64" s="181" t="inlineStr">
        <is>
          <t>myroxylon-balsamum</t>
        </is>
      </c>
      <c r="D64" s="181" t="inlineStr">
        <is>
          <t>myroxylon balsamum</t>
        </is>
      </c>
      <c r="E64" s="181" t="n">
        <v>1</v>
      </c>
      <c r="F64" s="181" t="inlineStr">
        <is>
          <t>general or unknown targets</t>
        </is>
      </c>
      <c r="G64" s="181" t="inlineStr">
        <is>
          <t>multi-target signaling modulation</t>
        </is>
      </c>
      <c r="H64" s="181" t="inlineStr">
        <is>
          <t>inferred_plus_trusted_gov</t>
        </is>
      </c>
      <c r="I64" s="181" t="inlineStr">
        <is>
          <t>Integrated from cleaned high-signal dataset</t>
        </is>
      </c>
    </row>
    <row r="65">
      <c r="A65" s="181" t="inlineStr">
        <is>
          <t>benzyl isothiocyanate</t>
        </is>
      </c>
      <c r="B65" s="181" t="inlineStr">
        <is>
          <t>benzyl isothiocyanate</t>
        </is>
      </c>
      <c r="C65" s="181" t="inlineStr">
        <is>
          <t>carica-papaya; tropaeolum-majus</t>
        </is>
      </c>
      <c r="D65" s="181" t="inlineStr">
        <is>
          <t>carica papaya; tropaeolum majus</t>
        </is>
      </c>
      <c r="E65" s="181" t="n">
        <v>2</v>
      </c>
      <c r="F65" s="181" t="inlineStr">
        <is>
          <t>general or unknown targets</t>
        </is>
      </c>
      <c r="G65" s="181" t="inlineStr">
        <is>
          <t>multi-target signaling modulation</t>
        </is>
      </c>
      <c r="H65" s="181" t="inlineStr">
        <is>
          <t>trusted_gov_added</t>
        </is>
      </c>
      <c r="I65" s="181" t="inlineStr">
        <is>
          <t>Integrated from cleaned high-signal dataset</t>
        </is>
      </c>
    </row>
    <row r="66">
      <c r="A66" s="181" t="inlineStr">
        <is>
          <t>berbamine</t>
        </is>
      </c>
      <c r="B66" s="181" t="inlineStr">
        <is>
          <t>berbamine</t>
        </is>
      </c>
      <c r="C66" s="181" t="inlineStr">
        <is>
          <t>berberis-vulgaris</t>
        </is>
      </c>
      <c r="D66" s="181" t="inlineStr">
        <is>
          <t>berberis vulgaris</t>
        </is>
      </c>
      <c r="E66" s="181" t="n">
        <v>1</v>
      </c>
      <c r="F66" s="181" t="inlineStr">
        <is>
          <t>general or unknown targets</t>
        </is>
      </c>
      <c r="G66" s="181" t="inlineStr">
        <is>
          <t>multi-target signaling modulation</t>
        </is>
      </c>
      <c r="H66" s="181" t="inlineStr">
        <is>
          <t>inferred_plus_trusted_gov</t>
        </is>
      </c>
      <c r="I66" s="181" t="inlineStr">
        <is>
          <t>Integrated from cleaned high-signal dataset</t>
        </is>
      </c>
    </row>
    <row r="67">
      <c r="A67" s="181" t="inlineStr">
        <is>
          <t>berberine</t>
        </is>
      </c>
      <c r="B67" s="181" t="inlineStr">
        <is>
          <t>berberine</t>
        </is>
      </c>
      <c r="C67" s="181" t="inlineStr">
        <is>
          <t>argemone-mexicana; berberis-vulgaris; chelidonium-majus; coptis-chinensis; hydrastis-canadensis; phellodendron-amurense</t>
        </is>
      </c>
      <c r="D67" s="181" t="inlineStr">
        <is>
          <t>argemone mexicana; berberis vulgaris; chelidonium majus; coptis chinensis; hydrastis canadensis; phellodendron amurense</t>
        </is>
      </c>
      <c r="E67" s="181" t="n">
        <v>6</v>
      </c>
      <c r="F67" s="181" t="inlineStr">
        <is>
          <t>AMPK activation; NF-kB pathway inhibition; general or unknown targets; mitochondrial complex I inhibition</t>
        </is>
      </c>
      <c r="G67" s="181" t="inlineStr">
        <is>
          <t>multi-target signaling modulation</t>
        </is>
      </c>
      <c r="H67" s="181" t="inlineStr">
        <is>
          <t>inferred_plus_trusted_gov; trusted_gov_added</t>
        </is>
      </c>
      <c r="I67" s="181" t="inlineStr">
        <is>
          <t>Integrated from cleaned high-signal dataset; Integrated from compound monograph workbook</t>
        </is>
      </c>
    </row>
    <row r="68">
      <c r="A68" s="181" t="inlineStr">
        <is>
          <t>beta-amyrin</t>
        </is>
      </c>
      <c r="B68" s="181" t="inlineStr">
        <is>
          <t>beta-amyrin</t>
        </is>
      </c>
      <c r="C68" s="181" t="inlineStr">
        <is>
          <t>celastrus-paniculatus; celastrus-paniculatus-intellect-tree</t>
        </is>
      </c>
      <c r="D68" s="181" t="inlineStr">
        <is>
          <t>celastrus paniculatus; celastrus paniculatus (intellect tree)</t>
        </is>
      </c>
      <c r="E68" s="181" t="n">
        <v>2</v>
      </c>
      <c r="F68" s="181" t="inlineStr">
        <is>
          <t>general or unknown targets</t>
        </is>
      </c>
      <c r="G68" s="181" t="inlineStr">
        <is>
          <t>multi-target signaling modulation</t>
        </is>
      </c>
      <c r="H68" s="181" t="inlineStr">
        <is>
          <t>trusted_gov_added</t>
        </is>
      </c>
      <c r="I68" s="181" t="inlineStr">
        <is>
          <t>Integrated from cleaned high-signal dataset</t>
        </is>
      </c>
    </row>
    <row r="69">
      <c r="A69" s="181" t="inlineStr">
        <is>
          <t>beta-asarone</t>
        </is>
      </c>
      <c r="B69" s="181" t="inlineStr">
        <is>
          <t>beta-asarone</t>
        </is>
      </c>
      <c r="C69" s="181" t="inlineStr">
        <is>
          <t>acorus-calamus; acorus-calamus-angustatus; acorus-tatarinowii</t>
        </is>
      </c>
      <c r="D69" s="181" t="inlineStr">
        <is>
          <t>acorus calamus; acorus calamus var. angustatus; acorus tatarinowii</t>
        </is>
      </c>
      <c r="E69" s="181" t="n">
        <v>3</v>
      </c>
      <c r="F69" s="181" t="inlineStr">
        <is>
          <t>gabaergic_modulation; general or unknown targets</t>
        </is>
      </c>
      <c r="G69" s="181" t="inlineStr">
        <is>
          <t>GABAergic modulation; multi-target signaling modulation</t>
        </is>
      </c>
      <c r="H69" s="181" t="inlineStr">
        <is>
          <t>inferred_plus_trusted_gov; trusted_gov_added</t>
        </is>
      </c>
      <c r="I69" s="181" t="inlineStr">
        <is>
          <t>Integrated from cleaned high-signal dataset</t>
        </is>
      </c>
    </row>
    <row r="70">
      <c r="A70" s="181" t="inlineStr">
        <is>
          <t>beta-asarone low levels</t>
        </is>
      </c>
      <c r="B70" s="181" t="inlineStr">
        <is>
          <t>beta-asarone (low levels)</t>
        </is>
      </c>
      <c r="C70" s="181" t="inlineStr">
        <is>
          <t>acorus-americanus</t>
        </is>
      </c>
      <c r="D70" s="181" t="inlineStr">
        <is>
          <t>acorus americanus</t>
        </is>
      </c>
      <c r="E70" s="181" t="n">
        <v>1</v>
      </c>
      <c r="F70" s="181" t="inlineStr">
        <is>
          <t>general or unknown targets</t>
        </is>
      </c>
      <c r="G70" s="181" t="inlineStr">
        <is>
          <t>multi-target signaling modulation</t>
        </is>
      </c>
      <c r="H70" s="181" t="inlineStr">
        <is>
          <t>trusted_gov_added</t>
        </is>
      </c>
      <c r="I70" s="181" t="inlineStr">
        <is>
          <t>Integrated from cleaned high-signal dataset</t>
        </is>
      </c>
    </row>
    <row r="71">
      <c r="A71" s="181" t="inlineStr">
        <is>
          <t>beta-boswellic acid</t>
        </is>
      </c>
      <c r="B71" s="181" t="inlineStr">
        <is>
          <t>beta-boswellic acid</t>
        </is>
      </c>
      <c r="C71" s="181" t="inlineStr">
        <is>
          <t>boswellia-sacra; frankincense-boswellia</t>
        </is>
      </c>
      <c r="D71" s="181" t="inlineStr">
        <is>
          <t>boswellia sacra; frankincense (boswellia)</t>
        </is>
      </c>
      <c r="E71" s="181" t="n">
        <v>2</v>
      </c>
      <c r="F71" s="181" t="inlineStr">
        <is>
          <t>general or unknown targets</t>
        </is>
      </c>
      <c r="G71" s="181" t="inlineStr">
        <is>
          <t>multi-target signaling modulation</t>
        </is>
      </c>
      <c r="H71" s="181" t="inlineStr">
        <is>
          <t>inferred_plus_trusted_gov; trusted_gov_added</t>
        </is>
      </c>
      <c r="I71" s="181" t="inlineStr">
        <is>
          <t>Integrated from cleaned high-signal dataset</t>
        </is>
      </c>
    </row>
    <row r="72">
      <c r="A72" s="181" t="inlineStr">
        <is>
          <t>beta-caryophyllene</t>
        </is>
      </c>
      <c r="B72" s="181" t="inlineStr">
        <is>
          <t>beta-caryophyllene</t>
        </is>
      </c>
      <c r="C72" s="181" t="inlineStr">
        <is>
          <t>copaifera-officinalis; nepeta-cataria; syzygium-aromaticum</t>
        </is>
      </c>
      <c r="D72" s="181" t="inlineStr">
        <is>
          <t>catnip; copaifera officinalis; syzygium aromaticum</t>
        </is>
      </c>
      <c r="E72" s="181" t="n">
        <v>3</v>
      </c>
      <c r="F72" s="181" t="inlineStr">
        <is>
          <t>general or unknown targets</t>
        </is>
      </c>
      <c r="G72" s="181" t="inlineStr">
        <is>
          <t>multi-target signaling modulation</t>
        </is>
      </c>
      <c r="H72" s="181" t="inlineStr">
        <is>
          <t>inferred_plus_trusted_gov; trusted_gov_added</t>
        </is>
      </c>
      <c r="I72" s="181" t="inlineStr">
        <is>
          <t>Integrated from cleaned high-signal dataset</t>
        </is>
      </c>
    </row>
    <row r="73">
      <c r="A73" s="181" t="inlineStr">
        <is>
          <t>beta-lapachone</t>
        </is>
      </c>
      <c r="B73" s="181" t="inlineStr">
        <is>
          <t>beta-lapachone</t>
        </is>
      </c>
      <c r="C73" s="181" t="inlineStr">
        <is>
          <t>tabebuia-impetiginosa</t>
        </is>
      </c>
      <c r="D73" s="181" t="inlineStr">
        <is>
          <t>tabebuia impetiginosa</t>
        </is>
      </c>
      <c r="E73" s="181" t="n">
        <v>1</v>
      </c>
      <c r="F73" s="181" t="inlineStr">
        <is>
          <t>general or unknown targets</t>
        </is>
      </c>
      <c r="G73" s="181" t="inlineStr">
        <is>
          <t>multi-target signaling modulation</t>
        </is>
      </c>
      <c r="H73" s="181" t="inlineStr">
        <is>
          <t>inferred_plus_trusted_gov</t>
        </is>
      </c>
      <c r="I73" s="181" t="inlineStr">
        <is>
          <t>Integrated from cleaned high-signal dataset</t>
        </is>
      </c>
    </row>
    <row r="74">
      <c r="A74" s="181" t="inlineStr">
        <is>
          <t>beta-thujone</t>
        </is>
      </c>
      <c r="B74" s="181" t="inlineStr">
        <is>
          <t>beta-thujone</t>
        </is>
      </c>
      <c r="C74" s="181" t="inlineStr">
        <is>
          <t>artemisia-absinthium</t>
        </is>
      </c>
      <c r="D74" s="181" t="inlineStr">
        <is>
          <t>artemisia absinthium</t>
        </is>
      </c>
      <c r="E74" s="181" t="n">
        <v>1</v>
      </c>
      <c r="F74" s="181" t="inlineStr">
        <is>
          <t>gabaergic_modulation</t>
        </is>
      </c>
      <c r="G74" s="181" t="inlineStr">
        <is>
          <t>GABAergic modulation</t>
        </is>
      </c>
      <c r="H74" s="181" t="inlineStr">
        <is>
          <t>trusted_gov_added</t>
        </is>
      </c>
      <c r="I74" s="181" t="inlineStr">
        <is>
          <t>Integrated from cleaned high-signal dataset</t>
        </is>
      </c>
    </row>
    <row r="75">
      <c r="A75" s="181" t="inlineStr">
        <is>
          <t>betulinic acid</t>
        </is>
      </c>
      <c r="B75" s="181" t="inlineStr">
        <is>
          <t>betulinic acid</t>
        </is>
      </c>
      <c r="C75" s="181" t="inlineStr">
        <is>
          <t>inonotus-obliquus</t>
        </is>
      </c>
      <c r="D75" s="181" t="inlineStr">
        <is>
          <t>chaga (inonotus obliquus)</t>
        </is>
      </c>
      <c r="E75" s="181" t="n">
        <v>1</v>
      </c>
      <c r="F75" s="181" t="inlineStr">
        <is>
          <t>general or unknown targets</t>
        </is>
      </c>
      <c r="G75" s="181" t="inlineStr">
        <is>
          <t>multi-target signaling modulation</t>
        </is>
      </c>
      <c r="H75" s="181" t="inlineStr">
        <is>
          <t>inferred_plus_trusted_gov</t>
        </is>
      </c>
      <c r="I75" s="181" t="inlineStr">
        <is>
          <t>Integrated from cleaned high-signal dataset</t>
        </is>
      </c>
    </row>
    <row r="76">
      <c r="A76" s="181" t="inlineStr">
        <is>
          <t>bilobalide</t>
        </is>
      </c>
      <c r="B76" s="181" t="inlineStr">
        <is>
          <t>bilobalide</t>
        </is>
      </c>
      <c r="C76" s="181" t="inlineStr">
        <is>
          <t>ginkgo-biloba</t>
        </is>
      </c>
      <c r="D76" s="181" t="inlineStr">
        <is>
          <t>ginkgo biloba</t>
        </is>
      </c>
      <c r="E76" s="181" t="n">
        <v>1</v>
      </c>
      <c r="F76" s="181" t="inlineStr">
        <is>
          <t>gabaergic_modulation</t>
        </is>
      </c>
      <c r="G76" s="181" t="inlineStr">
        <is>
          <t>GABAergic modulation</t>
        </is>
      </c>
      <c r="H76" s="181" t="inlineStr">
        <is>
          <t>trusted_gov_added</t>
        </is>
      </c>
      <c r="I76" s="181" t="inlineStr">
        <is>
          <t>Integrated from cleaned high-signal dataset</t>
        </is>
      </c>
    </row>
    <row r="77">
      <c r="A77" s="181" t="inlineStr">
        <is>
          <t>bisabolol</t>
        </is>
      </c>
      <c r="B77" s="181" t="inlineStr">
        <is>
          <t>bisabolol</t>
        </is>
      </c>
      <c r="C77" s="181" t="inlineStr">
        <is>
          <t>matricaria-chamomilla</t>
        </is>
      </c>
      <c r="D77" s="181" t="inlineStr">
        <is>
          <t>matricaria chamomilla</t>
        </is>
      </c>
      <c r="E77" s="181" t="n">
        <v>1</v>
      </c>
      <c r="F77" s="181" t="inlineStr">
        <is>
          <t>general or unknown targets</t>
        </is>
      </c>
      <c r="G77" s="181" t="inlineStr">
        <is>
          <t>multi-target signaling modulation</t>
        </is>
      </c>
      <c r="H77" s="181" t="inlineStr">
        <is>
          <t>inferred_plus_trusted_gov</t>
        </is>
      </c>
      <c r="I77" s="181" t="inlineStr">
        <is>
          <t>Integrated from cleaned high-signal dataset</t>
        </is>
      </c>
    </row>
    <row r="78">
      <c r="A78" s="181" t="inlineStr">
        <is>
          <t>bonducin</t>
        </is>
      </c>
      <c r="B78" s="181" t="inlineStr">
        <is>
          <t>bonducin</t>
        </is>
      </c>
      <c r="C78" s="181" t="inlineStr">
        <is>
          <t>caesalpinia-bonduc</t>
        </is>
      </c>
      <c r="D78" s="181" t="inlineStr">
        <is>
          <t>caesalpinia bonduc</t>
        </is>
      </c>
      <c r="E78" s="181" t="n">
        <v>1</v>
      </c>
      <c r="F78" s="181" t="inlineStr">
        <is>
          <t>general or unknown targets</t>
        </is>
      </c>
      <c r="G78" s="181" t="inlineStr">
        <is>
          <t>multi-target signaling modulation</t>
        </is>
      </c>
      <c r="H78" s="181" t="inlineStr">
        <is>
          <t>inferred_plus_trusted_gov</t>
        </is>
      </c>
      <c r="I78" s="181" t="inlineStr">
        <is>
          <t>Integrated from cleaned high-signal dataset</t>
        </is>
      </c>
    </row>
    <row r="79">
      <c r="A79" s="181" t="inlineStr">
        <is>
          <t>brunfelsamidine</t>
        </is>
      </c>
      <c r="B79" s="181" t="inlineStr">
        <is>
          <t>brunfelsamidine</t>
        </is>
      </c>
      <c r="C79" s="181" t="inlineStr">
        <is>
          <t>brunfelsia-americana</t>
        </is>
      </c>
      <c r="D79" s="181" t="inlineStr">
        <is>
          <t>brunfelsia americana</t>
        </is>
      </c>
      <c r="E79" s="181" t="n">
        <v>1</v>
      </c>
      <c r="F79" s="181" t="inlineStr">
        <is>
          <t>general or unknown targets</t>
        </is>
      </c>
      <c r="G79" s="181" t="inlineStr">
        <is>
          <t>multi-target signaling modulation</t>
        </is>
      </c>
      <c r="H79" s="181" t="inlineStr">
        <is>
          <t>inferred_plus_trusted_gov</t>
        </is>
      </c>
      <c r="I79" s="181" t="inlineStr">
        <is>
          <t>Integrated from cleaned high-signal dataset</t>
        </is>
      </c>
    </row>
    <row r="80">
      <c r="A80" s="181" t="inlineStr">
        <is>
          <t>bryonin</t>
        </is>
      </c>
      <c r="B80" s="181" t="inlineStr">
        <is>
          <t>bryonin</t>
        </is>
      </c>
      <c r="C80" s="181" t="inlineStr">
        <is>
          <t>bryonia-alba</t>
        </is>
      </c>
      <c r="D80" s="181" t="inlineStr">
        <is>
          <t>bryonia alba</t>
        </is>
      </c>
      <c r="E80" s="181" t="n">
        <v>1</v>
      </c>
      <c r="F80" s="181" t="inlineStr">
        <is>
          <t>general or unknown targets</t>
        </is>
      </c>
      <c r="G80" s="181" t="inlineStr">
        <is>
          <t>multi-target signaling modulation</t>
        </is>
      </c>
      <c r="H80" s="181" t="inlineStr">
        <is>
          <t>inferred_plus_trusted_gov</t>
        </is>
      </c>
      <c r="I80" s="181" t="inlineStr">
        <is>
          <t>Integrated from cleaned high-signal dataset</t>
        </is>
      </c>
    </row>
    <row r="81">
      <c r="A81" s="181" t="inlineStr">
        <is>
          <t>bufotenin</t>
        </is>
      </c>
      <c r="B81" s="181" t="inlineStr">
        <is>
          <t>bufotenin</t>
        </is>
      </c>
      <c r="C81" s="181" t="inlineStr">
        <is>
          <t>anadenanthera-colubrina; anadenanthera-colubrina-ceb-l; anadenanthera-peregrina; piptadenia-peregrina</t>
        </is>
      </c>
      <c r="D81" s="181" t="inlineStr">
        <is>
          <t>anadenanthera colubrina; anadenanthera colubrina (cebíl); anadenanthera peregrina; piptadenia peregrina</t>
        </is>
      </c>
      <c r="E81" s="181" t="n">
        <v>4</v>
      </c>
      <c r="F81" s="181" t="inlineStr">
        <is>
          <t>serotonergic_5HT2A_agonism</t>
        </is>
      </c>
      <c r="G81" s="181" t="inlineStr">
        <is>
          <t>serotonin receptor interaction</t>
        </is>
      </c>
      <c r="H81" s="181" t="inlineStr">
        <is>
          <t>inferred_plus_trusted_gov; trusted_gov_added</t>
        </is>
      </c>
      <c r="I81" s="181" t="inlineStr">
        <is>
          <t>Integrated from cleaned high-signal dataset</t>
        </is>
      </c>
    </row>
    <row r="82">
      <c r="A82" s="181" t="inlineStr">
        <is>
          <t>bulbocapnine</t>
        </is>
      </c>
      <c r="B82" s="181" t="inlineStr">
        <is>
          <t>bulbocapnine</t>
        </is>
      </c>
      <c r="C82" s="181" t="inlineStr">
        <is>
          <t>corydalis-cava</t>
        </is>
      </c>
      <c r="D82" s="181" t="inlineStr">
        <is>
          <t>corydalis cava</t>
        </is>
      </c>
      <c r="E82" s="181" t="n">
        <v>1</v>
      </c>
      <c r="F82" s="181" t="inlineStr">
        <is>
          <t>general or unknown targets</t>
        </is>
      </c>
      <c r="G82" s="181" t="inlineStr">
        <is>
          <t>multi-target signaling modulation</t>
        </is>
      </c>
      <c r="H82" s="181" t="inlineStr">
        <is>
          <t>inferred_plus_trusted_gov</t>
        </is>
      </c>
      <c r="I82" s="181" t="inlineStr">
        <is>
          <t>Integrated from cleaned high-signal dataset</t>
        </is>
      </c>
    </row>
    <row r="83">
      <c r="A83" s="181" t="inlineStr">
        <is>
          <t>buphanidrine</t>
        </is>
      </c>
      <c r="B83" s="181" t="inlineStr">
        <is>
          <t>buphanidrine</t>
        </is>
      </c>
      <c r="C83" s="181" t="inlineStr">
        <is>
          <t>boophone-disticha</t>
        </is>
      </c>
      <c r="D83" s="181" t="inlineStr">
        <is>
          <t>boophone disticha</t>
        </is>
      </c>
      <c r="E83" s="181" t="n">
        <v>1</v>
      </c>
      <c r="F83" s="181" t="inlineStr">
        <is>
          <t>general or unknown targets</t>
        </is>
      </c>
      <c r="G83" s="181" t="inlineStr">
        <is>
          <t>multi-target signaling modulation</t>
        </is>
      </c>
      <c r="H83" s="181" t="inlineStr">
        <is>
          <t>inferred_plus_trusted_gov</t>
        </is>
      </c>
      <c r="I83" s="181" t="inlineStr">
        <is>
          <t>Integrated from cleaned high-signal dataset</t>
        </is>
      </c>
    </row>
    <row r="84">
      <c r="A84" s="181" t="inlineStr">
        <is>
          <t>cafestol</t>
        </is>
      </c>
      <c r="B84" s="181" t="inlineStr">
        <is>
          <t>cafestol</t>
        </is>
      </c>
      <c r="C84" s="181" t="inlineStr">
        <is>
          <t>coffee</t>
        </is>
      </c>
      <c r="D84" s="181" t="inlineStr">
        <is>
          <t>coffee</t>
        </is>
      </c>
      <c r="E84" s="181" t="n">
        <v>1</v>
      </c>
      <c r="F84" s="181" t="inlineStr">
        <is>
          <t>adenosine_antagonism</t>
        </is>
      </c>
      <c r="G84" s="181" t="inlineStr">
        <is>
          <t>adenosine receptor antagonism</t>
        </is>
      </c>
      <c r="H84" s="181" t="inlineStr">
        <is>
          <t>trusted_gov_added</t>
        </is>
      </c>
      <c r="I84" s="181" t="inlineStr">
        <is>
          <t>Integrated from cleaned high-signal dataset</t>
        </is>
      </c>
    </row>
    <row r="85">
      <c r="A85" s="181" t="inlineStr">
        <is>
          <t>caffeine</t>
        </is>
      </c>
      <c r="B85" s="181" t="inlineStr">
        <is>
          <t>caffeine</t>
        </is>
      </c>
      <c r="C85" s="181" t="inlineStr">
        <is>
          <t>camellia-sinensis; coffea-arabica; coffee; guarana; ilex-guayusa; ilex-paraguariensis; paullinia-cupana; paullinia-pinnata; theobroma-bicolor; theobroma-cacao</t>
        </is>
      </c>
      <c r="D85" s="181" t="inlineStr">
        <is>
          <t>camellia sinensis; coffea arabica; coffee; guarana; ilex guayusa; ilex paraguariensis; paullinia cupana; paullinia pinnata; theobroma bicolor; theobroma cacao; yerba mate</t>
        </is>
      </c>
      <c r="E85" s="181" t="n">
        <v>10</v>
      </c>
      <c r="F85" s="181" t="inlineStr">
        <is>
          <t>ADORA1, ADORA2A (adenosine receptors); adenosine_antagonism; dopaminergic_modulation</t>
        </is>
      </c>
      <c r="G85" s="181" t="inlineStr">
        <is>
          <t>adenosine receptor antagonism</t>
        </is>
      </c>
      <c r="H85" s="181" t="inlineStr">
        <is>
          <t>inferred_plus_trusted_gov; trusted_gov_added</t>
        </is>
      </c>
      <c r="I85" s="181" t="inlineStr">
        <is>
          <t>Integrated from cleaned high-signal dataset</t>
        </is>
      </c>
    </row>
    <row r="86">
      <c r="A86" s="181" t="inlineStr">
        <is>
          <t>calotropin</t>
        </is>
      </c>
      <c r="B86" s="181" t="inlineStr">
        <is>
          <t>calotropin</t>
        </is>
      </c>
      <c r="C86" s="181" t="inlineStr">
        <is>
          <t>calotropis-procera</t>
        </is>
      </c>
      <c r="D86" s="181" t="inlineStr">
        <is>
          <t>calotropis procera</t>
        </is>
      </c>
      <c r="E86" s="181" t="n">
        <v>1</v>
      </c>
      <c r="F86" s="181" t="inlineStr">
        <is>
          <t>general or unknown targets</t>
        </is>
      </c>
      <c r="G86" s="181" t="inlineStr">
        <is>
          <t>multi-target signaling modulation</t>
        </is>
      </c>
      <c r="H86" s="181" t="inlineStr">
        <is>
          <t>inferred_plus_trusted_gov</t>
        </is>
      </c>
      <c r="I86" s="181" t="inlineStr">
        <is>
          <t>Integrated from cleaned high-signal dataset</t>
        </is>
      </c>
    </row>
    <row r="87">
      <c r="A87" s="181" t="inlineStr">
        <is>
          <t>camphor</t>
        </is>
      </c>
      <c r="B87" s="181" t="inlineStr">
        <is>
          <t>camphor</t>
        </is>
      </c>
      <c r="C87" s="181" t="inlineStr">
        <is>
          <t>artemisia-herba-alba; artemisia-judaica; artemisia-vulgaris</t>
        </is>
      </c>
      <c r="D87" s="181" t="inlineStr">
        <is>
          <t>artemisia herba-alba; artemisia judaica; artemisia vulgaris</t>
        </is>
      </c>
      <c r="E87" s="181" t="n">
        <v>3</v>
      </c>
      <c r="F87" s="181" t="inlineStr">
        <is>
          <t>general or unknown targets</t>
        </is>
      </c>
      <c r="G87" s="181" t="inlineStr">
        <is>
          <t>multi-target signaling modulation</t>
        </is>
      </c>
      <c r="H87" s="181" t="inlineStr">
        <is>
          <t>inferred_plus_trusted_gov</t>
        </is>
      </c>
      <c r="I87" s="181" t="inlineStr">
        <is>
          <t>Integrated from cleaned high-signal dataset</t>
        </is>
      </c>
    </row>
    <row r="88">
      <c r="A88" s="181" t="inlineStr">
        <is>
          <t>cannabidiol</t>
        </is>
      </c>
      <c r="B88" s="181" t="inlineStr">
        <is>
          <t>cannabidiol</t>
        </is>
      </c>
      <c r="C88" s="181" t="inlineStr">
        <is>
          <t>cbd</t>
        </is>
      </c>
      <c r="D88" s="181" t="inlineStr">
        <is>
          <t>cbd</t>
        </is>
      </c>
      <c r="E88" s="181" t="n">
        <v>1</v>
      </c>
      <c r="F88" s="181" t="inlineStr">
        <is>
          <t>endocannabinoid_modulation</t>
        </is>
      </c>
      <c r="G88" s="181" t="inlineStr">
        <is>
          <t>multi-target signaling modulation</t>
        </is>
      </c>
      <c r="H88" s="181" t="inlineStr">
        <is>
          <t>trusted_gov_added</t>
        </is>
      </c>
      <c r="I88" s="181" t="inlineStr">
        <is>
          <t>Integrated from cleaned high-signal dataset</t>
        </is>
      </c>
    </row>
    <row r="89">
      <c r="A89" s="181" t="inlineStr">
        <is>
          <t>capsaicin</t>
        </is>
      </c>
      <c r="B89" s="181" t="inlineStr">
        <is>
          <t>capsaicin</t>
        </is>
      </c>
      <c r="C89" s="181" t="inlineStr">
        <is>
          <t>capsicum-annuum</t>
        </is>
      </c>
      <c r="D89" s="181" t="inlineStr">
        <is>
          <t>capsicum annuum</t>
        </is>
      </c>
      <c r="E89" s="181" t="n">
        <v>1</v>
      </c>
      <c r="F89" s="181" t="inlineStr">
        <is>
          <t>TRPV1 activation; general or unknown targets</t>
        </is>
      </c>
      <c r="G89" s="181" t="inlineStr">
        <is>
          <t>multi-target signaling modulation</t>
        </is>
      </c>
      <c r="H89" s="181" t="inlineStr">
        <is>
          <t>trusted_gov_added</t>
        </is>
      </c>
      <c r="I89" s="181" t="inlineStr">
        <is>
          <t>Integrated from cleaned high-signal dataset; Integrated from compound monograph workbook</t>
        </is>
      </c>
    </row>
    <row r="90">
      <c r="A90" s="181" t="inlineStr">
        <is>
          <t>capsanthin</t>
        </is>
      </c>
      <c r="B90" s="181" t="inlineStr">
        <is>
          <t>capsanthin</t>
        </is>
      </c>
      <c r="C90" s="181" t="inlineStr">
        <is>
          <t>capsicum-annuum</t>
        </is>
      </c>
      <c r="D90" s="181" t="inlineStr">
        <is>
          <t>capsicum annuum</t>
        </is>
      </c>
      <c r="E90" s="181" t="n">
        <v>1</v>
      </c>
      <c r="F90" s="181" t="inlineStr">
        <is>
          <t>general or unknown targets</t>
        </is>
      </c>
      <c r="G90" s="181" t="inlineStr">
        <is>
          <t>multi-target signaling modulation</t>
        </is>
      </c>
      <c r="H90" s="181" t="inlineStr">
        <is>
          <t>trusted_gov_added</t>
        </is>
      </c>
      <c r="I90" s="181" t="inlineStr">
        <is>
          <t>Integrated from cleaned high-signal dataset</t>
        </is>
      </c>
    </row>
    <row r="91">
      <c r="A91" s="181" t="inlineStr">
        <is>
          <t>capsorubin</t>
        </is>
      </c>
      <c r="B91" s="181" t="inlineStr">
        <is>
          <t>capsorubin</t>
        </is>
      </c>
      <c r="C91" s="181" t="inlineStr">
        <is>
          <t>capsicum-annuum</t>
        </is>
      </c>
      <c r="D91" s="181" t="inlineStr">
        <is>
          <t>capsicum annuum</t>
        </is>
      </c>
      <c r="E91" s="181" t="n">
        <v>1</v>
      </c>
      <c r="F91" s="181" t="inlineStr">
        <is>
          <t>general or unknown targets</t>
        </is>
      </c>
      <c r="G91" s="181" t="inlineStr">
        <is>
          <t>multi-target signaling modulation</t>
        </is>
      </c>
      <c r="H91" s="181" t="inlineStr">
        <is>
          <t>trusted_gov_added</t>
        </is>
      </c>
      <c r="I91" s="181" t="inlineStr">
        <is>
          <t>Integrated from cleaned high-signal dataset</t>
        </is>
      </c>
    </row>
    <row r="92">
      <c r="A92" s="181" t="inlineStr">
        <is>
          <t>cardanol</t>
        </is>
      </c>
      <c r="B92" s="181" t="inlineStr">
        <is>
          <t>cardanol</t>
        </is>
      </c>
      <c r="C92" s="181" t="inlineStr">
        <is>
          <t>anacardium-occidentale</t>
        </is>
      </c>
      <c r="D92" s="181" t="inlineStr">
        <is>
          <t>anacardium occidentale</t>
        </is>
      </c>
      <c r="E92" s="181" t="n">
        <v>1</v>
      </c>
      <c r="F92" s="181" t="inlineStr">
        <is>
          <t>general or unknown targets</t>
        </is>
      </c>
      <c r="G92" s="181" t="inlineStr">
        <is>
          <t>multi-target signaling modulation</t>
        </is>
      </c>
      <c r="H92" s="181" t="inlineStr">
        <is>
          <t>inferred_plus_trusted_gov</t>
        </is>
      </c>
      <c r="I92" s="181" t="inlineStr">
        <is>
          <t>Integrated from cleaned high-signal dataset</t>
        </is>
      </c>
    </row>
    <row r="93">
      <c r="A93" s="181" t="inlineStr">
        <is>
          <t>cardol</t>
        </is>
      </c>
      <c r="B93" s="181" t="inlineStr">
        <is>
          <t>cardol</t>
        </is>
      </c>
      <c r="C93" s="181" t="inlineStr">
        <is>
          <t>anacardium-occidentale</t>
        </is>
      </c>
      <c r="D93" s="181" t="inlineStr">
        <is>
          <t>anacardium occidentale</t>
        </is>
      </c>
      <c r="E93" s="181" t="n">
        <v>1</v>
      </c>
      <c r="F93" s="181" t="inlineStr">
        <is>
          <t>general or unknown targets</t>
        </is>
      </c>
      <c r="G93" s="181" t="inlineStr">
        <is>
          <t>multi-target signaling modulation</t>
        </is>
      </c>
      <c r="H93" s="181" t="inlineStr">
        <is>
          <t>inferred_plus_trusted_gov</t>
        </is>
      </c>
      <c r="I93" s="181" t="inlineStr">
        <is>
          <t>Integrated from cleaned high-signal dataset</t>
        </is>
      </c>
    </row>
    <row r="94">
      <c r="A94" s="181" t="inlineStr">
        <is>
          <t>carnosic acid</t>
        </is>
      </c>
      <c r="B94" s="181" t="inlineStr">
        <is>
          <t>carnosic acid</t>
        </is>
      </c>
      <c r="C94" s="181" t="inlineStr">
        <is>
          <t>rosmarinus-officinalis</t>
        </is>
      </c>
      <c r="D94" s="181" t="inlineStr">
        <is>
          <t>rosmarinus officinalis</t>
        </is>
      </c>
      <c r="E94" s="181" t="n">
        <v>1</v>
      </c>
      <c r="F94" s="181" t="inlineStr">
        <is>
          <t>general or unknown targets</t>
        </is>
      </c>
      <c r="G94" s="181" t="inlineStr">
        <is>
          <t>multi-target signaling modulation</t>
        </is>
      </c>
      <c r="H94" s="181" t="inlineStr">
        <is>
          <t>inferred_plus_trusted_gov</t>
        </is>
      </c>
      <c r="I94" s="181" t="inlineStr">
        <is>
          <t>Integrated from cleaned high-signal dataset</t>
        </is>
      </c>
    </row>
    <row r="95">
      <c r="A95" s="181" t="inlineStr">
        <is>
          <t>carpaine</t>
        </is>
      </c>
      <c r="B95" s="181" t="inlineStr">
        <is>
          <t>carpaine</t>
        </is>
      </c>
      <c r="C95" s="181" t="inlineStr">
        <is>
          <t>carica-papaya</t>
        </is>
      </c>
      <c r="D95" s="181" t="inlineStr">
        <is>
          <t>carica papaya</t>
        </is>
      </c>
      <c r="E95" s="181" t="n">
        <v>1</v>
      </c>
      <c r="F95" s="181" t="inlineStr">
        <is>
          <t>general or unknown targets</t>
        </is>
      </c>
      <c r="G95" s="181" t="inlineStr">
        <is>
          <t>multi-target signaling modulation</t>
        </is>
      </c>
      <c r="H95" s="181" t="inlineStr">
        <is>
          <t>trusted_gov_added</t>
        </is>
      </c>
      <c r="I95" s="181" t="inlineStr">
        <is>
          <t>Integrated from cleaned high-signal dataset</t>
        </is>
      </c>
    </row>
    <row r="96">
      <c r="A96" s="181" t="inlineStr">
        <is>
          <t>carvacrol</t>
        </is>
      </c>
      <c r="B96" s="181" t="inlineStr">
        <is>
          <t>carvacrol</t>
        </is>
      </c>
      <c r="C96" s="181" t="inlineStr">
        <is>
          <t>monarda-fistulosa; origanum-vulgare; thymus-vulgaris</t>
        </is>
      </c>
      <c r="D96" s="181" t="inlineStr">
        <is>
          <t>monarda fistulosa; origanum vulgare; thymus vulgaris</t>
        </is>
      </c>
      <c r="E96" s="181" t="n">
        <v>3</v>
      </c>
      <c r="F96" s="181" t="inlineStr">
        <is>
          <t>NF-kB pathway modulation; TRPA1 activation; TRPV3 activation; general or unknown targets</t>
        </is>
      </c>
      <c r="G96" s="181" t="inlineStr">
        <is>
          <t>multi-target signaling modulation</t>
        </is>
      </c>
      <c r="H96" s="181" t="inlineStr">
        <is>
          <t>inferred_plus_trusted_gov; trusted_gov_added</t>
        </is>
      </c>
      <c r="I96" s="181" t="inlineStr">
        <is>
          <t>Integrated from cleaned high-signal dataset; Integrated from compound monograph workbook</t>
        </is>
      </c>
    </row>
    <row r="97">
      <c r="A97" s="181" t="inlineStr">
        <is>
          <t>carvone</t>
        </is>
      </c>
      <c r="B97" s="181" t="inlineStr">
        <is>
          <t>carvone</t>
        </is>
      </c>
      <c r="C97" s="181" t="inlineStr">
        <is>
          <t>bursera-graveolens; lippia-alba</t>
        </is>
      </c>
      <c r="D97" s="181" t="inlineStr">
        <is>
          <t>bursera graveolens; lippia alba</t>
        </is>
      </c>
      <c r="E97" s="181" t="n">
        <v>2</v>
      </c>
      <c r="F97" s="181" t="inlineStr">
        <is>
          <t>general or unknown targets</t>
        </is>
      </c>
      <c r="G97" s="181" t="inlineStr">
        <is>
          <t>multi-target signaling modulation</t>
        </is>
      </c>
      <c r="H97" s="181" t="inlineStr">
        <is>
          <t>inferred_plus_trusted_gov</t>
        </is>
      </c>
      <c r="I97" s="181" t="inlineStr">
        <is>
          <t>Integrated from cleaned high-signal dataset</t>
        </is>
      </c>
    </row>
    <row r="98">
      <c r="A98" s="181" t="inlineStr">
        <is>
          <t>casimiroedine</t>
        </is>
      </c>
      <c r="B98" s="181" t="inlineStr">
        <is>
          <t>casimiroedine</t>
        </is>
      </c>
      <c r="C98" s="181" t="inlineStr">
        <is>
          <t>casimiroa-edulis</t>
        </is>
      </c>
      <c r="D98" s="181" t="inlineStr">
        <is>
          <t>casimiroa edulis</t>
        </is>
      </c>
      <c r="E98" s="181" t="n">
        <v>1</v>
      </c>
      <c r="F98" s="181" t="inlineStr">
        <is>
          <t>general or unknown targets</t>
        </is>
      </c>
      <c r="G98" s="181" t="inlineStr">
        <is>
          <t>multi-target signaling modulation</t>
        </is>
      </c>
      <c r="H98" s="181" t="inlineStr">
        <is>
          <t>trusted_gov_added</t>
        </is>
      </c>
      <c r="I98" s="181" t="inlineStr">
        <is>
          <t>Integrated from cleaned high-signal dataset</t>
        </is>
      </c>
    </row>
    <row r="99">
      <c r="A99" s="181" t="inlineStr">
        <is>
          <t>casticin</t>
        </is>
      </c>
      <c r="B99" s="181" t="inlineStr">
        <is>
          <t>casticin</t>
        </is>
      </c>
      <c r="C99" s="181" t="inlineStr">
        <is>
          <t>vitex-trifolia</t>
        </is>
      </c>
      <c r="D99" s="181" t="inlineStr">
        <is>
          <t>vitex trifolia</t>
        </is>
      </c>
      <c r="E99" s="181" t="n">
        <v>1</v>
      </c>
      <c r="F99" s="181" t="inlineStr">
        <is>
          <t>general or unknown targets</t>
        </is>
      </c>
      <c r="G99" s="181" t="inlineStr">
        <is>
          <t>multi-target signaling modulation</t>
        </is>
      </c>
      <c r="H99" s="181" t="inlineStr">
        <is>
          <t>inferred_plus_trusted_gov</t>
        </is>
      </c>
      <c r="I99" s="181" t="inlineStr">
        <is>
          <t>Integrated from cleaned high-signal dataset</t>
        </is>
      </c>
    </row>
    <row r="100">
      <c r="A100" s="181" t="inlineStr">
        <is>
          <t>catechins</t>
        </is>
      </c>
      <c r="B100" s="181" t="inlineStr">
        <is>
          <t>catechins (egcg)</t>
        </is>
      </c>
      <c r="C100" s="181" t="inlineStr">
        <is>
          <t>camellia-sinensis</t>
        </is>
      </c>
      <c r="D100" s="181" t="inlineStr">
        <is>
          <t>camellia sinensis</t>
        </is>
      </c>
      <c r="E100" s="181" t="n">
        <v>1</v>
      </c>
      <c r="F100" s="181" t="inlineStr">
        <is>
          <t>adenosine_antagonism</t>
        </is>
      </c>
      <c r="G100" s="181" t="inlineStr">
        <is>
          <t>adenosine receptor antagonism</t>
        </is>
      </c>
      <c r="H100" s="181" t="inlineStr">
        <is>
          <t>trusted_gov_added</t>
        </is>
      </c>
      <c r="I100" s="181" t="inlineStr">
        <is>
          <t>Integrated from cleaned high-signal dataset</t>
        </is>
      </c>
    </row>
    <row r="101">
      <c r="A101" s="181" t="inlineStr">
        <is>
          <t>cathine</t>
        </is>
      </c>
      <c r="B101" s="181" t="inlineStr">
        <is>
          <t>cathine</t>
        </is>
      </c>
      <c r="C101" s="181" t="inlineStr">
        <is>
          <t>catha-edulis</t>
        </is>
      </c>
      <c r="D101" s="181" t="inlineStr">
        <is>
          <t>catha edulis</t>
        </is>
      </c>
      <c r="E101" s="181" t="n">
        <v>1</v>
      </c>
      <c r="F101" s="181" t="inlineStr">
        <is>
          <t>dopaminergic_modulation</t>
        </is>
      </c>
      <c r="G101" s="181" t="inlineStr">
        <is>
          <t>multi-target signaling modulation</t>
        </is>
      </c>
      <c r="H101" s="181" t="inlineStr">
        <is>
          <t>trusted_gov_added</t>
        </is>
      </c>
      <c r="I101" s="181" t="inlineStr">
        <is>
          <t>Integrated from cleaned high-signal dataset</t>
        </is>
      </c>
    </row>
    <row r="102">
      <c r="A102" s="181" t="inlineStr">
        <is>
          <t>cathinone</t>
        </is>
      </c>
      <c r="B102" s="181" t="inlineStr">
        <is>
          <t>cathinone</t>
        </is>
      </c>
      <c r="C102" s="181" t="inlineStr">
        <is>
          <t>catha-edulis</t>
        </is>
      </c>
      <c r="D102" s="181" t="inlineStr">
        <is>
          <t>catha edulis</t>
        </is>
      </c>
      <c r="E102" s="181" t="n">
        <v>1</v>
      </c>
      <c r="F102" s="181" t="inlineStr">
        <is>
          <t>dopaminergic_modulation</t>
        </is>
      </c>
      <c r="G102" s="181" t="inlineStr">
        <is>
          <t>multi-target signaling modulation</t>
        </is>
      </c>
      <c r="H102" s="181" t="inlineStr">
        <is>
          <t>trusted_gov_added</t>
        </is>
      </c>
      <c r="I102" s="181" t="inlineStr">
        <is>
          <t>Integrated from cleaned high-signal dataset</t>
        </is>
      </c>
    </row>
    <row r="103">
      <c r="A103" s="181" t="inlineStr">
        <is>
          <t>cbd</t>
        </is>
      </c>
      <c r="B103" s="181" t="inlineStr">
        <is>
          <t>cbd</t>
        </is>
      </c>
      <c r="C103" s="181" t="inlineStr">
        <is>
          <t>cannabis-indica; cannabis-ruderalis; cannabis-sativa; cannabis-sativa-african-varieties</t>
        </is>
      </c>
      <c r="D103" s="181" t="inlineStr">
        <is>
          <t>cannabis indica; cannabis ruderalis; cannabis sativa; cannabis sativa (african varieties)</t>
        </is>
      </c>
      <c r="E103" s="181" t="n">
        <v>4</v>
      </c>
      <c r="F103" s="181" t="inlineStr">
        <is>
          <t>endocannabinoid_modulation</t>
        </is>
      </c>
      <c r="G103" s="181" t="inlineStr">
        <is>
          <t>multi-target signaling modulation</t>
        </is>
      </c>
      <c r="H103" s="181" t="inlineStr">
        <is>
          <t>inferred_plus_trusted_gov; trusted_gov_added</t>
        </is>
      </c>
      <c r="I103" s="181" t="inlineStr">
        <is>
          <t>Integrated from cleaned high-signal dataset</t>
        </is>
      </c>
    </row>
    <row r="104">
      <c r="A104" s="181" t="inlineStr">
        <is>
          <t>celapagin</t>
        </is>
      </c>
      <c r="B104" s="181" t="inlineStr">
        <is>
          <t>celapagin</t>
        </is>
      </c>
      <c r="C104" s="181" t="inlineStr">
        <is>
          <t>celastrus-paniculatus; celastrus-paniculatus-intellect-tree</t>
        </is>
      </c>
      <c r="D104" s="181" t="inlineStr">
        <is>
          <t>celastrus paniculatus; celastrus paniculatus (intellect tree)</t>
        </is>
      </c>
      <c r="E104" s="181" t="n">
        <v>2</v>
      </c>
      <c r="F104" s="181" t="inlineStr">
        <is>
          <t>general or unknown targets</t>
        </is>
      </c>
      <c r="G104" s="181" t="inlineStr">
        <is>
          <t>multi-target signaling modulation</t>
        </is>
      </c>
      <c r="H104" s="181" t="inlineStr">
        <is>
          <t>trusted_gov_added</t>
        </is>
      </c>
      <c r="I104" s="181" t="inlineStr">
        <is>
          <t>Integrated from cleaned high-signal dataset</t>
        </is>
      </c>
    </row>
    <row r="105">
      <c r="A105" s="181" t="inlineStr">
        <is>
          <t>celapanin</t>
        </is>
      </c>
      <c r="B105" s="181" t="inlineStr">
        <is>
          <t>celapanin</t>
        </is>
      </c>
      <c r="C105" s="181" t="inlineStr">
        <is>
          <t>celastrus-paniculatus; celastrus-paniculatus-intellect-tree</t>
        </is>
      </c>
      <c r="D105" s="181" t="inlineStr">
        <is>
          <t>celastrus paniculatus; celastrus paniculatus (intellect tree)</t>
        </is>
      </c>
      <c r="E105" s="181" t="n">
        <v>2</v>
      </c>
      <c r="F105" s="181" t="inlineStr">
        <is>
          <t>general or unknown targets</t>
        </is>
      </c>
      <c r="G105" s="181" t="inlineStr">
        <is>
          <t>multi-target signaling modulation</t>
        </is>
      </c>
      <c r="H105" s="181" t="inlineStr">
        <is>
          <t>trusted_gov_added</t>
        </is>
      </c>
      <c r="I105" s="181" t="inlineStr">
        <is>
          <t>Integrated from cleaned high-signal dataset</t>
        </is>
      </c>
    </row>
    <row r="106">
      <c r="A106" s="181" t="inlineStr">
        <is>
          <t>celastrine</t>
        </is>
      </c>
      <c r="B106" s="181" t="inlineStr">
        <is>
          <t>celastrine</t>
        </is>
      </c>
      <c r="C106" s="181" t="inlineStr">
        <is>
          <t>celastrus-paniculatus; celastrus-paniculatus-intellect-tree</t>
        </is>
      </c>
      <c r="D106" s="181" t="inlineStr">
        <is>
          <t>celastrus paniculatus; celastrus paniculatus (intellect tree)</t>
        </is>
      </c>
      <c r="E106" s="181" t="n">
        <v>2</v>
      </c>
      <c r="F106" s="181" t="inlineStr">
        <is>
          <t>general or unknown targets</t>
        </is>
      </c>
      <c r="G106" s="181" t="inlineStr">
        <is>
          <t>multi-target signaling modulation</t>
        </is>
      </c>
      <c r="H106" s="181" t="inlineStr">
        <is>
          <t>trusted_gov_added</t>
        </is>
      </c>
      <c r="I106" s="181" t="inlineStr">
        <is>
          <t>Integrated from cleaned high-signal dataset</t>
        </is>
      </c>
    </row>
    <row r="107">
      <c r="A107" s="181" t="inlineStr">
        <is>
          <t>cephaeline</t>
        </is>
      </c>
      <c r="B107" s="181" t="inlineStr">
        <is>
          <t>cephaeline</t>
        </is>
      </c>
      <c r="C107" s="181" t="inlineStr">
        <is>
          <t>cephaelis-ipecacuanha</t>
        </is>
      </c>
      <c r="D107" s="181" t="inlineStr">
        <is>
          <t>cephaelis ipecacuanha</t>
        </is>
      </c>
      <c r="E107" s="181" t="n">
        <v>1</v>
      </c>
      <c r="F107" s="181" t="inlineStr">
        <is>
          <t>general or unknown targets</t>
        </is>
      </c>
      <c r="G107" s="181" t="inlineStr">
        <is>
          <t>multi-target signaling modulation</t>
        </is>
      </c>
      <c r="H107" s="181" t="inlineStr">
        <is>
          <t>inferred_plus_trusted_gov</t>
        </is>
      </c>
      <c r="I107" s="181" t="inlineStr">
        <is>
          <t>Integrated from cleaned high-signal dataset</t>
        </is>
      </c>
    </row>
    <row r="108">
      <c r="A108" s="181" t="inlineStr">
        <is>
          <t>cepharanthine</t>
        </is>
      </c>
      <c r="B108" s="181" t="inlineStr">
        <is>
          <t>cepharanthine</t>
        </is>
      </c>
      <c r="C108" s="181" t="inlineStr">
        <is>
          <t>stephania-cepharantha</t>
        </is>
      </c>
      <c r="D108" s="181" t="inlineStr">
        <is>
          <t>stephania cepharantha</t>
        </is>
      </c>
      <c r="E108" s="181" t="n">
        <v>1</v>
      </c>
      <c r="F108" s="181" t="inlineStr">
        <is>
          <t>general or unknown targets</t>
        </is>
      </c>
      <c r="G108" s="181" t="inlineStr">
        <is>
          <t>multi-target signaling modulation</t>
        </is>
      </c>
      <c r="H108" s="181" t="inlineStr">
        <is>
          <t>inferred_plus_trusted_gov</t>
        </is>
      </c>
      <c r="I108" s="181" t="inlineStr">
        <is>
          <t>Integrated from cleaned high-signal dataset</t>
        </is>
      </c>
    </row>
    <row r="109">
      <c r="A109" s="181" t="inlineStr">
        <is>
          <t>chamazulene</t>
        </is>
      </c>
      <c r="B109" s="181" t="inlineStr">
        <is>
          <t>chamazulene</t>
        </is>
      </c>
      <c r="C109" s="181" t="inlineStr">
        <is>
          <t>matricaria-chamomilla</t>
        </is>
      </c>
      <c r="D109" s="181" t="inlineStr">
        <is>
          <t>chamomile; matricaria chamomilla</t>
        </is>
      </c>
      <c r="E109" s="181" t="n">
        <v>1</v>
      </c>
      <c r="F109" s="181" t="inlineStr">
        <is>
          <t>gabaergic_modulation; general or unknown targets; inflammatory_pathway_modulation</t>
        </is>
      </c>
      <c r="G109" s="181" t="inlineStr">
        <is>
          <t>GABAergic modulation; multi-target signaling modulation</t>
        </is>
      </c>
      <c r="H109" s="181" t="inlineStr">
        <is>
          <t>inferred_plus_trusted_gov; trusted_gov_added</t>
        </is>
      </c>
      <c r="I109" s="181" t="inlineStr">
        <is>
          <t>Integrated from cleaned high-signal dataset</t>
        </is>
      </c>
    </row>
    <row r="110">
      <c r="A110" s="181" t="inlineStr">
        <is>
          <t>charantin</t>
        </is>
      </c>
      <c r="B110" s="181" t="inlineStr">
        <is>
          <t>charantin</t>
        </is>
      </c>
      <c r="C110" s="181" t="inlineStr">
        <is>
          <t>momordica-charantia</t>
        </is>
      </c>
      <c r="D110" s="181" t="inlineStr">
        <is>
          <t>momordica charantia</t>
        </is>
      </c>
      <c r="E110" s="181" t="n">
        <v>1</v>
      </c>
      <c r="F110" s="181" t="inlineStr">
        <is>
          <t>general or unknown targets</t>
        </is>
      </c>
      <c r="G110" s="181" t="inlineStr">
        <is>
          <t>multi-target signaling modulation</t>
        </is>
      </c>
      <c r="H110" s="181" t="inlineStr">
        <is>
          <t>inferred_plus_trusted_gov</t>
        </is>
      </c>
      <c r="I110" s="181" t="inlineStr">
        <is>
          <t>Integrated from cleaned high-signal dataset</t>
        </is>
      </c>
    </row>
    <row r="111">
      <c r="A111" s="181" t="inlineStr">
        <is>
          <t>chavicol</t>
        </is>
      </c>
      <c r="B111" s="181" t="inlineStr">
        <is>
          <t>chavicol</t>
        </is>
      </c>
      <c r="C111" s="181" t="inlineStr">
        <is>
          <t>pimenta-racemosa</t>
        </is>
      </c>
      <c r="D111" s="181" t="inlineStr">
        <is>
          <t>pimenta racemosa</t>
        </is>
      </c>
      <c r="E111" s="181" t="n">
        <v>1</v>
      </c>
      <c r="F111" s="181" t="inlineStr">
        <is>
          <t>general or unknown targets</t>
        </is>
      </c>
      <c r="G111" s="181" t="inlineStr">
        <is>
          <t>multi-target signaling modulation</t>
        </is>
      </c>
      <c r="H111" s="181" t="inlineStr">
        <is>
          <t>inferred_plus_trusted_gov</t>
        </is>
      </c>
      <c r="I111" s="181" t="inlineStr">
        <is>
          <t>Integrated from cleaned high-signal dataset</t>
        </is>
      </c>
    </row>
    <row r="112">
      <c r="A112" s="181" t="inlineStr">
        <is>
          <t>chelerythrine</t>
        </is>
      </c>
      <c r="B112" s="181" t="inlineStr">
        <is>
          <t>chelerythrine</t>
        </is>
      </c>
      <c r="C112" s="181" t="inlineStr">
        <is>
          <t>sanguinaria-canadensis</t>
        </is>
      </c>
      <c r="D112" s="181" t="inlineStr">
        <is>
          <t>sanguinaria canadensis</t>
        </is>
      </c>
      <c r="E112" s="181" t="n">
        <v>1</v>
      </c>
      <c r="F112" s="181" t="inlineStr">
        <is>
          <t>general or unknown targets</t>
        </is>
      </c>
      <c r="G112" s="181" t="inlineStr">
        <is>
          <t>multi-target signaling modulation</t>
        </is>
      </c>
      <c r="H112" s="181" t="inlineStr">
        <is>
          <t>inferred_plus_trusted_gov</t>
        </is>
      </c>
      <c r="I112" s="181" t="inlineStr">
        <is>
          <t>Integrated from cleaned high-signal dataset</t>
        </is>
      </c>
    </row>
    <row r="113">
      <c r="A113" s="181" t="inlineStr">
        <is>
          <t>chelidonine</t>
        </is>
      </c>
      <c r="B113" s="181" t="inlineStr">
        <is>
          <t>chelidonine</t>
        </is>
      </c>
      <c r="C113" s="181" t="inlineStr">
        <is>
          <t>chelidonium-majus</t>
        </is>
      </c>
      <c r="D113" s="181" t="inlineStr">
        <is>
          <t>chelidonium majus</t>
        </is>
      </c>
      <c r="E113" s="181" t="n">
        <v>1</v>
      </c>
      <c r="F113" s="181" t="inlineStr">
        <is>
          <t>general or unknown targets</t>
        </is>
      </c>
      <c r="G113" s="181" t="inlineStr">
        <is>
          <t>multi-target signaling modulation</t>
        </is>
      </c>
      <c r="H113" s="181" t="inlineStr">
        <is>
          <t>inferred_plus_trusted_gov</t>
        </is>
      </c>
      <c r="I113" s="181" t="inlineStr">
        <is>
          <t>Integrated from cleaned high-signal dataset</t>
        </is>
      </c>
    </row>
    <row r="114">
      <c r="A114" s="181" t="inlineStr">
        <is>
          <t>chlorogenic acid</t>
        </is>
      </c>
      <c r="B114" s="181" t="inlineStr">
        <is>
          <t>chlorogenic acid</t>
        </is>
      </c>
      <c r="C114" s="181" t="inlineStr">
        <is>
          <t>cecropia-peltata; lonicera-japonica; moringa-oleifera</t>
        </is>
      </c>
      <c r="D114" s="181" t="inlineStr">
        <is>
          <t>cecropia peltata; lonicera japonica; moringa oleifera</t>
        </is>
      </c>
      <c r="E114" s="181" t="n">
        <v>3</v>
      </c>
      <c r="F114" s="181" t="inlineStr">
        <is>
          <t>general or unknown targets</t>
        </is>
      </c>
      <c r="G114" s="181" t="inlineStr">
        <is>
          <t>multi-target signaling modulation</t>
        </is>
      </c>
      <c r="H114" s="181" t="inlineStr">
        <is>
          <t>inferred_plus_trusted_gov</t>
        </is>
      </c>
      <c r="I114" s="181" t="inlineStr">
        <is>
          <t>Integrated from cleaned high-signal dataset</t>
        </is>
      </c>
    </row>
    <row r="115">
      <c r="A115" s="181" t="inlineStr">
        <is>
          <t>choline</t>
        </is>
      </c>
      <c r="B115" s="181" t="inlineStr">
        <is>
          <t>choline</t>
        </is>
      </c>
      <c r="C115" s="181" t="inlineStr">
        <is>
          <t>capsella-bursa-pastoris</t>
        </is>
      </c>
      <c r="D115" s="181" t="inlineStr">
        <is>
          <t>capsella bursa-pastoris</t>
        </is>
      </c>
      <c r="E115" s="181" t="n">
        <v>1</v>
      </c>
      <c r="F115" s="181" t="inlineStr">
        <is>
          <t>Acetylcholine synthesis pathway; Methylation pathways; Phospholipid metabolism; general or unknown targets</t>
        </is>
      </c>
      <c r="G115" s="181" t="inlineStr">
        <is>
          <t>multi-target signaling modulation</t>
        </is>
      </c>
      <c r="H115" s="181" t="inlineStr">
        <is>
          <t>inferred_plus_trusted_gov</t>
        </is>
      </c>
      <c r="I115" s="181" t="inlineStr">
        <is>
          <t>Integrated from cleaned high-signal dataset; Integrated from compound monograph workbook</t>
        </is>
      </c>
    </row>
    <row r="116">
      <c r="A116" s="181" t="inlineStr">
        <is>
          <t>chrysoeriol</t>
        </is>
      </c>
      <c r="B116" s="181" t="inlineStr">
        <is>
          <t>chrysoeriol</t>
        </is>
      </c>
      <c r="C116" s="181" t="inlineStr">
        <is>
          <t>amorpha-fruticosa</t>
        </is>
      </c>
      <c r="D116" s="181" t="inlineStr">
        <is>
          <t>amorpha fruticosa</t>
        </is>
      </c>
      <c r="E116" s="181" t="n">
        <v>1</v>
      </c>
      <c r="F116" s="181" t="inlineStr">
        <is>
          <t>cholinergic_modulation</t>
        </is>
      </c>
      <c r="G116" s="181" t="inlineStr">
        <is>
          <t>muscarinic receptor interaction</t>
        </is>
      </c>
      <c r="H116" s="181" t="inlineStr">
        <is>
          <t>trusted_gov_added</t>
        </is>
      </c>
      <c r="I116" s="181" t="inlineStr">
        <is>
          <t>Integrated from cleaned high-signal dataset</t>
        </is>
      </c>
    </row>
    <row r="117">
      <c r="A117" s="181" t="inlineStr">
        <is>
          <t>chrysophanol</t>
        </is>
      </c>
      <c r="B117" s="181" t="inlineStr">
        <is>
          <t>chrysophanol</t>
        </is>
      </c>
      <c r="C117" s="181" t="inlineStr">
        <is>
          <t>cassia-alata; rheum-palmatum</t>
        </is>
      </c>
      <c r="D117" s="181" t="inlineStr">
        <is>
          <t>cassia alata; rheum palmatum</t>
        </is>
      </c>
      <c r="E117" s="181" t="n">
        <v>2</v>
      </c>
      <c r="F117" s="181" t="inlineStr">
        <is>
          <t>general or unknown targets</t>
        </is>
      </c>
      <c r="G117" s="181" t="inlineStr">
        <is>
          <t>multi-target signaling modulation</t>
        </is>
      </c>
      <c r="H117" s="181" t="inlineStr">
        <is>
          <t>inferred_plus_trusted_gov</t>
        </is>
      </c>
      <c r="I117" s="181" t="inlineStr">
        <is>
          <t>Integrated from cleaned high-signal dataset</t>
        </is>
      </c>
    </row>
    <row r="118">
      <c r="A118" s="181" t="inlineStr">
        <is>
          <t>chymopapain</t>
        </is>
      </c>
      <c r="B118" s="181" t="inlineStr">
        <is>
          <t>chymopapain</t>
        </is>
      </c>
      <c r="C118" s="181" t="inlineStr">
        <is>
          <t>carica-papaya</t>
        </is>
      </c>
      <c r="D118" s="181" t="inlineStr">
        <is>
          <t>carica papaya</t>
        </is>
      </c>
      <c r="E118" s="181" t="n">
        <v>1</v>
      </c>
      <c r="F118" s="181" t="inlineStr">
        <is>
          <t>general or unknown targets</t>
        </is>
      </c>
      <c r="G118" s="181" t="inlineStr">
        <is>
          <t>multi-target signaling modulation</t>
        </is>
      </c>
      <c r="H118" s="181" t="inlineStr">
        <is>
          <t>trusted_gov_added</t>
        </is>
      </c>
      <c r="I118" s="181" t="inlineStr">
        <is>
          <t>Integrated from cleaned high-signal dataset</t>
        </is>
      </c>
    </row>
    <row r="119">
      <c r="A119" s="181" t="inlineStr">
        <is>
          <t>cineole</t>
        </is>
      </c>
      <c r="B119" s="181" t="inlineStr">
        <is>
          <t>cineole</t>
        </is>
      </c>
      <c r="C119" s="181" t="inlineStr">
        <is>
          <t>artemisia-judaica; artemisia-vulgaris; laurus-nobilis; melaleuca-alternifolia; rosmarinus-officinalis; salvia-officinalis</t>
        </is>
      </c>
      <c r="D119" s="181" t="inlineStr">
        <is>
          <t>artemisia judaica; artemisia vulgaris; laurus nobilis; melaleuca alternifolia; rosmarinus officinalis; salvia officinalis</t>
        </is>
      </c>
      <c r="E119" s="181" t="n">
        <v>6</v>
      </c>
      <c r="F119" s="181" t="inlineStr">
        <is>
          <t>general or unknown targets</t>
        </is>
      </c>
      <c r="G119" s="181" t="inlineStr">
        <is>
          <t>multi-target signaling modulation</t>
        </is>
      </c>
      <c r="H119" s="181" t="inlineStr">
        <is>
          <t>inferred_plus_trusted_gov</t>
        </is>
      </c>
      <c r="I119" s="181" t="inlineStr">
        <is>
          <t>Integrated from cleaned high-signal dataset</t>
        </is>
      </c>
    </row>
    <row r="120">
      <c r="A120" s="181" t="inlineStr">
        <is>
          <t>cinnamaldehyde</t>
        </is>
      </c>
      <c r="B120" s="181" t="inlineStr">
        <is>
          <t>cinnamaldehyde</t>
        </is>
      </c>
      <c r="C120" s="181" t="inlineStr">
        <is>
          <t>cinnamomum-verum</t>
        </is>
      </c>
      <c r="D120" s="181" t="inlineStr">
        <is>
          <t>cinnamomum verum</t>
        </is>
      </c>
      <c r="E120" s="181" t="n">
        <v>1</v>
      </c>
      <c r="F120" s="181" t="inlineStr">
        <is>
          <t>general or unknown targets</t>
        </is>
      </c>
      <c r="G120" s="181" t="inlineStr">
        <is>
          <t>multi-target signaling modulation</t>
        </is>
      </c>
      <c r="H120" s="181" t="inlineStr">
        <is>
          <t>inferred_plus_trusted_gov</t>
        </is>
      </c>
      <c r="I120" s="181" t="inlineStr">
        <is>
          <t>Integrated from cleaned high-signal dataset</t>
        </is>
      </c>
    </row>
    <row r="121">
      <c r="A121" s="181" t="inlineStr">
        <is>
          <t>cinnamoylcocaine</t>
        </is>
      </c>
      <c r="B121" s="181" t="inlineStr">
        <is>
          <t>cinnamoylcocaine</t>
        </is>
      </c>
      <c r="C121" s="181" t="inlineStr">
        <is>
          <t>erythroxylum-coca; erythroxylum-novogranatense</t>
        </is>
      </c>
      <c r="D121" s="181" t="inlineStr">
        <is>
          <t>erythroxylum coca; erythroxylum novogranatense</t>
        </is>
      </c>
      <c r="E121" s="181" t="n">
        <v>2</v>
      </c>
      <c r="F121" s="181" t="inlineStr">
        <is>
          <t>dopaminergic_modulation; general or unknown targets</t>
        </is>
      </c>
      <c r="G121" s="181" t="inlineStr">
        <is>
          <t>multi-target signaling modulation</t>
        </is>
      </c>
      <c r="H121" s="181" t="inlineStr">
        <is>
          <t>inferred_plus_trusted_gov; trusted_gov_added</t>
        </is>
      </c>
      <c r="I121" s="181" t="inlineStr">
        <is>
          <t>Integrated from cleaned high-signal dataset</t>
        </is>
      </c>
    </row>
    <row r="122">
      <c r="A122" s="181" t="inlineStr">
        <is>
          <t>cis-cinnamoylcocaine</t>
        </is>
      </c>
      <c r="B122" s="181" t="inlineStr">
        <is>
          <t>cis-cinnamoylcocaine</t>
        </is>
      </c>
      <c r="C122" s="181" t="inlineStr">
        <is>
          <t>coca; coca-leaf</t>
        </is>
      </c>
      <c r="D122" s="181" t="inlineStr">
        <is>
          <t>coca; coca leaf</t>
        </is>
      </c>
      <c r="E122" s="181" t="n">
        <v>2</v>
      </c>
      <c r="F122" s="181" t="inlineStr">
        <is>
          <t>dopaminergic_modulation</t>
        </is>
      </c>
      <c r="G122" s="181" t="inlineStr">
        <is>
          <t>multi-target signaling modulation</t>
        </is>
      </c>
      <c r="H122" s="181" t="inlineStr">
        <is>
          <t>trusted_gov_added</t>
        </is>
      </c>
      <c r="I122" s="181" t="inlineStr">
        <is>
          <t>Integrated from cleaned high-signal dataset</t>
        </is>
      </c>
    </row>
    <row r="123">
      <c r="A123" s="181" t="inlineStr">
        <is>
          <t>citral</t>
        </is>
      </c>
      <c r="B123" s="181" t="inlineStr">
        <is>
          <t>citral</t>
        </is>
      </c>
      <c r="C123" s="181" t="inlineStr">
        <is>
          <t>cymbopogon-citratus; lippia-alba; melissa-officinalis; melissa-officinalis-lemon-balm</t>
        </is>
      </c>
      <c r="D123" s="181" t="inlineStr">
        <is>
          <t>cymbopogon citratus; lemon balm; lippia alba; melissa officinalis (lemon balm)</t>
        </is>
      </c>
      <c r="E123" s="181" t="n">
        <v>4</v>
      </c>
      <c r="F123" s="181" t="inlineStr">
        <is>
          <t>TNF-a reduction; TRPM3 modulation; TRPM8 modulation; TRPV1 modulation; gabaergic_modulation; general or unknown targets</t>
        </is>
      </c>
      <c r="G123" s="181" t="inlineStr">
        <is>
          <t>GABAergic modulation; multi-target signaling modulation</t>
        </is>
      </c>
      <c r="H123" s="181" t="inlineStr">
        <is>
          <t>inferred_plus_trusted_gov; trusted_gov_added</t>
        </is>
      </c>
      <c r="I123" s="181" t="inlineStr">
        <is>
          <t>Integrated from cleaned high-signal dataset; Integrated from compound monograph workbook</t>
        </is>
      </c>
    </row>
    <row r="124">
      <c r="A124" s="181" t="inlineStr">
        <is>
          <t>citric acid</t>
        </is>
      </c>
      <c r="B124" s="181" t="inlineStr">
        <is>
          <t>citric acid</t>
        </is>
      </c>
      <c r="C124" s="181" t="inlineStr">
        <is>
          <t>citrus-limon</t>
        </is>
      </c>
      <c r="D124" s="181" t="inlineStr">
        <is>
          <t>citrus limon</t>
        </is>
      </c>
      <c r="E124" s="181" t="n">
        <v>1</v>
      </c>
      <c r="F124" s="181" t="inlineStr">
        <is>
          <t>general or unknown targets</t>
        </is>
      </c>
      <c r="G124" s="181" t="inlineStr">
        <is>
          <t>multi-target signaling modulation</t>
        </is>
      </c>
      <c r="H124" s="181" t="inlineStr">
        <is>
          <t>inferred_plus_trusted_gov</t>
        </is>
      </c>
      <c r="I124" s="181" t="inlineStr">
        <is>
          <t>Integrated from cleaned high-signal dataset</t>
        </is>
      </c>
    </row>
    <row r="125">
      <c r="A125" s="181" t="inlineStr">
        <is>
          <t>citronellal</t>
        </is>
      </c>
      <c r="B125" s="181" t="inlineStr">
        <is>
          <t>citronellal</t>
        </is>
      </c>
      <c r="C125" s="181" t="inlineStr">
        <is>
          <t>melissa-officinalis; melissa-officinalis-lemon-balm</t>
        </is>
      </c>
      <c r="D125" s="181" t="inlineStr">
        <is>
          <t>lemon balm; melissa officinalis (lemon balm)</t>
        </is>
      </c>
      <c r="E125" s="181" t="n">
        <v>2</v>
      </c>
      <c r="F125" s="181" t="inlineStr">
        <is>
          <t>gabaergic_modulation</t>
        </is>
      </c>
      <c r="G125" s="181" t="inlineStr">
        <is>
          <t>GABAergic modulation</t>
        </is>
      </c>
      <c r="H125" s="181" t="inlineStr">
        <is>
          <t>trusted_gov_added</t>
        </is>
      </c>
      <c r="I125" s="181" t="inlineStr">
        <is>
          <t>Integrated from cleaned high-signal dataset</t>
        </is>
      </c>
    </row>
    <row r="126">
      <c r="A126" s="181" t="inlineStr">
        <is>
          <t>cocaine</t>
        </is>
      </c>
      <c r="B126" s="181" t="inlineStr">
        <is>
          <t>cocaine</t>
        </is>
      </c>
      <c r="C126" s="181" t="inlineStr">
        <is>
          <t>coca; coca-leaf; erythroxylum-coca; erythroxylum-novogranatense</t>
        </is>
      </c>
      <c r="D126" s="181" t="inlineStr">
        <is>
          <t>coca; coca leaf; erythroxylum coca; erythroxylum novogranatense</t>
        </is>
      </c>
      <c r="E126" s="181" t="n">
        <v>4</v>
      </c>
      <c r="F126" s="181" t="inlineStr">
        <is>
          <t>dopaminergic_modulation; general or unknown targets</t>
        </is>
      </c>
      <c r="G126" s="181" t="inlineStr">
        <is>
          <t>multi-target signaling modulation</t>
        </is>
      </c>
      <c r="H126" s="181" t="inlineStr">
        <is>
          <t>inferred_plus_trusted_gov; trusted_gov_added</t>
        </is>
      </c>
      <c r="I126" s="181" t="inlineStr">
        <is>
          <t>Integrated from cleaned high-signal dataset</t>
        </is>
      </c>
    </row>
    <row r="127">
      <c r="A127" s="181" t="inlineStr">
        <is>
          <t>codeine</t>
        </is>
      </c>
      <c r="B127" s="181" t="inlineStr">
        <is>
          <t>codeine</t>
        </is>
      </c>
      <c r="C127" s="181" t="inlineStr">
        <is>
          <t>papaver-somniferum</t>
        </is>
      </c>
      <c r="D127" s="181" t="inlineStr">
        <is>
          <t>papaver somniferum</t>
        </is>
      </c>
      <c r="E127" s="181" t="n">
        <v>1</v>
      </c>
      <c r="F127" s="181" t="inlineStr">
        <is>
          <t>general or unknown targets</t>
        </is>
      </c>
      <c r="G127" s="181" t="inlineStr">
        <is>
          <t>multi-target signaling modulation</t>
        </is>
      </c>
      <c r="H127" s="181" t="inlineStr">
        <is>
          <t>inferred_plus_trusted_gov</t>
        </is>
      </c>
      <c r="I127" s="181" t="inlineStr">
        <is>
          <t>Integrated from cleaned high-signal dataset</t>
        </is>
      </c>
    </row>
    <row r="128">
      <c r="A128" s="181" t="inlineStr">
        <is>
          <t>columbamine</t>
        </is>
      </c>
      <c r="B128" s="181" t="inlineStr">
        <is>
          <t>columbamine</t>
        </is>
      </c>
      <c r="C128" s="181" t="inlineStr">
        <is>
          <t>argemone-mexicana</t>
        </is>
      </c>
      <c r="D128" s="181" t="inlineStr">
        <is>
          <t>argemone mexicana</t>
        </is>
      </c>
      <c r="E128" s="181" t="n">
        <v>1</v>
      </c>
      <c r="F128" s="181" t="inlineStr">
        <is>
          <t>general or unknown targets</t>
        </is>
      </c>
      <c r="G128" s="181" t="inlineStr">
        <is>
          <t>multi-target signaling modulation</t>
        </is>
      </c>
      <c r="H128" s="181" t="inlineStr">
        <is>
          <t>trusted_gov_added</t>
        </is>
      </c>
      <c r="I128" s="181" t="inlineStr">
        <is>
          <t>Integrated from cleaned high-signal dataset</t>
        </is>
      </c>
    </row>
    <row r="129">
      <c r="A129" s="181" t="inlineStr">
        <is>
          <t>conhydrine</t>
        </is>
      </c>
      <c r="B129" s="181" t="inlineStr">
        <is>
          <t>conhydrine</t>
        </is>
      </c>
      <c r="C129" s="181" t="inlineStr">
        <is>
          <t>conium-maculatum</t>
        </is>
      </c>
      <c r="D129" s="181" t="inlineStr">
        <is>
          <t>conium maculatum</t>
        </is>
      </c>
      <c r="E129" s="181" t="n">
        <v>1</v>
      </c>
      <c r="F129" s="181" t="inlineStr">
        <is>
          <t>general or unknown targets</t>
        </is>
      </c>
      <c r="G129" s="181" t="inlineStr">
        <is>
          <t>multi-target signaling modulation</t>
        </is>
      </c>
      <c r="H129" s="181" t="inlineStr">
        <is>
          <t>inferred_plus_trusted_gov</t>
        </is>
      </c>
      <c r="I129" s="181" t="inlineStr">
        <is>
          <t>Integrated from cleaned high-signal dataset</t>
        </is>
      </c>
    </row>
    <row r="130">
      <c r="A130" s="181" t="inlineStr">
        <is>
          <t>coniine</t>
        </is>
      </c>
      <c r="B130" s="181" t="inlineStr">
        <is>
          <t>coniine</t>
        </is>
      </c>
      <c r="C130" s="181" t="inlineStr">
        <is>
          <t>conium-maculatum</t>
        </is>
      </c>
      <c r="D130" s="181" t="inlineStr">
        <is>
          <t>conium maculatum</t>
        </is>
      </c>
      <c r="E130" s="181" t="n">
        <v>1</v>
      </c>
      <c r="F130" s="181" t="inlineStr">
        <is>
          <t>general or unknown targets</t>
        </is>
      </c>
      <c r="G130" s="181" t="inlineStr">
        <is>
          <t>multi-target signaling modulation</t>
        </is>
      </c>
      <c r="H130" s="181" t="inlineStr">
        <is>
          <t>inferred_plus_trusted_gov</t>
        </is>
      </c>
      <c r="I130" s="181" t="inlineStr">
        <is>
          <t>Integrated from cleaned high-signal dataset</t>
        </is>
      </c>
    </row>
    <row r="131">
      <c r="A131" s="181" t="inlineStr">
        <is>
          <t>convallatoxin</t>
        </is>
      </c>
      <c r="B131" s="181" t="inlineStr">
        <is>
          <t>convallatoxin</t>
        </is>
      </c>
      <c r="C131" s="181" t="inlineStr">
        <is>
          <t>convallaria-majalis</t>
        </is>
      </c>
      <c r="D131" s="181" t="inlineStr">
        <is>
          <t>convallaria majalis</t>
        </is>
      </c>
      <c r="E131" s="181" t="n">
        <v>1</v>
      </c>
      <c r="F131" s="181" t="inlineStr">
        <is>
          <t>general or unknown targets</t>
        </is>
      </c>
      <c r="G131" s="181" t="inlineStr">
        <is>
          <t>multi-target signaling modulation</t>
        </is>
      </c>
      <c r="H131" s="181" t="inlineStr">
        <is>
          <t>inferred_plus_trusted_gov</t>
        </is>
      </c>
      <c r="I131" s="181" t="inlineStr">
        <is>
          <t>Integrated from cleaned high-signal dataset</t>
        </is>
      </c>
    </row>
    <row r="132">
      <c r="A132" s="181" t="inlineStr">
        <is>
          <t>convalloside cardiac glycosides</t>
        </is>
      </c>
      <c r="B132" s="181" t="inlineStr">
        <is>
          <t>convalloside (cardiac glycosides)</t>
        </is>
      </c>
      <c r="C132" s="181" t="inlineStr">
        <is>
          <t>convallaria-majalis</t>
        </is>
      </c>
      <c r="D132" s="181" t="inlineStr">
        <is>
          <t>convallaria majalis</t>
        </is>
      </c>
      <c r="E132" s="181" t="n">
        <v>1</v>
      </c>
      <c r="F132" s="181" t="inlineStr">
        <is>
          <t>general or unknown targets</t>
        </is>
      </c>
      <c r="G132" s="181" t="inlineStr">
        <is>
          <t>multi-target signaling modulation</t>
        </is>
      </c>
      <c r="H132" s="181" t="inlineStr">
        <is>
          <t>inferred_plus_trusted_gov</t>
        </is>
      </c>
      <c r="I132" s="181" t="inlineStr">
        <is>
          <t>Integrated from cleaned high-signal dataset</t>
        </is>
      </c>
    </row>
    <row r="133">
      <c r="A133" s="181" t="inlineStr">
        <is>
          <t>copalic acid</t>
        </is>
      </c>
      <c r="B133" s="181" t="inlineStr">
        <is>
          <t>copalic acid</t>
        </is>
      </c>
      <c r="C133" s="181" t="inlineStr">
        <is>
          <t>copaifera-officinalis</t>
        </is>
      </c>
      <c r="D133" s="181" t="inlineStr">
        <is>
          <t>copaifera officinalis</t>
        </is>
      </c>
      <c r="E133" s="181" t="n">
        <v>1</v>
      </c>
      <c r="F133" s="181" t="inlineStr">
        <is>
          <t>general or unknown targets</t>
        </is>
      </c>
      <c r="G133" s="181" t="inlineStr">
        <is>
          <t>multi-target signaling modulation</t>
        </is>
      </c>
      <c r="H133" s="181" t="inlineStr">
        <is>
          <t>inferred_plus_trusted_gov</t>
        </is>
      </c>
      <c r="I133" s="181" t="inlineStr">
        <is>
          <t>Integrated from cleaned high-signal dataset</t>
        </is>
      </c>
    </row>
    <row r="134">
      <c r="A134" s="181" t="inlineStr">
        <is>
          <t>coptisine</t>
        </is>
      </c>
      <c r="B134" s="181" t="inlineStr">
        <is>
          <t>coptisine</t>
        </is>
      </c>
      <c r="C134" s="181" t="inlineStr">
        <is>
          <t>coptis-chinensis</t>
        </is>
      </c>
      <c r="D134" s="181" t="inlineStr">
        <is>
          <t>coptis chinensis</t>
        </is>
      </c>
      <c r="E134" s="181" t="n">
        <v>1</v>
      </c>
      <c r="F134" s="181" t="inlineStr">
        <is>
          <t>general or unknown targets</t>
        </is>
      </c>
      <c r="G134" s="181" t="inlineStr">
        <is>
          <t>multi-target signaling modulation</t>
        </is>
      </c>
      <c r="H134" s="181" t="inlineStr">
        <is>
          <t>inferred_plus_trusted_gov</t>
        </is>
      </c>
      <c r="I134" s="181" t="inlineStr">
        <is>
          <t>Integrated from cleaned high-signal dataset</t>
        </is>
      </c>
    </row>
    <row r="135">
      <c r="A135" s="181" t="inlineStr">
        <is>
          <t>cordycepin</t>
        </is>
      </c>
      <c r="B135" s="181" t="inlineStr">
        <is>
          <t>cordycepin</t>
        </is>
      </c>
      <c r="C135" s="181" t="inlineStr">
        <is>
          <t>cordyceps-sinensis</t>
        </is>
      </c>
      <c r="D135" s="181" t="inlineStr">
        <is>
          <t>cordyceps sinensis</t>
        </is>
      </c>
      <c r="E135" s="181" t="n">
        <v>1</v>
      </c>
      <c r="F135" s="181" t="inlineStr">
        <is>
          <t>adenosine_antagonism</t>
        </is>
      </c>
      <c r="G135" s="181" t="inlineStr">
        <is>
          <t>adenosine receptor antagonism</t>
        </is>
      </c>
      <c r="H135" s="181" t="inlineStr">
        <is>
          <t>inferred_plus_trusted_gov</t>
        </is>
      </c>
      <c r="I135" s="181" t="inlineStr">
        <is>
          <t>Integrated from cleaned high-signal dataset</t>
        </is>
      </c>
    </row>
    <row r="136">
      <c r="A136" s="181" t="inlineStr">
        <is>
          <t>coronaridine</t>
        </is>
      </c>
      <c r="B136" s="181" t="inlineStr">
        <is>
          <t>coronaridine</t>
        </is>
      </c>
      <c r="C136" s="181" t="inlineStr">
        <is>
          <t>tabernaemontana-divaricata</t>
        </is>
      </c>
      <c r="D136" s="181" t="inlineStr">
        <is>
          <t>tabernaemontana divaricata</t>
        </is>
      </c>
      <c r="E136" s="181" t="n">
        <v>1</v>
      </c>
      <c r="F136" s="181" t="inlineStr">
        <is>
          <t>general or unknown targets</t>
        </is>
      </c>
      <c r="G136" s="181" t="inlineStr">
        <is>
          <t>multi-target signaling modulation</t>
        </is>
      </c>
      <c r="H136" s="181" t="inlineStr">
        <is>
          <t>inferred_plus_trusted_gov</t>
        </is>
      </c>
      <c r="I136" s="181" t="inlineStr">
        <is>
          <t>Integrated from cleaned high-signal dataset</t>
        </is>
      </c>
    </row>
    <row r="137">
      <c r="A137" s="181" t="inlineStr">
        <is>
          <t>corydaline</t>
        </is>
      </c>
      <c r="B137" s="181" t="inlineStr">
        <is>
          <t>corydaline</t>
        </is>
      </c>
      <c r="C137" s="181" t="inlineStr">
        <is>
          <t>corydalis-cava; corydalis-yanhusuo</t>
        </is>
      </c>
      <c r="D137" s="181" t="inlineStr">
        <is>
          <t>corydalis cava; corydalis yanhusuo</t>
        </is>
      </c>
      <c r="E137" s="181" t="n">
        <v>2</v>
      </c>
      <c r="F137" s="181" t="inlineStr">
        <is>
          <t>dopaminergic_modulation; general or unknown targets</t>
        </is>
      </c>
      <c r="G137" s="181" t="inlineStr">
        <is>
          <t>multi-target signaling modulation</t>
        </is>
      </c>
      <c r="H137" s="181" t="inlineStr">
        <is>
          <t>inferred_plus_trusted_gov; trusted_gov_added</t>
        </is>
      </c>
      <c r="I137" s="181" t="inlineStr">
        <is>
          <t>Integrated from cleaned high-signal dataset</t>
        </is>
      </c>
    </row>
    <row r="138">
      <c r="A138" s="181" t="inlineStr">
        <is>
          <t>crocetin</t>
        </is>
      </c>
      <c r="B138" s="181" t="inlineStr">
        <is>
          <t>crocetin</t>
        </is>
      </c>
      <c r="C138" s="181" t="inlineStr">
        <is>
          <t>crocus-sativus</t>
        </is>
      </c>
      <c r="D138" s="181" t="inlineStr">
        <is>
          <t>crocus sativus</t>
        </is>
      </c>
      <c r="E138" s="181" t="n">
        <v>1</v>
      </c>
      <c r="F138" s="181" t="inlineStr">
        <is>
          <t>general or unknown targets</t>
        </is>
      </c>
      <c r="G138" s="181" t="inlineStr">
        <is>
          <t>multi-target signaling modulation</t>
        </is>
      </c>
      <c r="H138" s="181" t="inlineStr">
        <is>
          <t>trusted_gov_added</t>
        </is>
      </c>
      <c r="I138" s="181" t="inlineStr">
        <is>
          <t>Integrated from cleaned high-signal dataset</t>
        </is>
      </c>
    </row>
    <row r="139">
      <c r="A139" s="181" t="inlineStr">
        <is>
          <t>crocin</t>
        </is>
      </c>
      <c r="B139" s="181" t="inlineStr">
        <is>
          <t>crocin</t>
        </is>
      </c>
      <c r="C139" s="181" t="inlineStr">
        <is>
          <t>crocus-sativus; gardenia-jasminoides</t>
        </is>
      </c>
      <c r="D139" s="181" t="inlineStr">
        <is>
          <t>crocus sativus; gardenia jasminoides</t>
        </is>
      </c>
      <c r="E139" s="181" t="n">
        <v>2</v>
      </c>
      <c r="F139" s="181" t="inlineStr">
        <is>
          <t>general or unknown targets</t>
        </is>
      </c>
      <c r="G139" s="181" t="inlineStr">
        <is>
          <t>multi-target signaling modulation</t>
        </is>
      </c>
      <c r="H139" s="181" t="inlineStr">
        <is>
          <t>inferred_plus_trusted_gov; trusted_gov_added</t>
        </is>
      </c>
      <c r="I139" s="181" t="inlineStr">
        <is>
          <t>Integrated from cleaned high-signal dataset</t>
        </is>
      </c>
    </row>
    <row r="140">
      <c r="A140" s="181" t="inlineStr">
        <is>
          <t>cryogenine vertine</t>
        </is>
      </c>
      <c r="B140" s="181" t="inlineStr">
        <is>
          <t>cryogenine (vertine)</t>
        </is>
      </c>
      <c r="C140" s="181" t="inlineStr">
        <is>
          <t>heimia; heimia-salicifolia-sinicuichi; sinicuichi</t>
        </is>
      </c>
      <c r="D140" s="181" t="inlineStr">
        <is>
          <t>heimia; heimia salicifolia (sinicuichi); sinicuichi</t>
        </is>
      </c>
      <c r="E140" s="181" t="n">
        <v>3</v>
      </c>
      <c r="F140" s="181" t="inlineStr">
        <is>
          <t>general or unknown targets; inflammatory_pathway_modulation</t>
        </is>
      </c>
      <c r="G140" s="181" t="inlineStr">
        <is>
          <t>multi-target signaling modulation</t>
        </is>
      </c>
      <c r="H140" s="181" t="inlineStr">
        <is>
          <t>inferred_plus_trusted_gov; trusted_gov_added</t>
        </is>
      </c>
      <c r="I140" s="181" t="inlineStr">
        <is>
          <t>Integrated from cleaned high-signal dataset</t>
        </is>
      </c>
    </row>
    <row r="141">
      <c r="A141" s="181" t="inlineStr">
        <is>
          <t>curcumin</t>
        </is>
      </c>
      <c r="B141" s="181" t="inlineStr">
        <is>
          <t>curcumin</t>
        </is>
      </c>
      <c r="C141" s="181" t="inlineStr">
        <is>
          <t>curcuma-longa</t>
        </is>
      </c>
      <c r="D141" s="181" t="inlineStr">
        <is>
          <t>curcuma longa</t>
        </is>
      </c>
      <c r="E141" s="181" t="n">
        <v>1</v>
      </c>
      <c r="F141" s="181" t="inlineStr">
        <is>
          <t>COX-2 pathway modulation; NF-kB pathway inhibition; NFKB1 pathway; Nrf2 pathway activation</t>
        </is>
      </c>
      <c r="G141" s="181" t="inlineStr">
        <is>
          <t>nf-kb inhibition</t>
        </is>
      </c>
      <c r="H141" s="181" t="inlineStr">
        <is>
          <t>inferred_plus_trusted_gov</t>
        </is>
      </c>
      <c r="I141" s="181" t="inlineStr">
        <is>
          <t>Integrated from cleaned high-signal dataset; Integrated from compound monograph workbook</t>
        </is>
      </c>
    </row>
    <row r="142">
      <c r="A142" s="181" t="inlineStr">
        <is>
          <t>curcuminoids curcumin</t>
        </is>
      </c>
      <c r="B142" s="181" t="inlineStr">
        <is>
          <t>curcuminoids (curcumin)</t>
        </is>
      </c>
      <c r="C142" s="181" t="inlineStr">
        <is>
          <t>curcuma-longa</t>
        </is>
      </c>
      <c r="D142" s="181" t="inlineStr">
        <is>
          <t>turmeric</t>
        </is>
      </c>
      <c r="E142" s="181" t="n">
        <v>1</v>
      </c>
      <c r="F142" s="181" t="inlineStr">
        <is>
          <t>inflammatory_pathway_modulation</t>
        </is>
      </c>
      <c r="G142" s="181" t="inlineStr">
        <is>
          <t>nf-kb inhibition</t>
        </is>
      </c>
      <c r="H142" s="181" t="inlineStr">
        <is>
          <t>trusted_gov_added</t>
        </is>
      </c>
      <c r="I142" s="181" t="inlineStr">
        <is>
          <t>Integrated from cleaned high-signal dataset</t>
        </is>
      </c>
    </row>
    <row r="143">
      <c r="A143" s="181" t="inlineStr">
        <is>
          <t>cuscohygrine</t>
        </is>
      </c>
      <c r="B143" s="181" t="inlineStr">
        <is>
          <t>cuscohygrine</t>
        </is>
      </c>
      <c r="C143" s="181" t="inlineStr">
        <is>
          <t>coca; coca-leaf</t>
        </is>
      </c>
      <c r="D143" s="181" t="inlineStr">
        <is>
          <t>coca; coca leaf</t>
        </is>
      </c>
      <c r="E143" s="181" t="n">
        <v>2</v>
      </c>
      <c r="F143" s="181" t="inlineStr">
        <is>
          <t>dopaminergic_modulation</t>
        </is>
      </c>
      <c r="G143" s="181" t="inlineStr">
        <is>
          <t>multi-target signaling modulation</t>
        </is>
      </c>
      <c r="H143" s="181" t="inlineStr">
        <is>
          <t>trusted_gov_added</t>
        </is>
      </c>
      <c r="I143" s="181" t="inlineStr">
        <is>
          <t>Integrated from cleaned high-signal dataset</t>
        </is>
      </c>
    </row>
    <row r="144">
      <c r="A144" s="181" t="inlineStr">
        <is>
          <t>cyanidin</t>
        </is>
      </c>
      <c r="B144" s="181" t="inlineStr">
        <is>
          <t>cyanidin)</t>
        </is>
      </c>
      <c r="C144" s="181" t="inlineStr">
        <is>
          <t>hibiscus-sabdariffa</t>
        </is>
      </c>
      <c r="D144" s="181" t="inlineStr">
        <is>
          <t>hibiscus sabdariffa</t>
        </is>
      </c>
      <c r="E144" s="181" t="n">
        <v>1</v>
      </c>
      <c r="F144" s="181" t="inlineStr">
        <is>
          <t>general or unknown targets</t>
        </is>
      </c>
      <c r="G144" s="181" t="inlineStr">
        <is>
          <t>multi-target signaling modulation</t>
        </is>
      </c>
      <c r="H144" s="181" t="inlineStr">
        <is>
          <t>trusted_gov_added</t>
        </is>
      </c>
      <c r="I144" s="181" t="inlineStr">
        <is>
          <t>Integrated from cleaned high-signal dataset</t>
        </is>
      </c>
    </row>
    <row r="145">
      <c r="A145" s="181" t="inlineStr">
        <is>
          <t>cynarin</t>
        </is>
      </c>
      <c r="B145" s="181" t="inlineStr">
        <is>
          <t>cynarin</t>
        </is>
      </c>
      <c r="C145" s="181" t="inlineStr">
        <is>
          <t>cynara-scolymus</t>
        </is>
      </c>
      <c r="D145" s="181" t="inlineStr">
        <is>
          <t>cynara scolymus</t>
        </is>
      </c>
      <c r="E145" s="181" t="n">
        <v>1</v>
      </c>
      <c r="F145" s="181" t="inlineStr">
        <is>
          <t>general or unknown targets</t>
        </is>
      </c>
      <c r="G145" s="181" t="inlineStr">
        <is>
          <t>multi-target signaling modulation</t>
        </is>
      </c>
      <c r="H145" s="181" t="inlineStr">
        <is>
          <t>inferred_plus_trusted_gov</t>
        </is>
      </c>
      <c r="I145" s="181" t="inlineStr">
        <is>
          <t>Integrated from cleaned high-signal dataset</t>
        </is>
      </c>
    </row>
    <row r="146">
      <c r="A146" s="181" t="inlineStr">
        <is>
          <t>cyperene</t>
        </is>
      </c>
      <c r="B146" s="181" t="inlineStr">
        <is>
          <t>cyperene</t>
        </is>
      </c>
      <c r="C146" s="181" t="inlineStr">
        <is>
          <t>cyperus-rotundus</t>
        </is>
      </c>
      <c r="D146" s="181" t="inlineStr">
        <is>
          <t>cyperus rotundus</t>
        </is>
      </c>
      <c r="E146" s="181" t="n">
        <v>1</v>
      </c>
      <c r="F146" s="181" t="inlineStr">
        <is>
          <t>general or unknown targets</t>
        </is>
      </c>
      <c r="G146" s="181" t="inlineStr">
        <is>
          <t>multi-target signaling modulation</t>
        </is>
      </c>
      <c r="H146" s="181" t="inlineStr">
        <is>
          <t>inferred_plus_trusted_gov</t>
        </is>
      </c>
      <c r="I146" s="181" t="inlineStr">
        <is>
          <t>Integrated from cleaned high-signal dataset</t>
        </is>
      </c>
    </row>
    <row r="147">
      <c r="A147" s="181" t="inlineStr">
        <is>
          <t>daidzein</t>
        </is>
      </c>
      <c r="B147" s="181" t="inlineStr">
        <is>
          <t>daidzein)</t>
        </is>
      </c>
      <c r="C147" s="181" t="inlineStr">
        <is>
          <t>trifolium-pratense</t>
        </is>
      </c>
      <c r="D147" s="181" t="inlineStr">
        <is>
          <t>trifolium pratense</t>
        </is>
      </c>
      <c r="E147" s="181" t="n">
        <v>1</v>
      </c>
      <c r="F147" s="181" t="inlineStr">
        <is>
          <t>general or unknown targets</t>
        </is>
      </c>
      <c r="G147" s="181" t="inlineStr">
        <is>
          <t>multi-target signaling modulation</t>
        </is>
      </c>
      <c r="H147" s="181" t="inlineStr">
        <is>
          <t>inferred_plus_trusted_gov</t>
        </is>
      </c>
      <c r="I147" s="181" t="inlineStr">
        <is>
          <t>Integrated from cleaned high-signal dataset</t>
        </is>
      </c>
    </row>
    <row r="148">
      <c r="A148" s="181" t="inlineStr">
        <is>
          <t>damnacanthal</t>
        </is>
      </c>
      <c r="B148" s="181" t="inlineStr">
        <is>
          <t>damnacanthal</t>
        </is>
      </c>
      <c r="C148" s="181" t="inlineStr">
        <is>
          <t>morinda-citrifolia</t>
        </is>
      </c>
      <c r="D148" s="181" t="inlineStr">
        <is>
          <t>morinda citrifolia</t>
        </is>
      </c>
      <c r="E148" s="181" t="n">
        <v>1</v>
      </c>
      <c r="F148" s="181" t="inlineStr">
        <is>
          <t>general or unknown targets</t>
        </is>
      </c>
      <c r="G148" s="181" t="inlineStr">
        <is>
          <t>multi-target signaling modulation</t>
        </is>
      </c>
      <c r="H148" s="181" t="inlineStr">
        <is>
          <t>inferred_plus_trusted_gov</t>
        </is>
      </c>
      <c r="I148" s="181" t="inlineStr">
        <is>
          <t>Integrated from cleaned high-signal dataset</t>
        </is>
      </c>
    </row>
    <row r="149">
      <c r="A149" s="181" t="inlineStr">
        <is>
          <t>dehydrocorybulbine</t>
        </is>
      </c>
      <c r="B149" s="181" t="inlineStr">
        <is>
          <t>dehydrocorybulbine</t>
        </is>
      </c>
      <c r="C149" s="181" t="inlineStr">
        <is>
          <t>corydalis-yanhusuo</t>
        </is>
      </c>
      <c r="D149" s="181" t="inlineStr">
        <is>
          <t>corydalis yanhusuo</t>
        </is>
      </c>
      <c r="E149" s="181" t="n">
        <v>1</v>
      </c>
      <c r="F149" s="181" t="inlineStr">
        <is>
          <t>dopaminergic_modulation</t>
        </is>
      </c>
      <c r="G149" s="181" t="inlineStr">
        <is>
          <t>multi-target signaling modulation</t>
        </is>
      </c>
      <c r="H149" s="181" t="inlineStr">
        <is>
          <t>trusted_gov_added</t>
        </is>
      </c>
      <c r="I149" s="181" t="inlineStr">
        <is>
          <t>Integrated from cleaned high-signal dataset</t>
        </is>
      </c>
    </row>
    <row r="150">
      <c r="A150" s="181" t="inlineStr">
        <is>
          <t>dehydrocorydalmine</t>
        </is>
      </c>
      <c r="B150" s="181" t="inlineStr">
        <is>
          <t>dehydrocorydalmine</t>
        </is>
      </c>
      <c r="C150" s="181" t="inlineStr">
        <is>
          <t>argemone-mexicana</t>
        </is>
      </c>
      <c r="D150" s="181" t="inlineStr">
        <is>
          <t>argemone mexicana</t>
        </is>
      </c>
      <c r="E150" s="181" t="n">
        <v>1</v>
      </c>
      <c r="F150" s="181" t="inlineStr">
        <is>
          <t>general or unknown targets</t>
        </is>
      </c>
      <c r="G150" s="181" t="inlineStr">
        <is>
          <t>multi-target signaling modulation</t>
        </is>
      </c>
      <c r="H150" s="181" t="inlineStr">
        <is>
          <t>trusted_gov_added</t>
        </is>
      </c>
      <c r="I150" s="181" t="inlineStr">
        <is>
          <t>Integrated from cleaned high-signal dataset</t>
        </is>
      </c>
    </row>
    <row r="151">
      <c r="A151" s="181" t="inlineStr">
        <is>
          <t>dendrobine</t>
        </is>
      </c>
      <c r="B151" s="181" t="inlineStr">
        <is>
          <t>dendrobine</t>
        </is>
      </c>
      <c r="C151" s="181" t="inlineStr">
        <is>
          <t>dendrobium-nobile</t>
        </is>
      </c>
      <c r="D151" s="181" t="inlineStr">
        <is>
          <t>dendrobium nobile</t>
        </is>
      </c>
      <c r="E151" s="181" t="n">
        <v>1</v>
      </c>
      <c r="F151" s="181" t="inlineStr">
        <is>
          <t>general or unknown targets</t>
        </is>
      </c>
      <c r="G151" s="181" t="inlineStr">
        <is>
          <t>multi-target signaling modulation</t>
        </is>
      </c>
      <c r="H151" s="181" t="inlineStr">
        <is>
          <t>inferred_plus_trusted_gov</t>
        </is>
      </c>
      <c r="I151" s="181" t="inlineStr">
        <is>
          <t>Integrated from cleaned high-signal dataset</t>
        </is>
      </c>
    </row>
    <row r="152">
      <c r="A152" s="181" t="inlineStr">
        <is>
          <t>deoxymiroestrol</t>
        </is>
      </c>
      <c r="B152" s="181" t="inlineStr">
        <is>
          <t>deoxymiroestrol</t>
        </is>
      </c>
      <c r="C152" s="181" t="inlineStr">
        <is>
          <t>pueraria-mirifica</t>
        </is>
      </c>
      <c r="D152" s="181" t="inlineStr">
        <is>
          <t>pueraria mirifica</t>
        </is>
      </c>
      <c r="E152" s="181" t="n">
        <v>1</v>
      </c>
      <c r="F152" s="181" t="inlineStr">
        <is>
          <t>general or unknown targets</t>
        </is>
      </c>
      <c r="G152" s="181" t="inlineStr">
        <is>
          <t>multi-target signaling modulation</t>
        </is>
      </c>
      <c r="H152" s="181" t="inlineStr">
        <is>
          <t>inferred_plus_trusted_gov</t>
        </is>
      </c>
      <c r="I152" s="181" t="inlineStr">
        <is>
          <t>Integrated from cleaned high-signal dataset</t>
        </is>
      </c>
    </row>
    <row r="153">
      <c r="A153" s="181" t="inlineStr">
        <is>
          <t>desmethoxyyangonin</t>
        </is>
      </c>
      <c r="B153" s="181" t="inlineStr">
        <is>
          <t>desmethoxyyangonin</t>
        </is>
      </c>
      <c r="C153" s="181" t="inlineStr">
        <is>
          <t>kava; piper-methysticum</t>
        </is>
      </c>
      <c r="D153" s="181" t="inlineStr">
        <is>
          <t>kava; piper methysticum</t>
        </is>
      </c>
      <c r="E153" s="181" t="n">
        <v>2</v>
      </c>
      <c r="F153" s="181" t="inlineStr">
        <is>
          <t>dopaminergic_modulation; gabaergic_modulation</t>
        </is>
      </c>
      <c r="G153" s="181" t="inlineStr">
        <is>
          <t>GABAergic modulation; multi-target signaling modulation</t>
        </is>
      </c>
      <c r="H153" s="181" t="inlineStr">
        <is>
          <t>trusted_gov_added</t>
        </is>
      </c>
      <c r="I153" s="181" t="inlineStr">
        <is>
          <t>Integrated from cleaned high-signal dataset</t>
        </is>
      </c>
    </row>
    <row r="154">
      <c r="A154" s="181" t="inlineStr">
        <is>
          <t>dibenzyl trisulfide</t>
        </is>
      </c>
      <c r="B154" s="181" t="inlineStr">
        <is>
          <t>dibenzyl trisulfide</t>
        </is>
      </c>
      <c r="C154" s="181" t="inlineStr">
        <is>
          <t>petiveria-alliacea</t>
        </is>
      </c>
      <c r="D154" s="181" t="inlineStr">
        <is>
          <t>petiveria alliacea</t>
        </is>
      </c>
      <c r="E154" s="181" t="n">
        <v>1</v>
      </c>
      <c r="F154" s="181" t="inlineStr">
        <is>
          <t>general or unknown targets</t>
        </is>
      </c>
      <c r="G154" s="181" t="inlineStr">
        <is>
          <t>multi-target signaling modulation</t>
        </is>
      </c>
      <c r="H154" s="181" t="inlineStr">
        <is>
          <t>inferred_plus_trusted_gov</t>
        </is>
      </c>
      <c r="I154" s="181" t="inlineStr">
        <is>
          <t>Integrated from cleaned high-signal dataset</t>
        </is>
      </c>
    </row>
    <row r="155">
      <c r="A155" s="181" t="inlineStr">
        <is>
          <t>digitoxin</t>
        </is>
      </c>
      <c r="B155" s="181" t="inlineStr">
        <is>
          <t>digitoxin</t>
        </is>
      </c>
      <c r="C155" s="181" t="inlineStr">
        <is>
          <t>foxglove</t>
        </is>
      </c>
      <c r="D155" s="181" t="inlineStr">
        <is>
          <t>foxglove</t>
        </is>
      </c>
      <c r="E155" s="181" t="n">
        <v>1</v>
      </c>
      <c r="F155" s="181" t="inlineStr">
        <is>
          <t>general or unknown targets</t>
        </is>
      </c>
      <c r="G155" s="181" t="inlineStr">
        <is>
          <t>multi-target signaling modulation</t>
        </is>
      </c>
      <c r="H155" s="181" t="inlineStr">
        <is>
          <t>trusted_gov_added</t>
        </is>
      </c>
      <c r="I155" s="181" t="inlineStr">
        <is>
          <t>Integrated from cleaned high-signal dataset</t>
        </is>
      </c>
    </row>
    <row r="156">
      <c r="A156" s="181" t="inlineStr">
        <is>
          <t>digoxin</t>
        </is>
      </c>
      <c r="B156" s="181" t="inlineStr">
        <is>
          <t>digoxin</t>
        </is>
      </c>
      <c r="C156" s="181" t="inlineStr">
        <is>
          <t>foxglove</t>
        </is>
      </c>
      <c r="D156" s="181" t="inlineStr">
        <is>
          <t>foxglove</t>
        </is>
      </c>
      <c r="E156" s="181" t="n">
        <v>1</v>
      </c>
      <c r="F156" s="181" t="inlineStr">
        <is>
          <t>general or unknown targets</t>
        </is>
      </c>
      <c r="G156" s="181" t="inlineStr">
        <is>
          <t>multi-target signaling modulation</t>
        </is>
      </c>
      <c r="H156" s="181" t="inlineStr">
        <is>
          <t>trusted_gov_added</t>
        </is>
      </c>
      <c r="I156" s="181" t="inlineStr">
        <is>
          <t>Integrated from cleaned high-signal dataset</t>
        </is>
      </c>
    </row>
    <row r="157">
      <c r="A157" s="181" t="inlineStr">
        <is>
          <t>dihydrocapsaicin</t>
        </is>
      </c>
      <c r="B157" s="181" t="inlineStr">
        <is>
          <t>dihydrocapsaicin</t>
        </is>
      </c>
      <c r="C157" s="181" t="inlineStr">
        <is>
          <t>capsicum-annuum</t>
        </is>
      </c>
      <c r="D157" s="181" t="inlineStr">
        <is>
          <t>capsicum annuum</t>
        </is>
      </c>
      <c r="E157" s="181" t="n">
        <v>1</v>
      </c>
      <c r="F157" s="181" t="inlineStr">
        <is>
          <t>general or unknown targets</t>
        </is>
      </c>
      <c r="G157" s="181" t="inlineStr">
        <is>
          <t>multi-target signaling modulation</t>
        </is>
      </c>
      <c r="H157" s="181" t="inlineStr">
        <is>
          <t>trusted_gov_added</t>
        </is>
      </c>
      <c r="I157" s="181" t="inlineStr">
        <is>
          <t>Integrated from cleaned high-signal dataset</t>
        </is>
      </c>
    </row>
    <row r="158">
      <c r="A158" s="181" t="inlineStr">
        <is>
          <t>dihydrohelenalin</t>
        </is>
      </c>
      <c r="B158" s="181" t="inlineStr">
        <is>
          <t>dihydrohelenalin</t>
        </is>
      </c>
      <c r="C158" s="181" t="inlineStr">
        <is>
          <t>arnica-montana</t>
        </is>
      </c>
      <c r="D158" s="181" t="inlineStr">
        <is>
          <t>arnica montana</t>
        </is>
      </c>
      <c r="E158" s="181" t="n">
        <v>1</v>
      </c>
      <c r="F158" s="181" t="inlineStr">
        <is>
          <t>general or unknown targets</t>
        </is>
      </c>
      <c r="G158" s="181" t="inlineStr">
        <is>
          <t>multi-target signaling modulation</t>
        </is>
      </c>
      <c r="H158" s="181" t="inlineStr">
        <is>
          <t>inferred_plus_trusted_gov</t>
        </is>
      </c>
      <c r="I158" s="181" t="inlineStr">
        <is>
          <t>Integrated from cleaned high-signal dataset</t>
        </is>
      </c>
    </row>
    <row r="159">
      <c r="A159" s="181" t="inlineStr">
        <is>
          <t>dihydrokavain</t>
        </is>
      </c>
      <c r="B159" s="181" t="inlineStr">
        <is>
          <t>dihydrokavain</t>
        </is>
      </c>
      <c r="C159" s="181" t="inlineStr">
        <is>
          <t>kava; piper-methysticum</t>
        </is>
      </c>
      <c r="D159" s="181" t="inlineStr">
        <is>
          <t>kava; piper methysticum</t>
        </is>
      </c>
      <c r="E159" s="181" t="n">
        <v>2</v>
      </c>
      <c r="F159" s="181" t="inlineStr">
        <is>
          <t>dopaminergic_modulation; gabaergic_modulation</t>
        </is>
      </c>
      <c r="G159" s="181" t="inlineStr">
        <is>
          <t>GABAergic modulation; multi-target signaling modulation</t>
        </is>
      </c>
      <c r="H159" s="181" t="inlineStr">
        <is>
          <t>trusted_gov_added</t>
        </is>
      </c>
      <c r="I159" s="181" t="inlineStr">
        <is>
          <t>Integrated from cleaned high-signal dataset</t>
        </is>
      </c>
    </row>
    <row r="160">
      <c r="A160" s="181" t="inlineStr">
        <is>
          <t>dihydromethysticin</t>
        </is>
      </c>
      <c r="B160" s="181" t="inlineStr">
        <is>
          <t>dihydromethysticin</t>
        </is>
      </c>
      <c r="C160" s="181" t="inlineStr">
        <is>
          <t>kava</t>
        </is>
      </c>
      <c r="D160" s="181" t="inlineStr">
        <is>
          <t>kava</t>
        </is>
      </c>
      <c r="E160" s="181" t="n">
        <v>1</v>
      </c>
      <c r="F160" s="181" t="inlineStr">
        <is>
          <t>dopaminergic_modulation; gabaergic_modulation</t>
        </is>
      </c>
      <c r="G160" s="181" t="inlineStr">
        <is>
          <t>multi-target signaling modulation</t>
        </is>
      </c>
      <c r="H160" s="181" t="inlineStr">
        <is>
          <t>trusted_gov_added</t>
        </is>
      </c>
      <c r="I160" s="181" t="inlineStr">
        <is>
          <t>Integrated from cleaned high-signal dataset</t>
        </is>
      </c>
    </row>
    <row r="161">
      <c r="A161" s="181" t="inlineStr">
        <is>
          <t>dillapiole</t>
        </is>
      </c>
      <c r="B161" s="181" t="inlineStr">
        <is>
          <t>dillapiole</t>
        </is>
      </c>
      <c r="C161" s="181" t="inlineStr">
        <is>
          <t>macropiper-excelsum; piper-auritum</t>
        </is>
      </c>
      <c r="D161" s="181" t="inlineStr">
        <is>
          <t>macropiper excelsum; piper auritum</t>
        </is>
      </c>
      <c r="E161" s="181" t="n">
        <v>2</v>
      </c>
      <c r="F161" s="181" t="inlineStr">
        <is>
          <t>general or unknown targets</t>
        </is>
      </c>
      <c r="G161" s="181" t="inlineStr">
        <is>
          <t>multi-target signaling modulation</t>
        </is>
      </c>
      <c r="H161" s="181" t="inlineStr">
        <is>
          <t>inferred_plus_trusted_gov</t>
        </is>
      </c>
      <c r="I161" s="181" t="inlineStr">
        <is>
          <t>Integrated from cleaned high-signal dataset</t>
        </is>
      </c>
    </row>
    <row r="162">
      <c r="A162" s="181" t="inlineStr">
        <is>
          <t>dmt</t>
        </is>
      </c>
      <c r="B162" s="181" t="inlineStr">
        <is>
          <t>dmt</t>
        </is>
      </c>
      <c r="C162" s="181" t="inlineStr">
        <is>
          <t>anadenanthera-colubrina; anadenanthera-colubrina-ceb-l; anadenanthera-peregrina; piptadenia-peregrina; virola-spp.</t>
        </is>
      </c>
      <c r="D162" s="181" t="inlineStr">
        <is>
          <t>anadenanthera colubrina; anadenanthera colubrina (cebíl); anadenanthera peregrina; piptadenia peregrina; virola spp.</t>
        </is>
      </c>
      <c r="E162" s="181" t="n">
        <v>5</v>
      </c>
      <c r="F162" s="181" t="inlineStr">
        <is>
          <t>serotonergic_5HT2A_agonism</t>
        </is>
      </c>
      <c r="G162" s="181" t="inlineStr">
        <is>
          <t>serotonin receptor interaction</t>
        </is>
      </c>
      <c r="H162" s="181" t="inlineStr">
        <is>
          <t>inferred_plus_trusted_gov; trusted_gov_added</t>
        </is>
      </c>
      <c r="I162" s="181" t="inlineStr">
        <is>
          <t>Integrated from cleaned high-signal dataset</t>
        </is>
      </c>
    </row>
    <row r="163">
      <c r="A163" s="181" t="inlineStr">
        <is>
          <t>ecliptine</t>
        </is>
      </c>
      <c r="B163" s="181" t="inlineStr">
        <is>
          <t>ecliptine</t>
        </is>
      </c>
      <c r="C163" s="181" t="inlineStr">
        <is>
          <t>eclipta-prostrata</t>
        </is>
      </c>
      <c r="D163" s="181" t="inlineStr">
        <is>
          <t>eclipta prostrata</t>
        </is>
      </c>
      <c r="E163" s="181" t="n">
        <v>1</v>
      </c>
      <c r="F163" s="181" t="inlineStr">
        <is>
          <t>general or unknown targets</t>
        </is>
      </c>
      <c r="G163" s="181" t="inlineStr">
        <is>
          <t>multi-target signaling modulation</t>
        </is>
      </c>
      <c r="H163" s="181" t="inlineStr">
        <is>
          <t>inferred_plus_trusted_gov</t>
        </is>
      </c>
      <c r="I163" s="181" t="inlineStr">
        <is>
          <t>Integrated from cleaned high-signal dataset</t>
        </is>
      </c>
    </row>
    <row r="164">
      <c r="A164" s="181" t="inlineStr">
        <is>
          <t>ellagic acid</t>
        </is>
      </c>
      <c r="B164" s="181" t="inlineStr">
        <is>
          <t>ellagic acid</t>
        </is>
      </c>
      <c r="C164" s="181" t="inlineStr">
        <is>
          <t>punica-granatum; vachellia-nilotica</t>
        </is>
      </c>
      <c r="D164" s="181" t="inlineStr">
        <is>
          <t>acacia nilotica; punica granatum</t>
        </is>
      </c>
      <c r="E164" s="181" t="n">
        <v>2</v>
      </c>
      <c r="F164" s="181" t="inlineStr">
        <is>
          <t>NF-kB modulation; general or unknown targets; oxidative stress pathways</t>
        </is>
      </c>
      <c r="G164" s="181" t="inlineStr">
        <is>
          <t>multi-target signaling modulation</t>
        </is>
      </c>
      <c r="H164" s="181" t="inlineStr">
        <is>
          <t>inferred_plus_trusted_gov; trusted_gov_added</t>
        </is>
      </c>
      <c r="I164" s="181" t="inlineStr">
        <is>
          <t>Integrated from cleaned high-signal dataset; Integrated from compound monograph workbook</t>
        </is>
      </c>
    </row>
    <row r="165">
      <c r="A165" s="181" t="inlineStr">
        <is>
          <t>emetine</t>
        </is>
      </c>
      <c r="B165" s="181" t="inlineStr">
        <is>
          <t>emetine</t>
        </is>
      </c>
      <c r="C165" s="181" t="inlineStr">
        <is>
          <t>cephaelis-ipecacuanha</t>
        </is>
      </c>
      <c r="D165" s="181" t="inlineStr">
        <is>
          <t>cephaelis ipecacuanha</t>
        </is>
      </c>
      <c r="E165" s="181" t="n">
        <v>1</v>
      </c>
      <c r="F165" s="181" t="inlineStr">
        <is>
          <t>general or unknown targets</t>
        </is>
      </c>
      <c r="G165" s="181" t="inlineStr">
        <is>
          <t>multi-target signaling modulation</t>
        </is>
      </c>
      <c r="H165" s="181" t="inlineStr">
        <is>
          <t>inferred_plus_trusted_gov</t>
        </is>
      </c>
      <c r="I165" s="181" t="inlineStr">
        <is>
          <t>Integrated from cleaned high-signal dataset</t>
        </is>
      </c>
    </row>
    <row r="166">
      <c r="A166" s="181" t="inlineStr">
        <is>
          <t>emodin</t>
        </is>
      </c>
      <c r="B166" s="181" t="inlineStr">
        <is>
          <t>emodin</t>
        </is>
      </c>
      <c r="C166" s="181" t="inlineStr">
        <is>
          <t>cassia-occidentalis; polygonum-multiflorum; rheum-palmatum</t>
        </is>
      </c>
      <c r="D166" s="181" t="inlineStr">
        <is>
          <t>cassia occidentalis; polygonum multiflorum; rheum palmatum</t>
        </is>
      </c>
      <c r="E166" s="181" t="n">
        <v>3</v>
      </c>
      <c r="F166" s="181" t="inlineStr">
        <is>
          <t>NF-kB pathway inhibition; apoptosis/caspase signaling modulation; general or unknown targets; tyrosine-kinase-related signaling</t>
        </is>
      </c>
      <c r="G166" s="181" t="inlineStr">
        <is>
          <t>multi-target signaling modulation</t>
        </is>
      </c>
      <c r="H166" s="181" t="inlineStr">
        <is>
          <t>inferred_plus_trusted_gov</t>
        </is>
      </c>
      <c r="I166" s="181" t="inlineStr">
        <is>
          <t>Integrated from cleaned high-signal dataset; Integrated from compound monograph workbook</t>
        </is>
      </c>
    </row>
    <row r="167">
      <c r="A167" s="181" t="inlineStr">
        <is>
          <t>ephedrine</t>
        </is>
      </c>
      <c r="B167" s="181" t="inlineStr">
        <is>
          <t>ephedrine</t>
        </is>
      </c>
      <c r="C167" s="181" t="inlineStr">
        <is>
          <t>ephedra; ephedra-sinica</t>
        </is>
      </c>
      <c r="D167" s="181" t="inlineStr">
        <is>
          <t>ephedra; ephedra sinica</t>
        </is>
      </c>
      <c r="E167" s="181" t="n">
        <v>2</v>
      </c>
      <c r="F167" s="181" t="inlineStr">
        <is>
          <t>dopaminergic_modulation; general or unknown targets</t>
        </is>
      </c>
      <c r="G167" s="181" t="inlineStr">
        <is>
          <t>multi-target signaling modulation</t>
        </is>
      </c>
      <c r="H167" s="181" t="inlineStr">
        <is>
          <t>inferred_plus_trusted_gov; trusted_gov_added</t>
        </is>
      </c>
      <c r="I167" s="181" t="inlineStr">
        <is>
          <t>Integrated from cleaned high-signal dataset</t>
        </is>
      </c>
    </row>
    <row r="168">
      <c r="A168" s="181" t="inlineStr">
        <is>
          <t>epicatechin</t>
        </is>
      </c>
      <c r="B168" s="181" t="inlineStr">
        <is>
          <t>epicatechin</t>
        </is>
      </c>
      <c r="C168" s="181" t="inlineStr">
        <is>
          <t>theobroma-cacao</t>
        </is>
      </c>
      <c r="D168" s="181" t="inlineStr">
        <is>
          <t>theobroma cacao</t>
        </is>
      </c>
      <c r="E168" s="181" t="n">
        <v>1</v>
      </c>
      <c r="F168" s="181" t="inlineStr">
        <is>
          <t>adenosine_antagonism</t>
        </is>
      </c>
      <c r="G168" s="181" t="inlineStr">
        <is>
          <t>adenosine receptor antagonism</t>
        </is>
      </c>
      <c r="H168" s="181" t="inlineStr">
        <is>
          <t>inferred_plus_trusted_gov</t>
        </is>
      </c>
      <c r="I168" s="181" t="inlineStr">
        <is>
          <t>Integrated from cleaned high-signal dataset</t>
        </is>
      </c>
    </row>
    <row r="169">
      <c r="A169" s="181" t="inlineStr">
        <is>
          <t>ergine</t>
        </is>
      </c>
      <c r="B169" s="181" t="inlineStr">
        <is>
          <t>ergine (lsa)</t>
        </is>
      </c>
      <c r="C169" s="181" t="inlineStr">
        <is>
          <t>ipomoea-tricolor; turbina-corymbosa</t>
        </is>
      </c>
      <c r="D169" s="181" t="inlineStr">
        <is>
          <t>ipomoea tricolor; turbina corymbosa</t>
        </is>
      </c>
      <c r="E169" s="181" t="n">
        <v>2</v>
      </c>
      <c r="F169" s="181" t="inlineStr">
        <is>
          <t>general or unknown targets</t>
        </is>
      </c>
      <c r="G169" s="181" t="inlineStr">
        <is>
          <t>multi-target signaling modulation</t>
        </is>
      </c>
      <c r="H169" s="181" t="inlineStr">
        <is>
          <t>inferred_plus_trusted_gov</t>
        </is>
      </c>
      <c r="I169" s="181" t="inlineStr">
        <is>
          <t>Integrated from cleaned high-signal dataset</t>
        </is>
      </c>
    </row>
    <row r="170">
      <c r="A170" s="181" t="inlineStr">
        <is>
          <t>eryngial</t>
        </is>
      </c>
      <c r="B170" s="181" t="inlineStr">
        <is>
          <t>eryngial</t>
        </is>
      </c>
      <c r="C170" s="181" t="inlineStr">
        <is>
          <t>eryngium-foetidum</t>
        </is>
      </c>
      <c r="D170" s="181" t="inlineStr">
        <is>
          <t>eryngium foetidum</t>
        </is>
      </c>
      <c r="E170" s="181" t="n">
        <v>1</v>
      </c>
      <c r="F170" s="181" t="inlineStr">
        <is>
          <t>general or unknown targets</t>
        </is>
      </c>
      <c r="G170" s="181" t="inlineStr">
        <is>
          <t>multi-target signaling modulation</t>
        </is>
      </c>
      <c r="H170" s="181" t="inlineStr">
        <is>
          <t>inferred_plus_trusted_gov</t>
        </is>
      </c>
      <c r="I170" s="181" t="inlineStr">
        <is>
          <t>Integrated from cleaned high-signal dataset</t>
        </is>
      </c>
    </row>
    <row r="171">
      <c r="A171" s="181" t="inlineStr">
        <is>
          <t>esculetin</t>
        </is>
      </c>
      <c r="B171" s="181" t="inlineStr">
        <is>
          <t>esculetin</t>
        </is>
      </c>
      <c r="C171" s="181" t="inlineStr">
        <is>
          <t>casimiroa-edulis</t>
        </is>
      </c>
      <c r="D171" s="181" t="inlineStr">
        <is>
          <t>casimiroa edulis</t>
        </is>
      </c>
      <c r="E171" s="181" t="n">
        <v>1</v>
      </c>
      <c r="F171" s="181" t="inlineStr">
        <is>
          <t>general or unknown targets</t>
        </is>
      </c>
      <c r="G171" s="181" t="inlineStr">
        <is>
          <t>multi-target signaling modulation</t>
        </is>
      </c>
      <c r="H171" s="181" t="inlineStr">
        <is>
          <t>trusted_gov_added</t>
        </is>
      </c>
      <c r="I171" s="181" t="inlineStr">
        <is>
          <t>Integrated from cleaned high-signal dataset</t>
        </is>
      </c>
    </row>
    <row r="172">
      <c r="A172" s="181" t="inlineStr">
        <is>
          <t>estragole</t>
        </is>
      </c>
      <c r="B172" s="181" t="inlineStr">
        <is>
          <t>estragole</t>
        </is>
      </c>
      <c r="C172" s="181" t="inlineStr">
        <is>
          <t>agastache-foeniculum; tagetes-lucida</t>
        </is>
      </c>
      <c r="D172" s="181" t="inlineStr">
        <is>
          <t>agastache foeniculum; tagetes lucida</t>
        </is>
      </c>
      <c r="E172" s="181" t="n">
        <v>2</v>
      </c>
      <c r="F172" s="181" t="inlineStr">
        <is>
          <t>general or unknown targets</t>
        </is>
      </c>
      <c r="G172" s="181" t="inlineStr">
        <is>
          <t>multi-target signaling modulation</t>
        </is>
      </c>
      <c r="H172" s="181" t="inlineStr">
        <is>
          <t>inferred_plus_trusted_gov</t>
        </is>
      </c>
      <c r="I172" s="181" t="inlineStr">
        <is>
          <t>Integrated from cleaned high-signal dataset</t>
        </is>
      </c>
    </row>
    <row r="173">
      <c r="A173" s="181" t="inlineStr">
        <is>
          <t>ethyl cinnamate</t>
        </is>
      </c>
      <c r="B173" s="181" t="inlineStr">
        <is>
          <t>ethyl cinnamate</t>
        </is>
      </c>
      <c r="C173" s="181" t="inlineStr">
        <is>
          <t>kaempferia-galanga</t>
        </is>
      </c>
      <c r="D173" s="181" t="inlineStr">
        <is>
          <t>kaempferia galanga</t>
        </is>
      </c>
      <c r="E173" s="181" t="n">
        <v>1</v>
      </c>
      <c r="F173" s="181" t="inlineStr">
        <is>
          <t>general or unknown targets</t>
        </is>
      </c>
      <c r="G173" s="181" t="inlineStr">
        <is>
          <t>multi-target signaling modulation</t>
        </is>
      </c>
      <c r="H173" s="181" t="inlineStr">
        <is>
          <t>inferred_plus_trusted_gov</t>
        </is>
      </c>
      <c r="I173" s="181" t="inlineStr">
        <is>
          <t>Integrated from cleaned high-signal dataset</t>
        </is>
      </c>
    </row>
    <row r="174">
      <c r="A174" s="181" t="inlineStr">
        <is>
          <t>eucalyptol cineole</t>
        </is>
      </c>
      <c r="B174" s="181" t="inlineStr">
        <is>
          <t>eucalyptol (cineole)</t>
        </is>
      </c>
      <c r="C174" s="181" t="inlineStr">
        <is>
          <t>eucalyptus-globulus</t>
        </is>
      </c>
      <c r="D174" s="181" t="inlineStr">
        <is>
          <t>eucalyptus globulus</t>
        </is>
      </c>
      <c r="E174" s="181" t="n">
        <v>1</v>
      </c>
      <c r="F174" s="181" t="inlineStr">
        <is>
          <t>general or unknown targets</t>
        </is>
      </c>
      <c r="G174" s="181" t="inlineStr">
        <is>
          <t>multi-target signaling modulation</t>
        </is>
      </c>
      <c r="H174" s="181" t="inlineStr">
        <is>
          <t>inferred_plus_trusted_gov</t>
        </is>
      </c>
      <c r="I174" s="181" t="inlineStr">
        <is>
          <t>Integrated from cleaned high-signal dataset</t>
        </is>
      </c>
    </row>
    <row r="175">
      <c r="A175" s="181" t="inlineStr">
        <is>
          <t>eugenol</t>
        </is>
      </c>
      <c r="B175" s="181" t="inlineStr">
        <is>
          <t>eugenol</t>
        </is>
      </c>
      <c r="C175" s="181" t="inlineStr">
        <is>
          <t>acorus-calamus; cinnamomum-verum; laurus-nobilis; ocimum-sanctum; pimenta-racemosa; syzygium-aromaticum; tulsi</t>
        </is>
      </c>
      <c r="D175" s="181" t="inlineStr">
        <is>
          <t>acorus calamus; cinnamomum verum; holy basil; laurus nobilis; ocimum sanctum; pimenta racemosa; syzygium aromaticum; tulsi</t>
        </is>
      </c>
      <c r="E175" s="181" t="n">
        <v>7</v>
      </c>
      <c r="F175" s="181" t="inlineStr">
        <is>
          <t>NF-kB pathway inhibition; PLCγ2-PKC pathway inhibition; TRPV1 activation; cPLA2-TxA2 pathway inhibition; gabaergic_modulation; general or unknown targets; inflammatory_pathway_modulation; voltage-gated sodium channel inhibition</t>
        </is>
      </c>
      <c r="G175" s="181" t="inlineStr">
        <is>
          <t>COX/NF-kB inhibition; GABAergic modulation; multi-target signaling modulation</t>
        </is>
      </c>
      <c r="H175" s="181" t="inlineStr">
        <is>
          <t>inferred_plus_trusted_gov; trusted_gov_added</t>
        </is>
      </c>
      <c r="I175" s="181" t="inlineStr">
        <is>
          <t>Integrated from cleaned high-signal dataset; Integrated from compound monograph workbook</t>
        </is>
      </c>
    </row>
    <row r="176">
      <c r="A176" s="181" t="inlineStr">
        <is>
          <t>eurycomanone</t>
        </is>
      </c>
      <c r="B176" s="181" t="inlineStr">
        <is>
          <t>eurycomanone</t>
        </is>
      </c>
      <c r="C176" s="181" t="inlineStr">
        <is>
          <t>eurycoma-longifolia</t>
        </is>
      </c>
      <c r="D176" s="181" t="inlineStr">
        <is>
          <t>tongkat ali</t>
        </is>
      </c>
      <c r="E176" s="181" t="n">
        <v>1</v>
      </c>
      <c r="F176" s="181" t="inlineStr">
        <is>
          <t>general or unknown targets</t>
        </is>
      </c>
      <c r="G176" s="181" t="inlineStr">
        <is>
          <t>multi-target signaling modulation</t>
        </is>
      </c>
      <c r="H176" s="181" t="inlineStr">
        <is>
          <t>inferred_plus_trusted_gov</t>
        </is>
      </c>
      <c r="I176" s="181" t="inlineStr">
        <is>
          <t>Integrated from cleaned high-signal dataset</t>
        </is>
      </c>
    </row>
    <row r="177">
      <c r="A177" s="181" t="inlineStr">
        <is>
          <t>evodiamine</t>
        </is>
      </c>
      <c r="B177" s="181" t="inlineStr">
        <is>
          <t>evodiamine</t>
        </is>
      </c>
      <c r="C177" s="181" t="inlineStr">
        <is>
          <t>tetradium-ruticarpum</t>
        </is>
      </c>
      <c r="D177" s="181" t="inlineStr">
        <is>
          <t>tetradium ruticarpum</t>
        </is>
      </c>
      <c r="E177" s="181" t="n">
        <v>1</v>
      </c>
      <c r="F177" s="181" t="inlineStr">
        <is>
          <t>general or unknown targets</t>
        </is>
      </c>
      <c r="G177" s="181" t="inlineStr">
        <is>
          <t>multi-target signaling modulation</t>
        </is>
      </c>
      <c r="H177" s="181" t="inlineStr">
        <is>
          <t>inferred_plus_trusted_gov</t>
        </is>
      </c>
      <c r="I177" s="181" t="inlineStr">
        <is>
          <t>Integrated from cleaned high-signal dataset</t>
        </is>
      </c>
    </row>
    <row r="178">
      <c r="A178" s="181" t="inlineStr">
        <is>
          <t>fangchinoline</t>
        </is>
      </c>
      <c r="B178" s="181" t="inlineStr">
        <is>
          <t>fangchinoline</t>
        </is>
      </c>
      <c r="C178" s="181" t="inlineStr">
        <is>
          <t>stephania-tetrandra</t>
        </is>
      </c>
      <c r="D178" s="181" t="inlineStr">
        <is>
          <t>stephania tetrandra</t>
        </is>
      </c>
      <c r="E178" s="181" t="n">
        <v>1</v>
      </c>
      <c r="F178" s="181" t="inlineStr">
        <is>
          <t>general or unknown targets</t>
        </is>
      </c>
      <c r="G178" s="181" t="inlineStr">
        <is>
          <t>multi-target signaling modulation</t>
        </is>
      </c>
      <c r="H178" s="181" t="inlineStr">
        <is>
          <t>inferred_plus_trusted_gov</t>
        </is>
      </c>
      <c r="I178" s="181" t="inlineStr">
        <is>
          <t>Integrated from cleaned high-signal dataset</t>
        </is>
      </c>
    </row>
    <row r="179">
      <c r="A179" s="181" t="inlineStr">
        <is>
          <t>febrifugine</t>
        </is>
      </c>
      <c r="B179" s="181" t="inlineStr">
        <is>
          <t>febrifugine</t>
        </is>
      </c>
      <c r="C179" s="181" t="inlineStr">
        <is>
          <t>dichroa-febrifuga</t>
        </is>
      </c>
      <c r="D179" s="181" t="inlineStr">
        <is>
          <t>dichroa febrifuga</t>
        </is>
      </c>
      <c r="E179" s="181" t="n">
        <v>1</v>
      </c>
      <c r="F179" s="181" t="inlineStr">
        <is>
          <t>general or unknown targets</t>
        </is>
      </c>
      <c r="G179" s="181" t="inlineStr">
        <is>
          <t>multi-target signaling modulation</t>
        </is>
      </c>
      <c r="H179" s="181" t="inlineStr">
        <is>
          <t>inferred_plus_trusted_gov</t>
        </is>
      </c>
      <c r="I179" s="181" t="inlineStr">
        <is>
          <t>Integrated from cleaned high-signal dataset</t>
        </is>
      </c>
    </row>
    <row r="180">
      <c r="A180" s="181" t="inlineStr">
        <is>
          <t>fenchone</t>
        </is>
      </c>
      <c r="B180" s="181" t="inlineStr">
        <is>
          <t>fenchone</t>
        </is>
      </c>
      <c r="C180" s="181" t="inlineStr">
        <is>
          <t>foeniculum-vulgare</t>
        </is>
      </c>
      <c r="D180" s="181" t="inlineStr">
        <is>
          <t>foeniculum vulgare</t>
        </is>
      </c>
      <c r="E180" s="181" t="n">
        <v>1</v>
      </c>
      <c r="F180" s="181" t="inlineStr">
        <is>
          <t>general or unknown targets</t>
        </is>
      </c>
      <c r="G180" s="181" t="inlineStr">
        <is>
          <t>multi-target signaling modulation</t>
        </is>
      </c>
      <c r="H180" s="181" t="inlineStr">
        <is>
          <t>inferred_plus_trusted_gov</t>
        </is>
      </c>
      <c r="I180" s="181" t="inlineStr">
        <is>
          <t>Integrated from cleaned high-signal dataset</t>
        </is>
      </c>
    </row>
    <row r="181">
      <c r="A181" s="181" t="inlineStr">
        <is>
          <t>ferulenol</t>
        </is>
      </c>
      <c r="B181" s="181" t="inlineStr">
        <is>
          <t>ferulenol</t>
        </is>
      </c>
      <c r="C181" s="181" t="inlineStr">
        <is>
          <t>ferula-communis</t>
        </is>
      </c>
      <c r="D181" s="181" t="inlineStr">
        <is>
          <t>ferula communis</t>
        </is>
      </c>
      <c r="E181" s="181" t="n">
        <v>1</v>
      </c>
      <c r="F181" s="181" t="inlineStr">
        <is>
          <t>general or unknown targets</t>
        </is>
      </c>
      <c r="G181" s="181" t="inlineStr">
        <is>
          <t>multi-target signaling modulation</t>
        </is>
      </c>
      <c r="H181" s="181" t="inlineStr">
        <is>
          <t>inferred_plus_trusted_gov</t>
        </is>
      </c>
      <c r="I181" s="181" t="inlineStr">
        <is>
          <t>Integrated from cleaned high-signal dataset</t>
        </is>
      </c>
    </row>
    <row r="182">
      <c r="A182" s="181" t="inlineStr">
        <is>
          <t>ferulic acid</t>
        </is>
      </c>
      <c r="B182" s="181" t="inlineStr">
        <is>
          <t>ferulic acid</t>
        </is>
      </c>
      <c r="C182" s="181" t="inlineStr">
        <is>
          <t>angelica-sinensis; ferula-assa-foetida; ligusticum-chuanxiong</t>
        </is>
      </c>
      <c r="D182" s="181" t="inlineStr">
        <is>
          <t>angelica sinensis; ferula assa-foetida; ligusticum chuanxiong</t>
        </is>
      </c>
      <c r="E182" s="181" t="n">
        <v>3</v>
      </c>
      <c r="F182" s="181" t="inlineStr">
        <is>
          <t>general or unknown targets</t>
        </is>
      </c>
      <c r="G182" s="181" t="inlineStr">
        <is>
          <t>multi-target signaling modulation</t>
        </is>
      </c>
      <c r="H182" s="181" t="inlineStr">
        <is>
          <t>inferred_plus_trusted_gov</t>
        </is>
      </c>
      <c r="I182" s="181" t="inlineStr">
        <is>
          <t>Integrated from cleaned high-signal dataset</t>
        </is>
      </c>
    </row>
    <row r="183">
      <c r="A183" s="181" t="inlineStr">
        <is>
          <t>formononetin</t>
        </is>
      </c>
      <c r="B183" s="181" t="inlineStr">
        <is>
          <t>formononetin</t>
        </is>
      </c>
      <c r="C183" s="181" t="inlineStr">
        <is>
          <t>amorpha-fruticosa</t>
        </is>
      </c>
      <c r="D183" s="181" t="inlineStr">
        <is>
          <t>amorpha fruticosa</t>
        </is>
      </c>
      <c r="E183" s="181" t="n">
        <v>1</v>
      </c>
      <c r="F183" s="181" t="inlineStr">
        <is>
          <t>cholinergic_modulation</t>
        </is>
      </c>
      <c r="G183" s="181" t="inlineStr">
        <is>
          <t>muscarinic receptor interaction</t>
        </is>
      </c>
      <c r="H183" s="181" t="inlineStr">
        <is>
          <t>trusted_gov_added</t>
        </is>
      </c>
      <c r="I183" s="181" t="inlineStr">
        <is>
          <t>Integrated from cleaned high-signal dataset</t>
        </is>
      </c>
    </row>
    <row r="184">
      <c r="A184" s="181" t="inlineStr">
        <is>
          <t>fraxin</t>
        </is>
      </c>
      <c r="B184" s="181" t="inlineStr">
        <is>
          <t>fraxin</t>
        </is>
      </c>
      <c r="C184" s="181" t="inlineStr">
        <is>
          <t>aesculus-hippocastanum</t>
        </is>
      </c>
      <c r="D184" s="181" t="inlineStr">
        <is>
          <t>aesculus hippocastanum</t>
        </is>
      </c>
      <c r="E184" s="181" t="n">
        <v>1</v>
      </c>
      <c r="F184" s="181" t="inlineStr">
        <is>
          <t>general or unknown targets</t>
        </is>
      </c>
      <c r="G184" s="181" t="inlineStr">
        <is>
          <t>multi-target signaling modulation</t>
        </is>
      </c>
      <c r="H184" s="181" t="inlineStr">
        <is>
          <t>inferred_plus_trusted_gov</t>
        </is>
      </c>
      <c r="I184" s="181" t="inlineStr">
        <is>
          <t>Integrated from cleaned high-signal dataset</t>
        </is>
      </c>
    </row>
    <row r="185">
      <c r="A185" s="181" t="inlineStr">
        <is>
          <t>fucoidan</t>
        </is>
      </c>
      <c r="B185" s="181" t="inlineStr">
        <is>
          <t>fucoidan</t>
        </is>
      </c>
      <c r="C185" s="181" t="inlineStr">
        <is>
          <t>fucus-vesiculosus; laminaria-digitata</t>
        </is>
      </c>
      <c r="D185" s="181" t="inlineStr">
        <is>
          <t>fucus vesiculosus; laminaria digitata</t>
        </is>
      </c>
      <c r="E185" s="181" t="n">
        <v>2</v>
      </c>
      <c r="F185" s="181" t="inlineStr">
        <is>
          <t>general or unknown targets</t>
        </is>
      </c>
      <c r="G185" s="181" t="inlineStr">
        <is>
          <t>multi-target signaling modulation</t>
        </is>
      </c>
      <c r="H185" s="181" t="inlineStr">
        <is>
          <t>inferred_plus_trusted_gov</t>
        </is>
      </c>
      <c r="I185" s="181" t="inlineStr">
        <is>
          <t>Integrated from cleaned high-signal dataset</t>
        </is>
      </c>
    </row>
    <row r="186">
      <c r="A186" s="181" t="inlineStr">
        <is>
          <t>gallic acid</t>
        </is>
      </c>
      <c r="B186" s="181" t="inlineStr">
        <is>
          <t>gallic acid</t>
        </is>
      </c>
      <c r="C186" s="181" t="inlineStr">
        <is>
          <t>vachellia-nilotica</t>
        </is>
      </c>
      <c r="D186" s="181" t="inlineStr">
        <is>
          <t>acacia nilotica</t>
        </is>
      </c>
      <c r="E186" s="181" t="n">
        <v>1</v>
      </c>
      <c r="F186" s="181" t="inlineStr">
        <is>
          <t>general or unknown targets</t>
        </is>
      </c>
      <c r="G186" s="181" t="inlineStr">
        <is>
          <t>multi-target signaling modulation</t>
        </is>
      </c>
      <c r="H186" s="181" t="inlineStr">
        <is>
          <t>trusted_gov_added</t>
        </is>
      </c>
      <c r="I186" s="181" t="inlineStr">
        <is>
          <t>Integrated from cleaned high-signal dataset</t>
        </is>
      </c>
    </row>
    <row r="187">
      <c r="A187" s="181" t="inlineStr">
        <is>
          <t>gamma-aminobutyric acid</t>
        </is>
      </c>
      <c r="B187" s="181" t="inlineStr">
        <is>
          <t>gamma-aminobutyric acid (GABA)</t>
        </is>
      </c>
      <c r="C187" s="181" t="inlineStr">
        <is>
          <t>casimiroa-edulis</t>
        </is>
      </c>
      <c r="D187" s="181" t="inlineStr">
        <is>
          <t>casimiroa edulis</t>
        </is>
      </c>
      <c r="E187" s="181" t="n">
        <v>1</v>
      </c>
      <c r="F187" s="181" t="inlineStr">
        <is>
          <t>GABA-A receptor activation; GABA-B receptor activation; general or unknown targets</t>
        </is>
      </c>
      <c r="G187" s="181" t="inlineStr">
        <is>
          <t>multi-target signaling modulation</t>
        </is>
      </c>
      <c r="H187" s="181" t="inlineStr">
        <is>
          <t>trusted_gov_added</t>
        </is>
      </c>
      <c r="I187" s="181" t="inlineStr">
        <is>
          <t>Integrated from cleaned high-signal dataset; Integrated from compound monograph workbook</t>
        </is>
      </c>
    </row>
    <row r="188">
      <c r="A188" s="181" t="inlineStr">
        <is>
          <t>gamma-linolenic acid</t>
        </is>
      </c>
      <c r="B188" s="181" t="inlineStr">
        <is>
          <t>gamma-linolenic acid</t>
        </is>
      </c>
      <c r="C188" s="181" t="inlineStr">
        <is>
          <t>borago-officinalis; oenothera-biennis</t>
        </is>
      </c>
      <c r="D188" s="181" t="inlineStr">
        <is>
          <t>borago officinalis; oenothera biennis</t>
        </is>
      </c>
      <c r="E188" s="181" t="n">
        <v>2</v>
      </c>
      <c r="F188" s="181" t="inlineStr">
        <is>
          <t>PPARA, PPARG</t>
        </is>
      </c>
      <c r="G188" s="181" t="inlineStr">
        <is>
          <t>ppar activation</t>
        </is>
      </c>
      <c r="H188" s="181" t="inlineStr">
        <is>
          <t>inferred_plus_trusted_gov</t>
        </is>
      </c>
      <c r="I188" s="181" t="inlineStr">
        <is>
          <t>Integrated from cleaned high-signal dataset</t>
        </is>
      </c>
    </row>
    <row r="189">
      <c r="A189" s="181" t="inlineStr">
        <is>
          <t>gelsedine</t>
        </is>
      </c>
      <c r="B189" s="181" t="inlineStr">
        <is>
          <t>gelsedine</t>
        </is>
      </c>
      <c r="C189" s="181" t="inlineStr">
        <is>
          <t>carolina-jessamine</t>
        </is>
      </c>
      <c r="D189" s="181" t="inlineStr">
        <is>
          <t>carolina jessamine</t>
        </is>
      </c>
      <c r="E189" s="181" t="n">
        <v>1</v>
      </c>
      <c r="F189" s="181" t="inlineStr">
        <is>
          <t>general or unknown targets</t>
        </is>
      </c>
      <c r="G189" s="181" t="inlineStr">
        <is>
          <t>multi-target signaling modulation</t>
        </is>
      </c>
      <c r="H189" s="181" t="inlineStr">
        <is>
          <t>trusted_gov_added</t>
        </is>
      </c>
      <c r="I189" s="181" t="inlineStr">
        <is>
          <t>Integrated from cleaned high-signal dataset</t>
        </is>
      </c>
    </row>
    <row r="190">
      <c r="A190" s="181" t="inlineStr">
        <is>
          <t>gelsemicine</t>
        </is>
      </c>
      <c r="B190" s="181" t="inlineStr">
        <is>
          <t>gelsemicine</t>
        </is>
      </c>
      <c r="C190" s="181" t="inlineStr">
        <is>
          <t>carolina-jessamine</t>
        </is>
      </c>
      <c r="D190" s="181" t="inlineStr">
        <is>
          <t>carolina jessamine</t>
        </is>
      </c>
      <c r="E190" s="181" t="n">
        <v>1</v>
      </c>
      <c r="F190" s="181" t="inlineStr">
        <is>
          <t>general or unknown targets</t>
        </is>
      </c>
      <c r="G190" s="181" t="inlineStr">
        <is>
          <t>multi-target signaling modulation</t>
        </is>
      </c>
      <c r="H190" s="181" t="inlineStr">
        <is>
          <t>trusted_gov_added</t>
        </is>
      </c>
      <c r="I190" s="181" t="inlineStr">
        <is>
          <t>Integrated from cleaned high-signal dataset</t>
        </is>
      </c>
    </row>
    <row r="191">
      <c r="A191" s="181" t="inlineStr">
        <is>
          <t>gelsemine</t>
        </is>
      </c>
      <c r="B191" s="181" t="inlineStr">
        <is>
          <t>gelsemine</t>
        </is>
      </c>
      <c r="C191" s="181" t="inlineStr">
        <is>
          <t>carolina-jessamine</t>
        </is>
      </c>
      <c r="D191" s="181" t="inlineStr">
        <is>
          <t>carolina jessamine</t>
        </is>
      </c>
      <c r="E191" s="181" t="n">
        <v>1</v>
      </c>
      <c r="F191" s="181" t="inlineStr">
        <is>
          <t>general or unknown targets</t>
        </is>
      </c>
      <c r="G191" s="181" t="inlineStr">
        <is>
          <t>multi-target signaling modulation</t>
        </is>
      </c>
      <c r="H191" s="181" t="inlineStr">
        <is>
          <t>trusted_gov_added</t>
        </is>
      </c>
      <c r="I191" s="181" t="inlineStr">
        <is>
          <t>Integrated from cleaned high-signal dataset</t>
        </is>
      </c>
    </row>
    <row r="192">
      <c r="A192" s="181" t="inlineStr">
        <is>
          <t>gelseminine</t>
        </is>
      </c>
      <c r="B192" s="181" t="inlineStr">
        <is>
          <t>gelseminine</t>
        </is>
      </c>
      <c r="C192" s="181" t="inlineStr">
        <is>
          <t>carolina-jessamine</t>
        </is>
      </c>
      <c r="D192" s="181" t="inlineStr">
        <is>
          <t>carolina jessamine</t>
        </is>
      </c>
      <c r="E192" s="181" t="n">
        <v>1</v>
      </c>
      <c r="F192" s="181" t="inlineStr">
        <is>
          <t>general or unknown targets</t>
        </is>
      </c>
      <c r="G192" s="181" t="inlineStr">
        <is>
          <t>multi-target signaling modulation</t>
        </is>
      </c>
      <c r="H192" s="181" t="inlineStr">
        <is>
          <t>trusted_gov_added</t>
        </is>
      </c>
      <c r="I192" s="181" t="inlineStr">
        <is>
          <t>Integrated from cleaned high-signal dataset</t>
        </is>
      </c>
    </row>
    <row r="193">
      <c r="A193" s="181" t="inlineStr">
        <is>
          <t>gelseverine</t>
        </is>
      </c>
      <c r="B193" s="181" t="inlineStr">
        <is>
          <t>gelseverine</t>
        </is>
      </c>
      <c r="C193" s="181" t="inlineStr">
        <is>
          <t>carolina-jessamine</t>
        </is>
      </c>
      <c r="D193" s="181" t="inlineStr">
        <is>
          <t>carolina jessamine</t>
        </is>
      </c>
      <c r="E193" s="181" t="n">
        <v>1</v>
      </c>
      <c r="F193" s="181" t="inlineStr">
        <is>
          <t>general or unknown targets</t>
        </is>
      </c>
      <c r="G193" s="181" t="inlineStr">
        <is>
          <t>multi-target signaling modulation</t>
        </is>
      </c>
      <c r="H193" s="181" t="inlineStr">
        <is>
          <t>trusted_gov_added</t>
        </is>
      </c>
      <c r="I193" s="181" t="inlineStr">
        <is>
          <t>Integrated from cleaned high-signal dataset</t>
        </is>
      </c>
    </row>
    <row r="194">
      <c r="A194" s="181" t="inlineStr">
        <is>
          <t>geniposide</t>
        </is>
      </c>
      <c r="B194" s="181" t="inlineStr">
        <is>
          <t>geniposide</t>
        </is>
      </c>
      <c r="C194" s="181" t="inlineStr">
        <is>
          <t>gardenia-jasminoides</t>
        </is>
      </c>
      <c r="D194" s="181" t="inlineStr">
        <is>
          <t>gardenia jasminoides</t>
        </is>
      </c>
      <c r="E194" s="181" t="n">
        <v>1</v>
      </c>
      <c r="F194" s="181" t="inlineStr">
        <is>
          <t>general or unknown targets</t>
        </is>
      </c>
      <c r="G194" s="181" t="inlineStr">
        <is>
          <t>multi-target signaling modulation</t>
        </is>
      </c>
      <c r="H194" s="181" t="inlineStr">
        <is>
          <t>inferred_plus_trusted_gov</t>
        </is>
      </c>
      <c r="I194" s="181" t="inlineStr">
        <is>
          <t>Integrated from cleaned high-signal dataset</t>
        </is>
      </c>
    </row>
    <row r="195">
      <c r="A195" s="181" t="inlineStr">
        <is>
          <t>gentiopicroside</t>
        </is>
      </c>
      <c r="B195" s="181" t="inlineStr">
        <is>
          <t>gentiopicroside</t>
        </is>
      </c>
      <c r="C195" s="181" t="inlineStr">
        <is>
          <t>centaurium-erythraea; gentiana-lutea</t>
        </is>
      </c>
      <c r="D195" s="181" t="inlineStr">
        <is>
          <t>centaurium erythraea; gentiana lutea</t>
        </is>
      </c>
      <c r="E195" s="181" t="n">
        <v>2</v>
      </c>
      <c r="F195" s="181" t="inlineStr">
        <is>
          <t>general or unknown targets</t>
        </is>
      </c>
      <c r="G195" s="181" t="inlineStr">
        <is>
          <t>multi-target signaling modulation</t>
        </is>
      </c>
      <c r="H195" s="181" t="inlineStr">
        <is>
          <t>inferred_plus_trusted_gov</t>
        </is>
      </c>
      <c r="I195" s="181" t="inlineStr">
        <is>
          <t>Integrated from cleaned high-signal dataset</t>
        </is>
      </c>
    </row>
    <row r="196">
      <c r="A196" s="181" t="inlineStr">
        <is>
          <t>geranial</t>
        </is>
      </c>
      <c r="B196" s="181" t="inlineStr">
        <is>
          <t>geranial</t>
        </is>
      </c>
      <c r="C196" s="181" t="inlineStr">
        <is>
          <t>dracocephalum-moldavica</t>
        </is>
      </c>
      <c r="D196" s="181" t="inlineStr">
        <is>
          <t>dracocephalum moldavica</t>
        </is>
      </c>
      <c r="E196" s="181" t="n">
        <v>1</v>
      </c>
      <c r="F196" s="181" t="inlineStr">
        <is>
          <t>general or unknown targets</t>
        </is>
      </c>
      <c r="G196" s="181" t="inlineStr">
        <is>
          <t>multi-target signaling modulation</t>
        </is>
      </c>
      <c r="H196" s="181" t="inlineStr">
        <is>
          <t>inferred_plus_trusted_gov</t>
        </is>
      </c>
      <c r="I196" s="181" t="inlineStr">
        <is>
          <t>Integrated from cleaned high-signal dataset</t>
        </is>
      </c>
    </row>
    <row r="197">
      <c r="A197" s="181" t="inlineStr">
        <is>
          <t>geraniin</t>
        </is>
      </c>
      <c r="B197" s="181" t="inlineStr">
        <is>
          <t>geraniin</t>
        </is>
      </c>
      <c r="C197" s="181" t="inlineStr">
        <is>
          <t>geranium-robertianum</t>
        </is>
      </c>
      <c r="D197" s="181" t="inlineStr">
        <is>
          <t>geranium robertianum</t>
        </is>
      </c>
      <c r="E197" s="181" t="n">
        <v>1</v>
      </c>
      <c r="F197" s="181" t="inlineStr">
        <is>
          <t>general or unknown targets</t>
        </is>
      </c>
      <c r="G197" s="181" t="inlineStr">
        <is>
          <t>multi-target signaling modulation</t>
        </is>
      </c>
      <c r="H197" s="181" t="inlineStr">
        <is>
          <t>inferred_plus_trusted_gov</t>
        </is>
      </c>
      <c r="I197" s="181" t="inlineStr">
        <is>
          <t>Integrated from cleaned high-signal dataset</t>
        </is>
      </c>
    </row>
    <row r="198">
      <c r="A198" s="181" t="inlineStr">
        <is>
          <t>geraniol</t>
        </is>
      </c>
      <c r="B198" s="181" t="inlineStr">
        <is>
          <t>geraniol</t>
        </is>
      </c>
      <c r="C198" s="181" t="inlineStr">
        <is>
          <t>cymbopogon-citratus</t>
        </is>
      </c>
      <c r="D198" s="181" t="inlineStr">
        <is>
          <t>cymbopogon citratus</t>
        </is>
      </c>
      <c r="E198" s="181" t="n">
        <v>1</v>
      </c>
      <c r="F198" s="181" t="inlineStr">
        <is>
          <t>general or unknown targets</t>
        </is>
      </c>
      <c r="G198" s="181" t="inlineStr">
        <is>
          <t>multi-target signaling modulation</t>
        </is>
      </c>
      <c r="H198" s="181" t="inlineStr">
        <is>
          <t>inferred_plus_trusted_gov</t>
        </is>
      </c>
      <c r="I198" s="181" t="inlineStr">
        <is>
          <t>Integrated from cleaned high-signal dataset</t>
        </is>
      </c>
    </row>
    <row r="199">
      <c r="A199" s="181" t="inlineStr">
        <is>
          <t>ginsenosides including rb1</t>
        </is>
      </c>
      <c r="B199" s="181" t="inlineStr">
        <is>
          <t>ginsenosides (including rb1</t>
        </is>
      </c>
      <c r="C199" s="181" t="inlineStr">
        <is>
          <t>american-ginseng</t>
        </is>
      </c>
      <c r="D199" s="181" t="inlineStr">
        <is>
          <t>american ginseng</t>
        </is>
      </c>
      <c r="E199" s="181" t="n">
        <v>1</v>
      </c>
      <c r="F199" s="181" t="inlineStr">
        <is>
          <t>gabaergic_modulation; inflammatory_pathway_modulation</t>
        </is>
      </c>
      <c r="G199" s="181" t="inlineStr">
        <is>
          <t>GABAergic modulation</t>
        </is>
      </c>
      <c r="H199" s="181" t="inlineStr">
        <is>
          <t>trusted_gov_added</t>
        </is>
      </c>
      <c r="I199" s="181" t="inlineStr">
        <is>
          <t>Integrated from cleaned high-signal dataset</t>
        </is>
      </c>
    </row>
    <row r="200">
      <c r="A200" s="181" t="inlineStr">
        <is>
          <t>ginsenosides rb1</t>
        </is>
      </c>
      <c r="B200" s="181" t="inlineStr">
        <is>
          <t>ginsenosides (rb1</t>
        </is>
      </c>
      <c r="C200" s="181" t="inlineStr">
        <is>
          <t>panax-quinquefolius</t>
        </is>
      </c>
      <c r="D200" s="181" t="inlineStr">
        <is>
          <t>panax quinquefolius</t>
        </is>
      </c>
      <c r="E200" s="181" t="n">
        <v>1</v>
      </c>
      <c r="F200" s="181" t="inlineStr">
        <is>
          <t>general or unknown targets</t>
        </is>
      </c>
      <c r="G200" s="181" t="inlineStr">
        <is>
          <t>multi-target signaling modulation</t>
        </is>
      </c>
      <c r="H200" s="181" t="inlineStr">
        <is>
          <t>inferred_plus_trusted_gov</t>
        </is>
      </c>
      <c r="I200" s="181" t="inlineStr">
        <is>
          <t>Integrated from cleaned high-signal dataset</t>
        </is>
      </c>
    </row>
    <row r="201">
      <c r="A201" s="181" t="inlineStr">
        <is>
          <t>gitoxin</t>
        </is>
      </c>
      <c r="B201" s="181" t="inlineStr">
        <is>
          <t>gitoxin</t>
        </is>
      </c>
      <c r="C201" s="181" t="inlineStr">
        <is>
          <t>foxglove</t>
        </is>
      </c>
      <c r="D201" s="181" t="inlineStr">
        <is>
          <t>foxglove</t>
        </is>
      </c>
      <c r="E201" s="181" t="n">
        <v>1</v>
      </c>
      <c r="F201" s="181" t="inlineStr">
        <is>
          <t>general or unknown targets</t>
        </is>
      </c>
      <c r="G201" s="181" t="inlineStr">
        <is>
          <t>multi-target signaling modulation</t>
        </is>
      </c>
      <c r="H201" s="181" t="inlineStr">
        <is>
          <t>trusted_gov_added</t>
        </is>
      </c>
      <c r="I201" s="181" t="inlineStr">
        <is>
          <t>Integrated from cleaned high-signal dataset</t>
        </is>
      </c>
    </row>
    <row r="202">
      <c r="A202" s="181" t="inlineStr">
        <is>
          <t>glycyrrhizin</t>
        </is>
      </c>
      <c r="B202" s="181" t="inlineStr">
        <is>
          <t>glycyrrhizin</t>
        </is>
      </c>
      <c r="C202" s="181" t="inlineStr">
        <is>
          <t>glycyrrhiza-glabra</t>
        </is>
      </c>
      <c r="D202" s="181" t="inlineStr">
        <is>
          <t>glycyrrhiza glabra</t>
        </is>
      </c>
      <c r="E202" s="181" t="n">
        <v>1</v>
      </c>
      <c r="F202" s="181" t="inlineStr">
        <is>
          <t>general or unknown targets</t>
        </is>
      </c>
      <c r="G202" s="181" t="inlineStr">
        <is>
          <t>multi-target signaling modulation</t>
        </is>
      </c>
      <c r="H202" s="181" t="inlineStr">
        <is>
          <t>inferred_plus_trusted_gov</t>
        </is>
      </c>
      <c r="I202" s="181" t="inlineStr">
        <is>
          <t>Integrated from cleaned high-signal dataset</t>
        </is>
      </c>
    </row>
    <row r="203">
      <c r="A203" s="181" t="inlineStr">
        <is>
          <t>gomisin</t>
        </is>
      </c>
      <c r="B203" s="181" t="inlineStr">
        <is>
          <t>gomisin</t>
        </is>
      </c>
      <c r="C203" s="181" t="inlineStr">
        <is>
          <t>schisandra-chinensis</t>
        </is>
      </c>
      <c r="D203" s="181" t="inlineStr">
        <is>
          <t>schisandra chinensis</t>
        </is>
      </c>
      <c r="E203" s="181" t="n">
        <v>1</v>
      </c>
      <c r="F203" s="181" t="inlineStr">
        <is>
          <t>general or unknown targets</t>
        </is>
      </c>
      <c r="G203" s="181" t="inlineStr">
        <is>
          <t>multi-target signaling modulation</t>
        </is>
      </c>
      <c r="H203" s="181" t="inlineStr">
        <is>
          <t>inferred_plus_trusted_gov</t>
        </is>
      </c>
      <c r="I203" s="181" t="inlineStr">
        <is>
          <t>Integrated from cleaned high-signal dataset</t>
        </is>
      </c>
    </row>
    <row r="204">
      <c r="A204" s="181" t="inlineStr">
        <is>
          <t>gramine</t>
        </is>
      </c>
      <c r="B204" s="181" t="inlineStr">
        <is>
          <t>gramine</t>
        </is>
      </c>
      <c r="C204" s="181" t="inlineStr">
        <is>
          <t>phalaris-arundinacea</t>
        </is>
      </c>
      <c r="D204" s="181" t="inlineStr">
        <is>
          <t>phalaris arundinacea</t>
        </is>
      </c>
      <c r="E204" s="181" t="n">
        <v>1</v>
      </c>
      <c r="F204" s="181" t="inlineStr">
        <is>
          <t>general or unknown targets</t>
        </is>
      </c>
      <c r="G204" s="181" t="inlineStr">
        <is>
          <t>multi-target signaling modulation</t>
        </is>
      </c>
      <c r="H204" s="181" t="inlineStr">
        <is>
          <t>inferred_plus_trusted_gov</t>
        </is>
      </c>
      <c r="I204" s="181" t="inlineStr">
        <is>
          <t>Integrated from cleaned high-signal dataset</t>
        </is>
      </c>
    </row>
    <row r="205">
      <c r="A205" s="181" t="inlineStr">
        <is>
          <t>grindelic acid</t>
        </is>
      </c>
      <c r="B205" s="181" t="inlineStr">
        <is>
          <t>grindelic acid</t>
        </is>
      </c>
      <c r="C205" s="181" t="inlineStr">
        <is>
          <t>grindelia-robusta</t>
        </is>
      </c>
      <c r="D205" s="181" t="inlineStr">
        <is>
          <t>grindelia robusta</t>
        </is>
      </c>
      <c r="E205" s="181" t="n">
        <v>1</v>
      </c>
      <c r="F205" s="181" t="inlineStr">
        <is>
          <t>general or unknown targets</t>
        </is>
      </c>
      <c r="G205" s="181" t="inlineStr">
        <is>
          <t>multi-target signaling modulation</t>
        </is>
      </c>
      <c r="H205" s="181" t="inlineStr">
        <is>
          <t>inferred_plus_trusted_gov</t>
        </is>
      </c>
      <c r="I205" s="181" t="inlineStr">
        <is>
          <t>Integrated from cleaned high-signal dataset</t>
        </is>
      </c>
    </row>
    <row r="206">
      <c r="A206" s="181" t="inlineStr">
        <is>
          <t>gurmarin</t>
        </is>
      </c>
      <c r="B206" s="181" t="inlineStr">
        <is>
          <t>gurmarin</t>
        </is>
      </c>
      <c r="C206" s="181" t="inlineStr">
        <is>
          <t>gymnema-sylvestre</t>
        </is>
      </c>
      <c r="D206" s="181" t="inlineStr">
        <is>
          <t>gymnema sylvestre</t>
        </is>
      </c>
      <c r="E206" s="181" t="n">
        <v>1</v>
      </c>
      <c r="F206" s="181" t="inlineStr">
        <is>
          <t>general or unknown targets</t>
        </is>
      </c>
      <c r="G206" s="181" t="inlineStr">
        <is>
          <t>multi-target signaling modulation</t>
        </is>
      </c>
      <c r="H206" s="181" t="inlineStr">
        <is>
          <t>trusted_gov_added</t>
        </is>
      </c>
      <c r="I206" s="181" t="inlineStr">
        <is>
          <t>Integrated from cleaned high-signal dataset</t>
        </is>
      </c>
    </row>
    <row r="207">
      <c r="A207" s="181" t="inlineStr">
        <is>
          <t>guvacine</t>
        </is>
      </c>
      <c r="B207" s="181" t="inlineStr">
        <is>
          <t>guvacine</t>
        </is>
      </c>
      <c r="C207" s="181" t="inlineStr">
        <is>
          <t>areca-catechu</t>
        </is>
      </c>
      <c r="D207" s="181" t="inlineStr">
        <is>
          <t>areca catechu</t>
        </is>
      </c>
      <c r="E207" s="181" t="n">
        <v>1</v>
      </c>
      <c r="F207" s="181" t="inlineStr">
        <is>
          <t>general or unknown targets</t>
        </is>
      </c>
      <c r="G207" s="181" t="inlineStr">
        <is>
          <t>multi-target signaling modulation</t>
        </is>
      </c>
      <c r="H207" s="181" t="inlineStr">
        <is>
          <t>inferred_plus_trusted_gov</t>
        </is>
      </c>
      <c r="I207" s="181" t="inlineStr">
        <is>
          <t>Integrated from cleaned high-signal dataset</t>
        </is>
      </c>
    </row>
    <row r="208">
      <c r="A208" s="181" t="inlineStr">
        <is>
          <t>guvacoline</t>
        </is>
      </c>
      <c r="B208" s="181" t="inlineStr">
        <is>
          <t>guvacoline</t>
        </is>
      </c>
      <c r="C208" s="181" t="inlineStr">
        <is>
          <t>areca-catechu</t>
        </is>
      </c>
      <c r="D208" s="181" t="inlineStr">
        <is>
          <t>areca catechu</t>
        </is>
      </c>
      <c r="E208" s="181" t="n">
        <v>1</v>
      </c>
      <c r="F208" s="181" t="inlineStr">
        <is>
          <t>general or unknown targets</t>
        </is>
      </c>
      <c r="G208" s="181" t="inlineStr">
        <is>
          <t>multi-target signaling modulation</t>
        </is>
      </c>
      <c r="H208" s="181" t="inlineStr">
        <is>
          <t>inferred_plus_trusted_gov</t>
        </is>
      </c>
      <c r="I208" s="181" t="inlineStr">
        <is>
          <t>Integrated from cleaned high-signal dataset</t>
        </is>
      </c>
    </row>
    <row r="209">
      <c r="A209" s="181" t="inlineStr">
        <is>
          <t>gypenosides dammarane-type saponins</t>
        </is>
      </c>
      <c r="B209" s="181" t="inlineStr">
        <is>
          <t>gypenosides (dammarane-type saponins)</t>
        </is>
      </c>
      <c r="C209" s="181" t="inlineStr">
        <is>
          <t>gynostemma-pentaphyllum</t>
        </is>
      </c>
      <c r="D209" s="181" t="inlineStr">
        <is>
          <t>gynostemma pentaphyllum</t>
        </is>
      </c>
      <c r="E209" s="181" t="n">
        <v>1</v>
      </c>
      <c r="F209" s="181" t="inlineStr">
        <is>
          <t>general or unknown targets</t>
        </is>
      </c>
      <c r="G209" s="181" t="inlineStr">
        <is>
          <t>multi-target signaling modulation</t>
        </is>
      </c>
      <c r="H209" s="181" t="inlineStr">
        <is>
          <t>trusted_gov_added</t>
        </is>
      </c>
      <c r="I209" s="181" t="inlineStr">
        <is>
          <t>Integrated from cleaned high-signal dataset</t>
        </is>
      </c>
    </row>
    <row r="210">
      <c r="A210" s="181" t="inlineStr">
        <is>
          <t>harmaline</t>
        </is>
      </c>
      <c r="B210" s="181" t="inlineStr">
        <is>
          <t>harmaline</t>
        </is>
      </c>
      <c r="C210" s="181" t="inlineStr">
        <is>
          <t>banisteriopsis-caapi; peganum-harmala</t>
        </is>
      </c>
      <c r="D210" s="181" t="inlineStr">
        <is>
          <t>banisteriopsis caapi; peganum harmala</t>
        </is>
      </c>
      <c r="E210" s="181" t="n">
        <v>2</v>
      </c>
      <c r="F210" s="181" t="inlineStr">
        <is>
          <t>general or unknown targets; monoamine_oxidase_inhibition; serotonergic_5HT2A_agonism</t>
        </is>
      </c>
      <c r="G210" s="181" t="inlineStr">
        <is>
          <t>multi-target signaling modulation</t>
        </is>
      </c>
      <c r="H210" s="181" t="inlineStr">
        <is>
          <t>inferred_plus_trusted_gov; trusted_gov_added</t>
        </is>
      </c>
      <c r="I210" s="181" t="inlineStr">
        <is>
          <t>Integrated from cleaned high-signal dataset</t>
        </is>
      </c>
    </row>
    <row r="211">
      <c r="A211" s="181" t="inlineStr">
        <is>
          <t>harmalol</t>
        </is>
      </c>
      <c r="B211" s="181" t="inlineStr">
        <is>
          <t>harmalol</t>
        </is>
      </c>
      <c r="C211" s="181" t="inlineStr">
        <is>
          <t>peganum-harmala</t>
        </is>
      </c>
      <c r="D211" s="181" t="inlineStr">
        <is>
          <t>peganum harmala</t>
        </is>
      </c>
      <c r="E211" s="181" t="n">
        <v>1</v>
      </c>
      <c r="F211" s="181" t="inlineStr">
        <is>
          <t>general or unknown targets</t>
        </is>
      </c>
      <c r="G211" s="181" t="inlineStr">
        <is>
          <t>multi-target signaling modulation</t>
        </is>
      </c>
      <c r="H211" s="181" t="inlineStr">
        <is>
          <t>inferred_plus_trusted_gov</t>
        </is>
      </c>
      <c r="I211" s="181" t="inlineStr">
        <is>
          <t>Integrated from cleaned high-signal dataset</t>
        </is>
      </c>
    </row>
    <row r="212">
      <c r="A212" s="181" t="inlineStr">
        <is>
          <t>harmine</t>
        </is>
      </c>
      <c r="B212" s="181" t="inlineStr">
        <is>
          <t>harmine</t>
        </is>
      </c>
      <c r="C212" s="181" t="inlineStr">
        <is>
          <t>banisteriopsis-caapi; peganum-harmala</t>
        </is>
      </c>
      <c r="D212" s="181" t="inlineStr">
        <is>
          <t>banisteriopsis caapi; peganum harmala</t>
        </is>
      </c>
      <c r="E212" s="181" t="n">
        <v>2</v>
      </c>
      <c r="F212" s="181" t="inlineStr">
        <is>
          <t>general or unknown targets; monoamine_oxidase_inhibition; serotonergic_5HT2A_agonism</t>
        </is>
      </c>
      <c r="G212" s="181" t="inlineStr">
        <is>
          <t>multi-target signaling modulation</t>
        </is>
      </c>
      <c r="H212" s="181" t="inlineStr">
        <is>
          <t>inferred_plus_trusted_gov; trusted_gov_added</t>
        </is>
      </c>
      <c r="I212" s="181" t="inlineStr">
        <is>
          <t>Integrated from cleaned high-signal dataset</t>
        </is>
      </c>
    </row>
    <row r="213">
      <c r="A213" s="181" t="inlineStr">
        <is>
          <t>harpagoside</t>
        </is>
      </c>
      <c r="B213" s="181" t="inlineStr">
        <is>
          <t>harpagoside</t>
        </is>
      </c>
      <c r="C213" s="181" t="inlineStr">
        <is>
          <t>harpagophytum-procumbens</t>
        </is>
      </c>
      <c r="D213" s="181" t="inlineStr">
        <is>
          <t>harpagophytum procumbens</t>
        </is>
      </c>
      <c r="E213" s="181" t="n">
        <v>1</v>
      </c>
      <c r="F213" s="181" t="inlineStr">
        <is>
          <t>general or unknown targets</t>
        </is>
      </c>
      <c r="G213" s="181" t="inlineStr">
        <is>
          <t>multi-target signaling modulation</t>
        </is>
      </c>
      <c r="H213" s="181" t="inlineStr">
        <is>
          <t>inferred_plus_trusted_gov</t>
        </is>
      </c>
      <c r="I213" s="181" t="inlineStr">
        <is>
          <t>Integrated from cleaned high-signal dataset</t>
        </is>
      </c>
    </row>
    <row r="214">
      <c r="A214" s="181" t="inlineStr">
        <is>
          <t>helenalin</t>
        </is>
      </c>
      <c r="B214" s="181" t="inlineStr">
        <is>
          <t>helenalin</t>
        </is>
      </c>
      <c r="C214" s="181" t="inlineStr">
        <is>
          <t>arnica-montana</t>
        </is>
      </c>
      <c r="D214" s="181" t="inlineStr">
        <is>
          <t>arnica montana</t>
        </is>
      </c>
      <c r="E214" s="181" t="n">
        <v>1</v>
      </c>
      <c r="F214" s="181" t="inlineStr">
        <is>
          <t>general or unknown targets</t>
        </is>
      </c>
      <c r="G214" s="181" t="inlineStr">
        <is>
          <t>multi-target signaling modulation</t>
        </is>
      </c>
      <c r="H214" s="181" t="inlineStr">
        <is>
          <t>inferred_plus_trusted_gov</t>
        </is>
      </c>
      <c r="I214" s="181" t="inlineStr">
        <is>
          <t>Integrated from cleaned high-signal dataset</t>
        </is>
      </c>
    </row>
    <row r="215">
      <c r="A215" s="181" t="inlineStr">
        <is>
          <t>hibiscus acid</t>
        </is>
      </c>
      <c r="B215" s="181" t="inlineStr">
        <is>
          <t>hibiscus acid</t>
        </is>
      </c>
      <c r="C215" s="181" t="inlineStr">
        <is>
          <t>hibiscus-sabdariffa</t>
        </is>
      </c>
      <c r="D215" s="181" t="inlineStr">
        <is>
          <t>hibiscus sabdariffa</t>
        </is>
      </c>
      <c r="E215" s="181" t="n">
        <v>1</v>
      </c>
      <c r="F215" s="181" t="inlineStr">
        <is>
          <t>general or unknown targets</t>
        </is>
      </c>
      <c r="G215" s="181" t="inlineStr">
        <is>
          <t>multi-target signaling modulation</t>
        </is>
      </c>
      <c r="H215" s="181" t="inlineStr">
        <is>
          <t>trusted_gov_added</t>
        </is>
      </c>
      <c r="I215" s="181" t="inlineStr">
        <is>
          <t>Integrated from cleaned high-signal dataset</t>
        </is>
      </c>
    </row>
    <row r="216">
      <c r="A216" s="181" t="inlineStr">
        <is>
          <t>hinokiflavone</t>
        </is>
      </c>
      <c r="B216" s="181" t="inlineStr">
        <is>
          <t>hinokiflavone</t>
        </is>
      </c>
      <c r="C216" s="181" t="inlineStr">
        <is>
          <t>selaginella-tamariscina</t>
        </is>
      </c>
      <c r="D216" s="181" t="inlineStr">
        <is>
          <t>selaginella tamariscina</t>
        </is>
      </c>
      <c r="E216" s="181" t="n">
        <v>1</v>
      </c>
      <c r="F216" s="181" t="inlineStr">
        <is>
          <t>general or unknown targets</t>
        </is>
      </c>
      <c r="G216" s="181" t="inlineStr">
        <is>
          <t>multi-target signaling modulation</t>
        </is>
      </c>
      <c r="H216" s="181" t="inlineStr">
        <is>
          <t>inferred_plus_trusted_gov</t>
        </is>
      </c>
      <c r="I216" s="181" t="inlineStr">
        <is>
          <t>Integrated from cleaned high-signal dataset</t>
        </is>
      </c>
    </row>
    <row r="217">
      <c r="A217" s="181" t="inlineStr">
        <is>
          <t>histamine</t>
        </is>
      </c>
      <c r="B217" s="181" t="inlineStr">
        <is>
          <t>histamine</t>
        </is>
      </c>
      <c r="C217" s="181" t="inlineStr">
        <is>
          <t>urtica-dioica</t>
        </is>
      </c>
      <c r="D217" s="181" t="inlineStr">
        <is>
          <t>urtica dioica</t>
        </is>
      </c>
      <c r="E217" s="181" t="n">
        <v>1</v>
      </c>
      <c r="F217" s="181" t="inlineStr">
        <is>
          <t>general or unknown targets</t>
        </is>
      </c>
      <c r="G217" s="181" t="inlineStr">
        <is>
          <t>multi-target signaling modulation</t>
        </is>
      </c>
      <c r="H217" s="181" t="inlineStr">
        <is>
          <t>trusted_gov_added</t>
        </is>
      </c>
      <c r="I217" s="181" t="inlineStr">
        <is>
          <t>Integrated from cleaned high-signal dataset</t>
        </is>
      </c>
    </row>
    <row r="218">
      <c r="A218" s="181" t="inlineStr">
        <is>
          <t>humulone</t>
        </is>
      </c>
      <c r="B218" s="181" t="inlineStr">
        <is>
          <t>humulone</t>
        </is>
      </c>
      <c r="C218" s="181" t="inlineStr">
        <is>
          <t>humulus-lupulus</t>
        </is>
      </c>
      <c r="D218" s="181" t="inlineStr">
        <is>
          <t>humulus lupulus</t>
        </is>
      </c>
      <c r="E218" s="181" t="n">
        <v>1</v>
      </c>
      <c r="F218" s="181" t="inlineStr">
        <is>
          <t>general or unknown targets</t>
        </is>
      </c>
      <c r="G218" s="181" t="inlineStr">
        <is>
          <t>multi-target signaling modulation</t>
        </is>
      </c>
      <c r="H218" s="181" t="inlineStr">
        <is>
          <t>inferred_plus_trusted_gov</t>
        </is>
      </c>
      <c r="I218" s="181" t="inlineStr">
        <is>
          <t>Integrated from cleaned high-signal dataset</t>
        </is>
      </c>
    </row>
    <row r="219">
      <c r="A219" s="181" t="inlineStr">
        <is>
          <t>huperzine a</t>
        </is>
      </c>
      <c r="B219" s="181" t="inlineStr">
        <is>
          <t>huperzine A</t>
        </is>
      </c>
      <c r="C219" s="181" t="inlineStr">
        <is>
          <t>huperzia-serrata</t>
        </is>
      </c>
      <c r="D219" s="181" t="inlineStr">
        <is>
          <t>huperzia serrata</t>
        </is>
      </c>
      <c r="E219" s="181" t="n">
        <v>1</v>
      </c>
      <c r="F219" s="181" t="inlineStr">
        <is>
          <t>Acetylcholinesterase inhibition; cholinergic_modulation; synaptic acetylcholine increase</t>
        </is>
      </c>
      <c r="G219" s="181" t="inlineStr">
        <is>
          <t>muscarinic receptor interaction</t>
        </is>
      </c>
      <c r="H219" s="181" t="inlineStr">
        <is>
          <t>trusted_gov_added</t>
        </is>
      </c>
      <c r="I219" s="181" t="inlineStr">
        <is>
          <t>Integrated from cleaned high-signal dataset; Integrated from compound monograph workbook</t>
        </is>
      </c>
    </row>
    <row r="220">
      <c r="A220" s="181" t="inlineStr">
        <is>
          <t>hydrastine</t>
        </is>
      </c>
      <c r="B220" s="181" t="inlineStr">
        <is>
          <t>hydrastine</t>
        </is>
      </c>
      <c r="C220" s="181" t="inlineStr">
        <is>
          <t>hydrastis-canadensis</t>
        </is>
      </c>
      <c r="D220" s="181" t="inlineStr">
        <is>
          <t>hydrastis canadensis</t>
        </is>
      </c>
      <c r="E220" s="181" t="n">
        <v>1</v>
      </c>
      <c r="F220" s="181" t="inlineStr">
        <is>
          <t>general or unknown targets</t>
        </is>
      </c>
      <c r="G220" s="181" t="inlineStr">
        <is>
          <t>multi-target signaling modulation</t>
        </is>
      </c>
      <c r="H220" s="181" t="inlineStr">
        <is>
          <t>inferred_plus_trusted_gov</t>
        </is>
      </c>
      <c r="I220" s="181" t="inlineStr">
        <is>
          <t>Integrated from cleaned high-signal dataset</t>
        </is>
      </c>
    </row>
    <row r="221">
      <c r="A221" s="181" t="inlineStr">
        <is>
          <t>hydroxy-alpha-sanshool</t>
        </is>
      </c>
      <c r="B221" s="181" t="inlineStr">
        <is>
          <t>hydroxy-alpha-sanshool</t>
        </is>
      </c>
      <c r="C221" s="181" t="inlineStr">
        <is>
          <t>zanthoxylum-bungeanum</t>
        </is>
      </c>
      <c r="D221" s="181" t="inlineStr">
        <is>
          <t>sichuan pepper</t>
        </is>
      </c>
      <c r="E221" s="181" t="n">
        <v>1</v>
      </c>
      <c r="F221" s="181" t="inlineStr">
        <is>
          <t>general or unknown targets</t>
        </is>
      </c>
      <c r="G221" s="181" t="inlineStr">
        <is>
          <t>multi-target signaling modulation</t>
        </is>
      </c>
      <c r="H221" s="181" t="inlineStr">
        <is>
          <t>trusted_gov_added</t>
        </is>
      </c>
      <c r="I221" s="181" t="inlineStr">
        <is>
          <t>Integrated from cleaned high-signal dataset</t>
        </is>
      </c>
    </row>
    <row r="222">
      <c r="A222" s="181" t="inlineStr">
        <is>
          <t>hydroxy-beta-sanshool</t>
        </is>
      </c>
      <c r="B222" s="181" t="inlineStr">
        <is>
          <t>hydroxy-beta-sanshool</t>
        </is>
      </c>
      <c r="C222" s="181" t="inlineStr">
        <is>
          <t>zanthoxylum-bungeanum</t>
        </is>
      </c>
      <c r="D222" s="181" t="inlineStr">
        <is>
          <t>sichuan pepper</t>
        </is>
      </c>
      <c r="E222" s="181" t="n">
        <v>1</v>
      </c>
      <c r="F222" s="181" t="inlineStr">
        <is>
          <t>general or unknown targets</t>
        </is>
      </c>
      <c r="G222" s="181" t="inlineStr">
        <is>
          <t>multi-target signaling modulation</t>
        </is>
      </c>
      <c r="H222" s="181" t="inlineStr">
        <is>
          <t>trusted_gov_added</t>
        </is>
      </c>
      <c r="I222" s="181" t="inlineStr">
        <is>
          <t>Integrated from cleaned high-signal dataset</t>
        </is>
      </c>
    </row>
    <row r="223">
      <c r="A223" s="181" t="inlineStr">
        <is>
          <t>hydroxycitric acid</t>
        </is>
      </c>
      <c r="B223" s="181" t="inlineStr">
        <is>
          <t>hydroxycitric acid (hca)</t>
        </is>
      </c>
      <c r="C223" s="181" t="inlineStr">
        <is>
          <t>garcinia-cambogia</t>
        </is>
      </c>
      <c r="D223" s="181" t="inlineStr">
        <is>
          <t>garcinia cambogia</t>
        </is>
      </c>
      <c r="E223" s="181" t="n">
        <v>1</v>
      </c>
      <c r="F223" s="181" t="inlineStr">
        <is>
          <t>general or unknown targets</t>
        </is>
      </c>
      <c r="G223" s="181" t="inlineStr">
        <is>
          <t>multi-target signaling modulation</t>
        </is>
      </c>
      <c r="H223" s="181" t="inlineStr">
        <is>
          <t>inferred_plus_trusted_gov</t>
        </is>
      </c>
      <c r="I223" s="181" t="inlineStr">
        <is>
          <t>Integrated from cleaned high-signal dataset</t>
        </is>
      </c>
    </row>
    <row r="224">
      <c r="A224" s="181" t="inlineStr">
        <is>
          <t>hyoscyamine</t>
        </is>
      </c>
      <c r="B224" s="181" t="inlineStr">
        <is>
          <t>hyoscyamine</t>
        </is>
      </c>
      <c r="C224" s="181" t="inlineStr">
        <is>
          <t>atropa-belladonna; brugmansia; brugmansia-sanguinea; brugmansia-suaveolens; datura-ferox; datura-wrightii; duboisia-myoporoides; hyoscyamus-niger; mandragora-officinarum; scopolia-carniolica; solandra-maxima</t>
        </is>
      </c>
      <c r="D224" s="181" t="inlineStr">
        <is>
          <t>atropa belladonna; brugmansia; brugmansia sanguinea; brugmansia suaveolens; datura ferox; datura wrightii; duboisia myoporoides; european mandrake; hyoscyamus niger; mandrake; scopolia carniolica; solandra maxima</t>
        </is>
      </c>
      <c r="E224" s="181" t="n">
        <v>11</v>
      </c>
      <c r="F224" s="181" t="inlineStr">
        <is>
          <t>CHRM1, CHRM2 (muscarinic receptors); cholinergic_modulation</t>
        </is>
      </c>
      <c r="G224" s="181" t="inlineStr">
        <is>
          <t>muscarinic receptor interaction</t>
        </is>
      </c>
      <c r="H224" s="181" t="inlineStr">
        <is>
          <t>citation_or_url_present; inferred_plus_trusted_gov; trusted_gov_added</t>
        </is>
      </c>
      <c r="I224" s="181" t="inlineStr">
        <is>
          <t>Integrated from cleaned high-signal dataset</t>
        </is>
      </c>
    </row>
    <row r="225">
      <c r="A225" s="181" t="inlineStr">
        <is>
          <t>hypaconitine</t>
        </is>
      </c>
      <c r="B225" s="181" t="inlineStr">
        <is>
          <t>hypaconitine</t>
        </is>
      </c>
      <c r="C225" s="181" t="inlineStr">
        <is>
          <t>aconitum-ferox; aconitum-napellus</t>
        </is>
      </c>
      <c r="D225" s="181" t="inlineStr">
        <is>
          <t>aconitum ferox; aconitum napellus</t>
        </is>
      </c>
      <c r="E225" s="181" t="n">
        <v>2</v>
      </c>
      <c r="F225" s="181" t="inlineStr">
        <is>
          <t>general or unknown targets</t>
        </is>
      </c>
      <c r="G225" s="181" t="inlineStr">
        <is>
          <t>multi-target signaling modulation</t>
        </is>
      </c>
      <c r="H225" s="181" t="inlineStr">
        <is>
          <t>inferred_plus_trusted_gov</t>
        </is>
      </c>
      <c r="I225" s="181" t="inlineStr">
        <is>
          <t>Integrated from cleaned high-signal dataset</t>
        </is>
      </c>
    </row>
    <row r="226">
      <c r="A226" s="181" t="inlineStr">
        <is>
          <t>hyperforin</t>
        </is>
      </c>
      <c r="B226" s="181" t="inlineStr">
        <is>
          <t>hyperforin</t>
        </is>
      </c>
      <c r="C226" s="181" t="inlineStr">
        <is>
          <t>hypericum-perforatum</t>
        </is>
      </c>
      <c r="D226" s="181" t="inlineStr">
        <is>
          <t>hypericum perforatum</t>
        </is>
      </c>
      <c r="E226" s="181" t="n">
        <v>1</v>
      </c>
      <c r="F226" s="181" t="inlineStr">
        <is>
          <t>general or unknown targets</t>
        </is>
      </c>
      <c r="G226" s="181" t="inlineStr">
        <is>
          <t>multi-target signaling modulation</t>
        </is>
      </c>
      <c r="H226" s="181" t="inlineStr">
        <is>
          <t>trusted_gov_added</t>
        </is>
      </c>
      <c r="I226" s="181" t="inlineStr">
        <is>
          <t>Integrated from cleaned high-signal dataset</t>
        </is>
      </c>
    </row>
    <row r="227">
      <c r="A227" s="181" t="inlineStr">
        <is>
          <t>hypericin</t>
        </is>
      </c>
      <c r="B227" s="181" t="inlineStr">
        <is>
          <t>hypericin</t>
        </is>
      </c>
      <c r="C227" s="181" t="inlineStr">
        <is>
          <t>hypericum-perforatum</t>
        </is>
      </c>
      <c r="D227" s="181" t="inlineStr">
        <is>
          <t>hypericum perforatum</t>
        </is>
      </c>
      <c r="E227" s="181" t="n">
        <v>1</v>
      </c>
      <c r="F227" s="181" t="inlineStr">
        <is>
          <t>general or unknown targets</t>
        </is>
      </c>
      <c r="G227" s="181" t="inlineStr">
        <is>
          <t>multi-target signaling modulation</t>
        </is>
      </c>
      <c r="H227" s="181" t="inlineStr">
        <is>
          <t>trusted_gov_added</t>
        </is>
      </c>
      <c r="I227" s="181" t="inlineStr">
        <is>
          <t>Integrated from cleaned high-signal dataset</t>
        </is>
      </c>
    </row>
    <row r="228">
      <c r="A228" s="181" t="inlineStr">
        <is>
          <t>ibogaine</t>
        </is>
      </c>
      <c r="B228" s="181" t="inlineStr">
        <is>
          <t>ibogaine</t>
        </is>
      </c>
      <c r="C228" s="181" t="inlineStr">
        <is>
          <t>iboga; tabernanthe-iboga</t>
        </is>
      </c>
      <c r="D228" s="181" t="inlineStr">
        <is>
          <t>iboga; tabernanthe iboga</t>
        </is>
      </c>
      <c r="E228" s="181" t="n">
        <v>2</v>
      </c>
      <c r="F228" s="181" t="inlineStr">
        <is>
          <t>general or unknown targets</t>
        </is>
      </c>
      <c r="G228" s="181" t="inlineStr">
        <is>
          <t>multi-target signaling modulation</t>
        </is>
      </c>
      <c r="H228" s="181" t="inlineStr">
        <is>
          <t>inferred_plus_trusted_gov; trusted_gov_added</t>
        </is>
      </c>
      <c r="I228" s="181" t="inlineStr">
        <is>
          <t>Integrated from cleaned high-signal dataset</t>
        </is>
      </c>
    </row>
    <row r="229">
      <c r="A229" s="181" t="inlineStr">
        <is>
          <t>ibotenic acid</t>
        </is>
      </c>
      <c r="B229" s="181" t="inlineStr">
        <is>
          <t>ibotenic acid</t>
        </is>
      </c>
      <c r="C229" s="181" t="inlineStr">
        <is>
          <t>amanita-muscaria; amanita-pantherina</t>
        </is>
      </c>
      <c r="D229" s="181" t="inlineStr">
        <is>
          <t>amanita muscaria; amanita pantherina; fly agaric</t>
        </is>
      </c>
      <c r="E229" s="181" t="n">
        <v>2</v>
      </c>
      <c r="F229" s="181" t="inlineStr">
        <is>
          <t>gabaergic_modulation; general or unknown targets</t>
        </is>
      </c>
      <c r="G229" s="181" t="inlineStr">
        <is>
          <t>GABAergic modulation; multi-target signaling modulation</t>
        </is>
      </c>
      <c r="H229" s="181" t="inlineStr">
        <is>
          <t>inferred_plus_trusted_gov; trusted_gov_added</t>
        </is>
      </c>
      <c r="I229" s="181" t="inlineStr">
        <is>
          <t>Integrated from cleaned high-signal dataset</t>
        </is>
      </c>
    </row>
    <row r="230">
      <c r="A230" s="181" t="inlineStr">
        <is>
          <t>imperatorin</t>
        </is>
      </c>
      <c r="B230" s="181" t="inlineStr">
        <is>
          <t>imperatorin</t>
        </is>
      </c>
      <c r="C230" s="181" t="inlineStr">
        <is>
          <t>casimiroa-edulis</t>
        </is>
      </c>
      <c r="D230" s="181" t="inlineStr">
        <is>
          <t>casimiroa edulis</t>
        </is>
      </c>
      <c r="E230" s="181" t="n">
        <v>1</v>
      </c>
      <c r="F230" s="181" t="inlineStr">
        <is>
          <t>general or unknown targets</t>
        </is>
      </c>
      <c r="G230" s="181" t="inlineStr">
        <is>
          <t>multi-target signaling modulation</t>
        </is>
      </c>
      <c r="H230" s="181" t="inlineStr">
        <is>
          <t>trusted_gov_added</t>
        </is>
      </c>
      <c r="I230" s="181" t="inlineStr">
        <is>
          <t>Integrated from cleaned high-signal dataset</t>
        </is>
      </c>
    </row>
    <row r="231">
      <c r="A231" s="181" t="inlineStr">
        <is>
          <t>inotodiol</t>
        </is>
      </c>
      <c r="B231" s="181" t="inlineStr">
        <is>
          <t>inotodiol</t>
        </is>
      </c>
      <c r="C231" s="181" t="inlineStr">
        <is>
          <t>inonotus-obliquus</t>
        </is>
      </c>
      <c r="D231" s="181" t="inlineStr">
        <is>
          <t>chaga (inonotus obliquus)</t>
        </is>
      </c>
      <c r="E231" s="181" t="n">
        <v>1</v>
      </c>
      <c r="F231" s="181" t="inlineStr">
        <is>
          <t>general or unknown targets</t>
        </is>
      </c>
      <c r="G231" s="181" t="inlineStr">
        <is>
          <t>multi-target signaling modulation</t>
        </is>
      </c>
      <c r="H231" s="181" t="inlineStr">
        <is>
          <t>inferred_plus_trusted_gov</t>
        </is>
      </c>
      <c r="I231" s="181" t="inlineStr">
        <is>
          <t>Integrated from cleaned high-signal dataset</t>
        </is>
      </c>
    </row>
    <row r="232">
      <c r="A232" s="181" t="inlineStr">
        <is>
          <t>inulin</t>
        </is>
      </c>
      <c r="B232" s="181" t="inlineStr">
        <is>
          <t>inulin</t>
        </is>
      </c>
      <c r="C232" s="181" t="inlineStr">
        <is>
          <t>arctium-lappa; inula-helenium; taraxacum-officinale</t>
        </is>
      </c>
      <c r="D232" s="181" t="inlineStr">
        <is>
          <t>arctium lappa; inula helenium; taraxacum officinale</t>
        </is>
      </c>
      <c r="E232" s="181" t="n">
        <v>3</v>
      </c>
      <c r="F232" s="181" t="inlineStr">
        <is>
          <t>general or unknown targets</t>
        </is>
      </c>
      <c r="G232" s="181" t="inlineStr">
        <is>
          <t>multi-target signaling modulation</t>
        </is>
      </c>
      <c r="H232" s="181" t="inlineStr">
        <is>
          <t>inferred_plus_trusted_gov</t>
        </is>
      </c>
      <c r="I232" s="181" t="inlineStr">
        <is>
          <t>Integrated from cleaned high-signal dataset</t>
        </is>
      </c>
    </row>
    <row r="233">
      <c r="A233" s="181" t="inlineStr">
        <is>
          <t>iodine</t>
        </is>
      </c>
      <c r="B233" s="181" t="inlineStr">
        <is>
          <t>iodine</t>
        </is>
      </c>
      <c r="C233" s="181" t="inlineStr">
        <is>
          <t>fucus-vesiculosus; laminaria-digitata</t>
        </is>
      </c>
      <c r="D233" s="181" t="inlineStr">
        <is>
          <t>fucus vesiculosus; laminaria digitata</t>
        </is>
      </c>
      <c r="E233" s="181" t="n">
        <v>2</v>
      </c>
      <c r="F233" s="181" t="inlineStr">
        <is>
          <t>general or unknown targets</t>
        </is>
      </c>
      <c r="G233" s="181" t="inlineStr">
        <is>
          <t>multi-target signaling modulation</t>
        </is>
      </c>
      <c r="H233" s="181" t="inlineStr">
        <is>
          <t>inferred_plus_trusted_gov</t>
        </is>
      </c>
      <c r="I233" s="181" t="inlineStr">
        <is>
          <t>Integrated from cleaned high-signal dataset</t>
        </is>
      </c>
    </row>
    <row r="234">
      <c r="A234" s="181" t="inlineStr">
        <is>
          <t>iridin</t>
        </is>
      </c>
      <c r="B234" s="181" t="inlineStr">
        <is>
          <t>iridin</t>
        </is>
      </c>
      <c r="C234" s="181" t="inlineStr">
        <is>
          <t>iris-germanica</t>
        </is>
      </c>
      <c r="D234" s="181" t="inlineStr">
        <is>
          <t>iris germanica</t>
        </is>
      </c>
      <c r="E234" s="181" t="n">
        <v>1</v>
      </c>
      <c r="F234" s="181" t="inlineStr">
        <is>
          <t>general or unknown targets</t>
        </is>
      </c>
      <c r="G234" s="181" t="inlineStr">
        <is>
          <t>multi-target signaling modulation</t>
        </is>
      </c>
      <c r="H234" s="181" t="inlineStr">
        <is>
          <t>inferred_plus_trusted_gov</t>
        </is>
      </c>
      <c r="I234" s="181" t="inlineStr">
        <is>
          <t>Integrated from cleaned high-signal dataset</t>
        </is>
      </c>
    </row>
    <row r="235">
      <c r="A235" s="181" t="inlineStr">
        <is>
          <t>isocorypalmine</t>
        </is>
      </c>
      <c r="B235" s="181" t="inlineStr">
        <is>
          <t>isocorypalmine</t>
        </is>
      </c>
      <c r="C235" s="181" t="inlineStr">
        <is>
          <t>corydalis-yanhusuo</t>
        </is>
      </c>
      <c r="D235" s="181" t="inlineStr">
        <is>
          <t>corydalis yanhusuo</t>
        </is>
      </c>
      <c r="E235" s="181" t="n">
        <v>1</v>
      </c>
      <c r="F235" s="181" t="inlineStr">
        <is>
          <t>dopaminergic_modulation</t>
        </is>
      </c>
      <c r="G235" s="181" t="inlineStr">
        <is>
          <t>multi-target signaling modulation</t>
        </is>
      </c>
      <c r="H235" s="181" t="inlineStr">
        <is>
          <t>trusted_gov_added</t>
        </is>
      </c>
      <c r="I235" s="181" t="inlineStr">
        <is>
          <t>Integrated from cleaned high-signal dataset</t>
        </is>
      </c>
    </row>
    <row r="236">
      <c r="A236" s="181" t="inlineStr">
        <is>
          <t>isoergine</t>
        </is>
      </c>
      <c r="B236" s="181" t="inlineStr">
        <is>
          <t>isoergine</t>
        </is>
      </c>
      <c r="C236" s="181" t="inlineStr">
        <is>
          <t>ipomoea-tricolor; turbina-corymbosa</t>
        </is>
      </c>
      <c r="D236" s="181" t="inlineStr">
        <is>
          <t>ipomoea tricolor; turbina corymbosa</t>
        </is>
      </c>
      <c r="E236" s="181" t="n">
        <v>2</v>
      </c>
      <c r="F236" s="181" t="inlineStr">
        <is>
          <t>general or unknown targets</t>
        </is>
      </c>
      <c r="G236" s="181" t="inlineStr">
        <is>
          <t>multi-target signaling modulation</t>
        </is>
      </c>
      <c r="H236" s="181" t="inlineStr">
        <is>
          <t>inferred_plus_trusted_gov</t>
        </is>
      </c>
      <c r="I236" s="181" t="inlineStr">
        <is>
          <t>Integrated from cleaned high-signal dataset</t>
        </is>
      </c>
    </row>
    <row r="237">
      <c r="A237" s="181" t="inlineStr">
        <is>
          <t>isofebrifugine</t>
        </is>
      </c>
      <c r="B237" s="181" t="inlineStr">
        <is>
          <t>isofebrifugine</t>
        </is>
      </c>
      <c r="C237" s="181" t="inlineStr">
        <is>
          <t>dichroa-febrifuga</t>
        </is>
      </c>
      <c r="D237" s="181" t="inlineStr">
        <is>
          <t>dichroa febrifuga</t>
        </is>
      </c>
      <c r="E237" s="181" t="n">
        <v>1</v>
      </c>
      <c r="F237" s="181" t="inlineStr">
        <is>
          <t>general or unknown targets</t>
        </is>
      </c>
      <c r="G237" s="181" t="inlineStr">
        <is>
          <t>multi-target signaling modulation</t>
        </is>
      </c>
      <c r="H237" s="181" t="inlineStr">
        <is>
          <t>inferred_plus_trusted_gov</t>
        </is>
      </c>
      <c r="I237" s="181" t="inlineStr">
        <is>
          <t>Integrated from cleaned high-signal dataset</t>
        </is>
      </c>
    </row>
    <row r="238">
      <c r="A238" s="181" t="inlineStr">
        <is>
          <t>isoflavones genistein</t>
        </is>
      </c>
      <c r="B238" s="181" t="inlineStr">
        <is>
          <t>isoflavones (genistein</t>
        </is>
      </c>
      <c r="C238" s="181" t="inlineStr">
        <is>
          <t>trifolium-pratense</t>
        </is>
      </c>
      <c r="D238" s="181" t="inlineStr">
        <is>
          <t>trifolium pratense</t>
        </is>
      </c>
      <c r="E238" s="181" t="n">
        <v>1</v>
      </c>
      <c r="F238" s="181" t="inlineStr">
        <is>
          <t>general or unknown targets</t>
        </is>
      </c>
      <c r="G238" s="181" t="inlineStr">
        <is>
          <t>multi-target signaling modulation</t>
        </is>
      </c>
      <c r="H238" s="181" t="inlineStr">
        <is>
          <t>inferred_plus_trusted_gov</t>
        </is>
      </c>
      <c r="I238" s="181" t="inlineStr">
        <is>
          <t>Integrated from cleaned high-signal dataset</t>
        </is>
      </c>
    </row>
    <row r="239">
      <c r="A239" s="181" t="inlineStr">
        <is>
          <t>isomitraphylline</t>
        </is>
      </c>
      <c r="B239" s="181" t="inlineStr">
        <is>
          <t>isomitraphylline</t>
        </is>
      </c>
      <c r="C239" s="181" t="inlineStr">
        <is>
          <t>mitragyna-parvifolia</t>
        </is>
      </c>
      <c r="D239" s="181" t="inlineStr">
        <is>
          <t>mitragyna parvifolia</t>
        </is>
      </c>
      <c r="E239" s="181" t="n">
        <v>1</v>
      </c>
      <c r="F239" s="181" t="inlineStr">
        <is>
          <t>general or unknown targets</t>
        </is>
      </c>
      <c r="G239" s="181" t="inlineStr">
        <is>
          <t>multi-target signaling modulation</t>
        </is>
      </c>
      <c r="H239" s="181" t="inlineStr">
        <is>
          <t>inferred_plus_trusted_gov</t>
        </is>
      </c>
      <c r="I239" s="181" t="inlineStr">
        <is>
          <t>Integrated from cleaned high-signal dataset</t>
        </is>
      </c>
    </row>
    <row r="240">
      <c r="A240" s="181" t="inlineStr">
        <is>
          <t>isovaleric acid</t>
        </is>
      </c>
      <c r="B240" s="181" t="inlineStr">
        <is>
          <t>isovaleric acid</t>
        </is>
      </c>
      <c r="C240" s="181" t="inlineStr">
        <is>
          <t>valeriana-officinalis</t>
        </is>
      </c>
      <c r="D240" s="181" t="inlineStr">
        <is>
          <t>valeriana officinalis</t>
        </is>
      </c>
      <c r="E240" s="181" t="n">
        <v>1</v>
      </c>
      <c r="F240" s="181" t="inlineStr">
        <is>
          <t>general or unknown targets</t>
        </is>
      </c>
      <c r="G240" s="181" t="inlineStr">
        <is>
          <t>multi-target signaling modulation</t>
        </is>
      </c>
      <c r="H240" s="181" t="inlineStr">
        <is>
          <t>inferred_plus_trusted_gov</t>
        </is>
      </c>
      <c r="I240" s="181" t="inlineStr">
        <is>
          <t>Integrated from cleaned high-signal dataset</t>
        </is>
      </c>
    </row>
    <row r="241">
      <c r="A241" s="181" t="inlineStr">
        <is>
          <t>jatamansone</t>
        </is>
      </c>
      <c r="B241" s="181" t="inlineStr">
        <is>
          <t>jatamansone</t>
        </is>
      </c>
      <c r="C241" s="181" t="inlineStr">
        <is>
          <t>nardostachys-jatamansi</t>
        </is>
      </c>
      <c r="D241" s="181" t="inlineStr">
        <is>
          <t>nardostachys jatamansi</t>
        </is>
      </c>
      <c r="E241" s="181" t="n">
        <v>1</v>
      </c>
      <c r="F241" s="181" t="inlineStr">
        <is>
          <t>general or unknown targets</t>
        </is>
      </c>
      <c r="G241" s="181" t="inlineStr">
        <is>
          <t>multi-target signaling modulation</t>
        </is>
      </c>
      <c r="H241" s="181" t="inlineStr">
        <is>
          <t>inferred_plus_trusted_gov</t>
        </is>
      </c>
      <c r="I241" s="181" t="inlineStr">
        <is>
          <t>Integrated from cleaned high-signal dataset</t>
        </is>
      </c>
    </row>
    <row r="242">
      <c r="A242" s="181" t="inlineStr">
        <is>
          <t>jatrorrhizine</t>
        </is>
      </c>
      <c r="B242" s="181" t="inlineStr">
        <is>
          <t>jatrorrhizine</t>
        </is>
      </c>
      <c r="C242" s="181" t="inlineStr">
        <is>
          <t>argemone-mexicana; phellodendron-amurense</t>
        </is>
      </c>
      <c r="D242" s="181" t="inlineStr">
        <is>
          <t>argemone mexicana; phellodendron amurense</t>
        </is>
      </c>
      <c r="E242" s="181" t="n">
        <v>2</v>
      </c>
      <c r="F242" s="181" t="inlineStr">
        <is>
          <t>general or unknown targets</t>
        </is>
      </c>
      <c r="G242" s="181" t="inlineStr">
        <is>
          <t>multi-target signaling modulation</t>
        </is>
      </c>
      <c r="H242" s="181" t="inlineStr">
        <is>
          <t>inferred_plus_trusted_gov; trusted_gov_added</t>
        </is>
      </c>
      <c r="I242" s="181" t="inlineStr">
        <is>
          <t>Integrated from cleaned high-signal dataset</t>
        </is>
      </c>
    </row>
    <row r="243">
      <c r="A243" s="181" t="inlineStr">
        <is>
          <t>juglone</t>
        </is>
      </c>
      <c r="B243" s="181" t="inlineStr">
        <is>
          <t>juglone</t>
        </is>
      </c>
      <c r="C243" s="181" t="inlineStr">
        <is>
          <t>juglans-nigra</t>
        </is>
      </c>
      <c r="D243" s="181" t="inlineStr">
        <is>
          <t>juglans nigra</t>
        </is>
      </c>
      <c r="E243" s="181" t="n">
        <v>1</v>
      </c>
      <c r="F243" s="181" t="inlineStr">
        <is>
          <t>general or unknown targets</t>
        </is>
      </c>
      <c r="G243" s="181" t="inlineStr">
        <is>
          <t>multi-target signaling modulation</t>
        </is>
      </c>
      <c r="H243" s="181" t="inlineStr">
        <is>
          <t>inferred_plus_trusted_gov</t>
        </is>
      </c>
      <c r="I243" s="181" t="inlineStr">
        <is>
          <t>Integrated from cleaned high-signal dataset</t>
        </is>
      </c>
    </row>
    <row r="244">
      <c r="A244" s="181" t="inlineStr">
        <is>
          <t>kaempferol</t>
        </is>
      </c>
      <c r="B244" s="181" t="inlineStr">
        <is>
          <t>kaempferol</t>
        </is>
      </c>
      <c r="C244" s="181" t="inlineStr">
        <is>
          <t>kaempferia-galanga</t>
        </is>
      </c>
      <c r="D244" s="181" t="inlineStr">
        <is>
          <t>kaempferia galanga</t>
        </is>
      </c>
      <c r="E244" s="181" t="n">
        <v>1</v>
      </c>
      <c r="F244" s="181" t="inlineStr">
        <is>
          <t>general or unknown targets</t>
        </is>
      </c>
      <c r="G244" s="181" t="inlineStr">
        <is>
          <t>multi-target signaling modulation</t>
        </is>
      </c>
      <c r="H244" s="181" t="inlineStr">
        <is>
          <t>inferred_plus_trusted_gov</t>
        </is>
      </c>
      <c r="I244" s="181" t="inlineStr">
        <is>
          <t>Integrated from cleaned high-signal dataset</t>
        </is>
      </c>
    </row>
    <row r="245">
      <c r="A245" s="181" t="inlineStr">
        <is>
          <t>kahweol</t>
        </is>
      </c>
      <c r="B245" s="181" t="inlineStr">
        <is>
          <t>kahweol</t>
        </is>
      </c>
      <c r="C245" s="181" t="inlineStr">
        <is>
          <t>coffee</t>
        </is>
      </c>
      <c r="D245" s="181" t="inlineStr">
        <is>
          <t>coffee</t>
        </is>
      </c>
      <c r="E245" s="181" t="n">
        <v>1</v>
      </c>
      <c r="F245" s="181" t="inlineStr">
        <is>
          <t>adenosine_antagonism</t>
        </is>
      </c>
      <c r="G245" s="181" t="inlineStr">
        <is>
          <t>adenosine receptor antagonism</t>
        </is>
      </c>
      <c r="H245" s="181" t="inlineStr">
        <is>
          <t>trusted_gov_added</t>
        </is>
      </c>
      <c r="I245" s="181" t="inlineStr">
        <is>
          <t>Integrated from cleaned high-signal dataset</t>
        </is>
      </c>
    </row>
    <row r="246">
      <c r="A246" s="181" t="inlineStr">
        <is>
          <t>kavain</t>
        </is>
      </c>
      <c r="B246" s="181" t="inlineStr">
        <is>
          <t>kavain</t>
        </is>
      </c>
      <c r="C246" s="181" t="inlineStr">
        <is>
          <t>kava; piper-methysticum</t>
        </is>
      </c>
      <c r="D246" s="181" t="inlineStr">
        <is>
          <t>kava; piper methysticum</t>
        </is>
      </c>
      <c r="E246" s="181" t="n">
        <v>2</v>
      </c>
      <c r="F246" s="181" t="inlineStr">
        <is>
          <t>dopaminergic_modulation; gabaergic_modulation</t>
        </is>
      </c>
      <c r="G246" s="181" t="inlineStr">
        <is>
          <t>GABAergic modulation; multi-target signaling modulation</t>
        </is>
      </c>
      <c r="H246" s="181" t="inlineStr">
        <is>
          <t>trusted_gov_added</t>
        </is>
      </c>
      <c r="I246" s="181" t="inlineStr">
        <is>
          <t>Integrated from cleaned high-signal dataset</t>
        </is>
      </c>
    </row>
    <row r="247">
      <c r="A247" s="181" t="inlineStr">
        <is>
          <t>kotalanol</t>
        </is>
      </c>
      <c r="B247" s="181" t="inlineStr">
        <is>
          <t>kotalanol</t>
        </is>
      </c>
      <c r="C247" s="181" t="inlineStr">
        <is>
          <t>salacia-reticulata</t>
        </is>
      </c>
      <c r="D247" s="181" t="inlineStr">
        <is>
          <t>salacia reticulata</t>
        </is>
      </c>
      <c r="E247" s="181" t="n">
        <v>1</v>
      </c>
      <c r="F247" s="181" t="inlineStr">
        <is>
          <t>general or unknown targets</t>
        </is>
      </c>
      <c r="G247" s="181" t="inlineStr">
        <is>
          <t>multi-target signaling modulation</t>
        </is>
      </c>
      <c r="H247" s="181" t="inlineStr">
        <is>
          <t>inferred_plus_trusted_gov</t>
        </is>
      </c>
      <c r="I247" s="181" t="inlineStr">
        <is>
          <t>Integrated from cleaned high-signal dataset</t>
        </is>
      </c>
    </row>
    <row r="248">
      <c r="A248" s="181" t="inlineStr">
        <is>
          <t>kurarinone</t>
        </is>
      </c>
      <c r="B248" s="181" t="inlineStr">
        <is>
          <t>kurarinone</t>
        </is>
      </c>
      <c r="C248" s="181" t="inlineStr">
        <is>
          <t>sophora-flavescens</t>
        </is>
      </c>
      <c r="D248" s="181" t="inlineStr">
        <is>
          <t>sophora flavescens</t>
        </is>
      </c>
      <c r="E248" s="181" t="n">
        <v>1</v>
      </c>
      <c r="F248" s="181" t="inlineStr">
        <is>
          <t>general or unknown targets</t>
        </is>
      </c>
      <c r="G248" s="181" t="inlineStr">
        <is>
          <t>multi-target signaling modulation</t>
        </is>
      </c>
      <c r="H248" s="181" t="inlineStr">
        <is>
          <t>inferred_plus_trusted_gov</t>
        </is>
      </c>
      <c r="I248" s="181" t="inlineStr">
        <is>
          <t>Integrated from cleaned high-signal dataset</t>
        </is>
      </c>
    </row>
    <row r="249">
      <c r="A249" s="181" t="inlineStr">
        <is>
          <t>kutkoside</t>
        </is>
      </c>
      <c r="B249" s="181" t="inlineStr">
        <is>
          <t>kutkoside</t>
        </is>
      </c>
      <c r="C249" s="181" t="inlineStr">
        <is>
          <t>picrorhiza-kurroa</t>
        </is>
      </c>
      <c r="D249" s="181" t="inlineStr">
        <is>
          <t>picrorhiza kurroa</t>
        </is>
      </c>
      <c r="E249" s="181" t="n">
        <v>1</v>
      </c>
      <c r="F249" s="181" t="inlineStr">
        <is>
          <t>general or unknown targets</t>
        </is>
      </c>
      <c r="G249" s="181" t="inlineStr">
        <is>
          <t>multi-target signaling modulation</t>
        </is>
      </c>
      <c r="H249" s="181" t="inlineStr">
        <is>
          <t>inferred_plus_trusted_gov</t>
        </is>
      </c>
      <c r="I249" s="181" t="inlineStr">
        <is>
          <t>Integrated from cleaned high-signal dataset</t>
        </is>
      </c>
    </row>
    <row r="250">
      <c r="A250" s="181" t="inlineStr">
        <is>
          <t>lactucin</t>
        </is>
      </c>
      <c r="B250" s="181" t="inlineStr">
        <is>
          <t>lactucin</t>
        </is>
      </c>
      <c r="C250" s="181" t="inlineStr">
        <is>
          <t>lactuca-virosa</t>
        </is>
      </c>
      <c r="D250" s="181" t="inlineStr">
        <is>
          <t>lactuca virosa</t>
        </is>
      </c>
      <c r="E250" s="181" t="n">
        <v>1</v>
      </c>
      <c r="F250" s="181" t="inlineStr">
        <is>
          <t>general or unknown targets</t>
        </is>
      </c>
      <c r="G250" s="181" t="inlineStr">
        <is>
          <t>multi-target signaling modulation</t>
        </is>
      </c>
      <c r="H250" s="181" t="inlineStr">
        <is>
          <t>inferred_plus_trusted_gov</t>
        </is>
      </c>
      <c r="I250" s="181" t="inlineStr">
        <is>
          <t>Integrated from cleaned high-signal dataset</t>
        </is>
      </c>
    </row>
    <row r="251">
      <c r="A251" s="181" t="inlineStr">
        <is>
          <t>lactucopicrin</t>
        </is>
      </c>
      <c r="B251" s="181" t="inlineStr">
        <is>
          <t>lactucopicrin</t>
        </is>
      </c>
      <c r="C251" s="181" t="inlineStr">
        <is>
          <t>lactuca-virosa</t>
        </is>
      </c>
      <c r="D251" s="181" t="inlineStr">
        <is>
          <t>lactuca virosa</t>
        </is>
      </c>
      <c r="E251" s="181" t="n">
        <v>1</v>
      </c>
      <c r="F251" s="181" t="inlineStr">
        <is>
          <t>general or unknown targets</t>
        </is>
      </c>
      <c r="G251" s="181" t="inlineStr">
        <is>
          <t>multi-target signaling modulation</t>
        </is>
      </c>
      <c r="H251" s="181" t="inlineStr">
        <is>
          <t>inferred_plus_trusted_gov</t>
        </is>
      </c>
      <c r="I251" s="181" t="inlineStr">
        <is>
          <t>Integrated from cleaned high-signal dataset</t>
        </is>
      </c>
    </row>
    <row r="252">
      <c r="A252" s="181" t="inlineStr">
        <is>
          <t>lapachol</t>
        </is>
      </c>
      <c r="B252" s="181" t="inlineStr">
        <is>
          <t>lapachol</t>
        </is>
      </c>
      <c r="C252" s="181" t="inlineStr">
        <is>
          <t>tabebuia-impetiginosa</t>
        </is>
      </c>
      <c r="D252" s="181" t="inlineStr">
        <is>
          <t>tabebuia impetiginosa</t>
        </is>
      </c>
      <c r="E252" s="181" t="n">
        <v>1</v>
      </c>
      <c r="F252" s="181" t="inlineStr">
        <is>
          <t>general or unknown targets</t>
        </is>
      </c>
      <c r="G252" s="181" t="inlineStr">
        <is>
          <t>multi-target signaling modulation</t>
        </is>
      </c>
      <c r="H252" s="181" t="inlineStr">
        <is>
          <t>inferred_plus_trusted_gov</t>
        </is>
      </c>
      <c r="I252" s="181" t="inlineStr">
        <is>
          <t>Integrated from cleaned high-signal dataset</t>
        </is>
      </c>
    </row>
    <row r="253">
      <c r="A253" s="181" t="inlineStr">
        <is>
          <t>ledol</t>
        </is>
      </c>
      <c r="B253" s="181" t="inlineStr">
        <is>
          <t>ledol</t>
        </is>
      </c>
      <c r="C253" s="181" t="inlineStr">
        <is>
          <t>rhododendron-tomentosum</t>
        </is>
      </c>
      <c r="D253" s="181" t="inlineStr">
        <is>
          <t>ledum palustre; rhododendron tomentosum</t>
        </is>
      </c>
      <c r="E253" s="181" t="n">
        <v>1</v>
      </c>
      <c r="F253" s="181" t="inlineStr">
        <is>
          <t>general or unknown targets</t>
        </is>
      </c>
      <c r="G253" s="181" t="inlineStr">
        <is>
          <t>multi-target signaling modulation</t>
        </is>
      </c>
      <c r="H253" s="181" t="inlineStr">
        <is>
          <t>inferred_plus_trusted_gov</t>
        </is>
      </c>
      <c r="I253" s="181" t="inlineStr">
        <is>
          <t>Integrated from cleaned high-signal dataset</t>
        </is>
      </c>
    </row>
    <row r="254">
      <c r="A254" s="181" t="inlineStr">
        <is>
          <t>leonurine</t>
        </is>
      </c>
      <c r="B254" s="181" t="inlineStr">
        <is>
          <t>leonurine</t>
        </is>
      </c>
      <c r="C254" s="181" t="inlineStr">
        <is>
          <t>leonurus-cardiaca; leonurus-japonicus</t>
        </is>
      </c>
      <c r="D254" s="181" t="inlineStr">
        <is>
          <t>leonurus cardiaca; leonurus japonicus</t>
        </is>
      </c>
      <c r="E254" s="181" t="n">
        <v>2</v>
      </c>
      <c r="F254" s="181" t="inlineStr">
        <is>
          <t>general or unknown targets</t>
        </is>
      </c>
      <c r="G254" s="181" t="inlineStr">
        <is>
          <t>multi-target signaling modulation</t>
        </is>
      </c>
      <c r="H254" s="181" t="inlineStr">
        <is>
          <t>inferred_plus_trusted_gov</t>
        </is>
      </c>
      <c r="I254" s="181" t="inlineStr">
        <is>
          <t>Integrated from cleaned high-signal dataset</t>
        </is>
      </c>
    </row>
    <row r="255">
      <c r="A255" s="181" t="inlineStr">
        <is>
          <t>ligustilide</t>
        </is>
      </c>
      <c r="B255" s="181" t="inlineStr">
        <is>
          <t>ligustilide</t>
        </is>
      </c>
      <c r="C255" s="181" t="inlineStr">
        <is>
          <t>angelica-sinensis; ligusticum-chuanxiong</t>
        </is>
      </c>
      <c r="D255" s="181" t="inlineStr">
        <is>
          <t>angelica sinensis; ligusticum chuanxiong</t>
        </is>
      </c>
      <c r="E255" s="181" t="n">
        <v>2</v>
      </c>
      <c r="F255" s="181" t="inlineStr">
        <is>
          <t>general or unknown targets</t>
        </is>
      </c>
      <c r="G255" s="181" t="inlineStr">
        <is>
          <t>multi-target signaling modulation</t>
        </is>
      </c>
      <c r="H255" s="181" t="inlineStr">
        <is>
          <t>inferred_plus_trusted_gov</t>
        </is>
      </c>
      <c r="I255" s="181" t="inlineStr">
        <is>
          <t>Integrated from cleaned high-signal dataset</t>
        </is>
      </c>
    </row>
    <row r="256">
      <c r="A256" s="181" t="inlineStr">
        <is>
          <t>limonene</t>
        </is>
      </c>
      <c r="B256" s="181" t="inlineStr">
        <is>
          <t>limonene</t>
        </is>
      </c>
      <c r="C256" s="181" t="inlineStr">
        <is>
          <t>agastache-foeniculum; bursera-graveolens; cannabis-sativa; citrus-aurantium; citrus-limon; juniperus-sibirica; lippia-alba</t>
        </is>
      </c>
      <c r="D256" s="181" t="inlineStr">
        <is>
          <t>agastache foeniculum; bursera graveolens; cannabis sativa; citrus aurantium; citrus limon; juniperus sibirica; lippia alba</t>
        </is>
      </c>
      <c r="E256" s="181" t="n">
        <v>7</v>
      </c>
      <c r="F256" s="181" t="inlineStr">
        <is>
          <t>endocannabinoid_modulation; general or unknown targets</t>
        </is>
      </c>
      <c r="G256" s="181" t="inlineStr">
        <is>
          <t>multi-target signaling modulation</t>
        </is>
      </c>
      <c r="H256" s="181" t="inlineStr">
        <is>
          <t>inferred_plus_trusted_gov; trusted_gov_added</t>
        </is>
      </c>
      <c r="I256" s="181" t="inlineStr">
        <is>
          <t>Integrated from cleaned high-signal dataset</t>
        </is>
      </c>
    </row>
    <row r="257">
      <c r="A257" s="181" t="inlineStr">
        <is>
          <t>linalool</t>
        </is>
      </c>
      <c r="B257" s="181" t="inlineStr">
        <is>
          <t>linalool</t>
        </is>
      </c>
      <c r="C257" s="181" t="inlineStr">
        <is>
          <t>lavender</t>
        </is>
      </c>
      <c r="D257" s="181" t="inlineStr">
        <is>
          <t>lavender</t>
        </is>
      </c>
      <c r="E257" s="181" t="n">
        <v>1</v>
      </c>
      <c r="F257" s="181" t="inlineStr">
        <is>
          <t>gabaergic_modulation</t>
        </is>
      </c>
      <c r="G257" s="181" t="inlineStr">
        <is>
          <t>GABAergic modulation</t>
        </is>
      </c>
      <c r="H257" s="181" t="inlineStr">
        <is>
          <t>inferred_plus_trusted_gov</t>
        </is>
      </c>
      <c r="I257" s="181" t="inlineStr">
        <is>
          <t>Integrated from cleaned high-signal dataset</t>
        </is>
      </c>
    </row>
    <row r="258">
      <c r="A258" s="181" t="inlineStr">
        <is>
          <t>linalyl acetate</t>
        </is>
      </c>
      <c r="B258" s="181" t="inlineStr">
        <is>
          <t>linalyl acetate</t>
        </is>
      </c>
      <c r="C258" s="181" t="inlineStr">
        <is>
          <t>lavender</t>
        </is>
      </c>
      <c r="D258" s="181" t="inlineStr">
        <is>
          <t>lavender</t>
        </is>
      </c>
      <c r="E258" s="181" t="n">
        <v>1</v>
      </c>
      <c r="F258" s="181" t="inlineStr">
        <is>
          <t>gabaergic_modulation</t>
        </is>
      </c>
      <c r="G258" s="181" t="inlineStr">
        <is>
          <t>GABAergic modulation</t>
        </is>
      </c>
      <c r="H258" s="181" t="inlineStr">
        <is>
          <t>inferred_plus_trusted_gov</t>
        </is>
      </c>
      <c r="I258" s="181" t="inlineStr">
        <is>
          <t>Integrated from cleaned high-signal dataset</t>
        </is>
      </c>
    </row>
    <row r="259">
      <c r="A259" s="181" t="inlineStr">
        <is>
          <t>linoleic acid</t>
        </is>
      </c>
      <c r="B259" s="181" t="inlineStr">
        <is>
          <t>linoleic acid</t>
        </is>
      </c>
      <c r="C259" s="181" t="inlineStr">
        <is>
          <t>oenothera-biennis</t>
        </is>
      </c>
      <c r="D259" s="181" t="inlineStr">
        <is>
          <t>oenothera biennis</t>
        </is>
      </c>
      <c r="E259" s="181" t="n">
        <v>1</v>
      </c>
      <c r="F259" s="181" t="inlineStr">
        <is>
          <t>general or unknown targets</t>
        </is>
      </c>
      <c r="G259" s="181" t="inlineStr">
        <is>
          <t>multi-target signaling modulation</t>
        </is>
      </c>
      <c r="H259" s="181" t="inlineStr">
        <is>
          <t>inferred_plus_trusted_gov</t>
        </is>
      </c>
      <c r="I259" s="181" t="inlineStr">
        <is>
          <t>Integrated from cleaned high-signal dataset</t>
        </is>
      </c>
    </row>
    <row r="260">
      <c r="A260" s="181" t="inlineStr">
        <is>
          <t>lithospermic acid</t>
        </is>
      </c>
      <c r="B260" s="181" t="inlineStr">
        <is>
          <t>lithospermic acid</t>
        </is>
      </c>
      <c r="C260" s="181" t="inlineStr">
        <is>
          <t>lycopus-virginicus</t>
        </is>
      </c>
      <c r="D260" s="181" t="inlineStr">
        <is>
          <t>lycopus virginicus</t>
        </is>
      </c>
      <c r="E260" s="181" t="n">
        <v>1</v>
      </c>
      <c r="F260" s="181" t="inlineStr">
        <is>
          <t>general or unknown targets</t>
        </is>
      </c>
      <c r="G260" s="181" t="inlineStr">
        <is>
          <t>multi-target signaling modulation</t>
        </is>
      </c>
      <c r="H260" s="181" t="inlineStr">
        <is>
          <t>inferred_plus_trusted_gov</t>
        </is>
      </c>
      <c r="I260" s="181" t="inlineStr">
        <is>
          <t>Integrated from cleaned high-signal dataset</t>
        </is>
      </c>
    </row>
    <row r="261">
      <c r="A261" s="181" t="inlineStr">
        <is>
          <t>lobelanidine</t>
        </is>
      </c>
      <c r="B261" s="181" t="inlineStr">
        <is>
          <t>lobelanidine</t>
        </is>
      </c>
      <c r="C261" s="181" t="inlineStr">
        <is>
          <t>lobelia-inflata</t>
        </is>
      </c>
      <c r="D261" s="181" t="inlineStr">
        <is>
          <t>lobelia inflata</t>
        </is>
      </c>
      <c r="E261" s="181" t="n">
        <v>1</v>
      </c>
      <c r="F261" s="181" t="inlineStr">
        <is>
          <t>cholinergic_modulation; dopaminergic_modulation</t>
        </is>
      </c>
      <c r="G261" s="181" t="inlineStr">
        <is>
          <t>muscarinic receptor interaction</t>
        </is>
      </c>
      <c r="H261" s="181" t="inlineStr">
        <is>
          <t>trusted_gov_added</t>
        </is>
      </c>
      <c r="I261" s="181" t="inlineStr">
        <is>
          <t>Integrated from cleaned high-signal dataset</t>
        </is>
      </c>
    </row>
    <row r="262">
      <c r="A262" s="181" t="inlineStr">
        <is>
          <t>lobeline</t>
        </is>
      </c>
      <c r="B262" s="181" t="inlineStr">
        <is>
          <t>lobeline</t>
        </is>
      </c>
      <c r="C262" s="181" t="inlineStr">
        <is>
          <t>lobelia-inflata</t>
        </is>
      </c>
      <c r="D262" s="181" t="inlineStr">
        <is>
          <t>lobelia inflata</t>
        </is>
      </c>
      <c r="E262" s="181" t="n">
        <v>1</v>
      </c>
      <c r="F262" s="181" t="inlineStr">
        <is>
          <t>cholinergic_modulation; dopaminergic_modulation</t>
        </is>
      </c>
      <c r="G262" s="181" t="inlineStr">
        <is>
          <t>muscarinic receptor interaction</t>
        </is>
      </c>
      <c r="H262" s="181" t="inlineStr">
        <is>
          <t>trusted_gov_added</t>
        </is>
      </c>
      <c r="I262" s="181" t="inlineStr">
        <is>
          <t>Integrated from cleaned high-signal dataset</t>
        </is>
      </c>
    </row>
    <row r="263">
      <c r="A263" s="181" t="inlineStr">
        <is>
          <t>loganin</t>
        </is>
      </c>
      <c r="B263" s="181" t="inlineStr">
        <is>
          <t>loganin</t>
        </is>
      </c>
      <c r="C263" s="181" t="inlineStr">
        <is>
          <t>cornus-officinalis</t>
        </is>
      </c>
      <c r="D263" s="181" t="inlineStr">
        <is>
          <t>cornus officinalis</t>
        </is>
      </c>
      <c r="E263" s="181" t="n">
        <v>1</v>
      </c>
      <c r="F263" s="181" t="inlineStr">
        <is>
          <t>general or unknown targets</t>
        </is>
      </c>
      <c r="G263" s="181" t="inlineStr">
        <is>
          <t>multi-target signaling modulation</t>
        </is>
      </c>
      <c r="H263" s="181" t="inlineStr">
        <is>
          <t>inferred_plus_trusted_gov</t>
        </is>
      </c>
      <c r="I263" s="181" t="inlineStr">
        <is>
          <t>Integrated from cleaned high-signal dataset</t>
        </is>
      </c>
    </row>
    <row r="264">
      <c r="A264" s="181" t="inlineStr">
        <is>
          <t>lsa</t>
        </is>
      </c>
      <c r="B264" s="181" t="inlineStr">
        <is>
          <t>lsa)</t>
        </is>
      </c>
      <c r="C264" s="181" t="inlineStr">
        <is>
          <t>argyreia-nervosa</t>
        </is>
      </c>
      <c r="D264" s="181" t="inlineStr">
        <is>
          <t>argyreia nervosa</t>
        </is>
      </c>
      <c r="E264" s="181" t="n">
        <v>1</v>
      </c>
      <c r="F264" s="181" t="inlineStr">
        <is>
          <t>general or unknown targets</t>
        </is>
      </c>
      <c r="G264" s="181" t="inlineStr">
        <is>
          <t>multi-target signaling modulation</t>
        </is>
      </c>
      <c r="H264" s="181" t="inlineStr">
        <is>
          <t>trusted_gov_added</t>
        </is>
      </c>
      <c r="I264" s="181" t="inlineStr">
        <is>
          <t>Integrated from cleaned high-signal dataset</t>
        </is>
      </c>
    </row>
    <row r="265">
      <c r="A265" s="181" t="inlineStr">
        <is>
          <t>lsd ergoline derivative</t>
        </is>
      </c>
      <c r="B265" s="181" t="inlineStr">
        <is>
          <t>lsd (ergoline derivative)</t>
        </is>
      </c>
      <c r="C265" s="181" t="inlineStr">
        <is>
          <t>lsd</t>
        </is>
      </c>
      <c r="D265" s="181" t="inlineStr">
        <is>
          <t>lsd</t>
        </is>
      </c>
      <c r="E265" s="181" t="n">
        <v>1</v>
      </c>
      <c r="F265" s="181" t="inlineStr">
        <is>
          <t>dopaminergic_modulation; serotonergic_5HT2A_agonism</t>
        </is>
      </c>
      <c r="G265" s="181" t="inlineStr">
        <is>
          <t>serotonin receptor interaction</t>
        </is>
      </c>
      <c r="H265" s="181" t="inlineStr">
        <is>
          <t>inferred_plus_trusted_gov</t>
        </is>
      </c>
      <c r="I265" s="181" t="inlineStr">
        <is>
          <t>Integrated from cleaned high-signal dataset</t>
        </is>
      </c>
    </row>
    <row r="266">
      <c r="A266" s="181" t="inlineStr">
        <is>
          <t>lupeol</t>
        </is>
      </c>
      <c r="B266" s="181" t="inlineStr">
        <is>
          <t>lupeol</t>
        </is>
      </c>
      <c r="C266" s="181" t="inlineStr">
        <is>
          <t>celastrus-paniculatus; celastrus-paniculatus-intellect-tree</t>
        </is>
      </c>
      <c r="D266" s="181" t="inlineStr">
        <is>
          <t>celastrus paniculatus; celastrus paniculatus (intellect tree)</t>
        </is>
      </c>
      <c r="E266" s="181" t="n">
        <v>2</v>
      </c>
      <c r="F266" s="181" t="inlineStr">
        <is>
          <t>general or unknown targets</t>
        </is>
      </c>
      <c r="G266" s="181" t="inlineStr">
        <is>
          <t>multi-target signaling modulation</t>
        </is>
      </c>
      <c r="H266" s="181" t="inlineStr">
        <is>
          <t>trusted_gov_added</t>
        </is>
      </c>
      <c r="I266" s="181" t="inlineStr">
        <is>
          <t>Integrated from cleaned high-signal dataset</t>
        </is>
      </c>
    </row>
    <row r="267">
      <c r="A267" s="181" t="inlineStr">
        <is>
          <t>lupulone</t>
        </is>
      </c>
      <c r="B267" s="181" t="inlineStr">
        <is>
          <t>lupulone</t>
        </is>
      </c>
      <c r="C267" s="181" t="inlineStr">
        <is>
          <t>humulus-lupulus</t>
        </is>
      </c>
      <c r="D267" s="181" t="inlineStr">
        <is>
          <t>humulus lupulus</t>
        </is>
      </c>
      <c r="E267" s="181" t="n">
        <v>1</v>
      </c>
      <c r="F267" s="181" t="inlineStr">
        <is>
          <t>general or unknown targets</t>
        </is>
      </c>
      <c r="G267" s="181" t="inlineStr">
        <is>
          <t>multi-target signaling modulation</t>
        </is>
      </c>
      <c r="H267" s="181" t="inlineStr">
        <is>
          <t>inferred_plus_trusted_gov</t>
        </is>
      </c>
      <c r="I267" s="181" t="inlineStr">
        <is>
          <t>Integrated from cleaned high-signal dataset</t>
        </is>
      </c>
    </row>
    <row r="268">
      <c r="A268" s="181" t="inlineStr">
        <is>
          <t>luteolin</t>
        </is>
      </c>
      <c r="B268" s="181" t="inlineStr">
        <is>
          <t>luteolin</t>
        </is>
      </c>
      <c r="C268" s="181" t="inlineStr">
        <is>
          <t>lonicera-japonica</t>
        </is>
      </c>
      <c r="D268" s="181" t="inlineStr">
        <is>
          <t>lonicera japonica</t>
        </is>
      </c>
      <c r="E268" s="181" t="n">
        <v>1</v>
      </c>
      <c r="F268" s="181" t="inlineStr">
        <is>
          <t>MAPK pathway inhibition; NF-kB inhibition; general or unknown targets</t>
        </is>
      </c>
      <c r="G268" s="181" t="inlineStr">
        <is>
          <t>multi-target signaling modulation</t>
        </is>
      </c>
      <c r="H268" s="181" t="inlineStr">
        <is>
          <t>inferred_plus_trusted_gov</t>
        </is>
      </c>
      <c r="I268" s="181" t="inlineStr">
        <is>
          <t>Integrated from cleaned high-signal dataset; Integrated from compound monograph workbook</t>
        </is>
      </c>
    </row>
    <row r="269">
      <c r="A269" s="181" t="inlineStr">
        <is>
          <t>lycopene</t>
        </is>
      </c>
      <c r="B269" s="181" t="inlineStr">
        <is>
          <t>lycopene</t>
        </is>
      </c>
      <c r="C269" s="181" t="inlineStr">
        <is>
          <t>elaeagnus-umbellata</t>
        </is>
      </c>
      <c r="D269" s="181" t="inlineStr">
        <is>
          <t>elaeagnus umbellata</t>
        </is>
      </c>
      <c r="E269" s="181" t="n">
        <v>1</v>
      </c>
      <c r="F269" s="181" t="inlineStr">
        <is>
          <t>general or unknown targets</t>
        </is>
      </c>
      <c r="G269" s="181" t="inlineStr">
        <is>
          <t>multi-target signaling modulation</t>
        </is>
      </c>
      <c r="H269" s="181" t="inlineStr">
        <is>
          <t>inferred_plus_trusted_gov</t>
        </is>
      </c>
      <c r="I269" s="181" t="inlineStr">
        <is>
          <t>Integrated from cleaned high-signal dataset</t>
        </is>
      </c>
    </row>
    <row r="270">
      <c r="A270" s="181" t="inlineStr">
        <is>
          <t>lycopodine</t>
        </is>
      </c>
      <c r="B270" s="181" t="inlineStr">
        <is>
          <t>lycopodine</t>
        </is>
      </c>
      <c r="C270" s="181" t="inlineStr">
        <is>
          <t>lycopodium-clavatum</t>
        </is>
      </c>
      <c r="D270" s="181" t="inlineStr">
        <is>
          <t>lycopodium clavatum</t>
        </is>
      </c>
      <c r="E270" s="181" t="n">
        <v>1</v>
      </c>
      <c r="F270" s="181" t="inlineStr">
        <is>
          <t>general or unknown targets</t>
        </is>
      </c>
      <c r="G270" s="181" t="inlineStr">
        <is>
          <t>multi-target signaling modulation</t>
        </is>
      </c>
      <c r="H270" s="181" t="inlineStr">
        <is>
          <t>inferred_plus_trusted_gov</t>
        </is>
      </c>
      <c r="I270" s="181" t="inlineStr">
        <is>
          <t>Integrated from cleaned high-signal dataset</t>
        </is>
      </c>
    </row>
    <row r="271">
      <c r="A271" s="181" t="inlineStr">
        <is>
          <t>lycorine</t>
        </is>
      </c>
      <c r="B271" s="181" t="inlineStr">
        <is>
          <t>lycorine</t>
        </is>
      </c>
      <c r="C271" s="181" t="inlineStr">
        <is>
          <t>boophone-disticha</t>
        </is>
      </c>
      <c r="D271" s="181" t="inlineStr">
        <is>
          <t>boophone disticha</t>
        </is>
      </c>
      <c r="E271" s="181" t="n">
        <v>1</v>
      </c>
      <c r="F271" s="181" t="inlineStr">
        <is>
          <t>general or unknown targets</t>
        </is>
      </c>
      <c r="G271" s="181" t="inlineStr">
        <is>
          <t>multi-target signaling modulation</t>
        </is>
      </c>
      <c r="H271" s="181" t="inlineStr">
        <is>
          <t>inferred_plus_trusted_gov</t>
        </is>
      </c>
      <c r="I271" s="181" t="inlineStr">
        <is>
          <t>Integrated from cleaned high-signal dataset</t>
        </is>
      </c>
    </row>
    <row r="272">
      <c r="A272" s="181" t="inlineStr">
        <is>
          <t>lythrine</t>
        </is>
      </c>
      <c r="B272" s="181" t="inlineStr">
        <is>
          <t>lythrine</t>
        </is>
      </c>
      <c r="C272" s="181" t="inlineStr">
        <is>
          <t>heimia</t>
        </is>
      </c>
      <c r="D272" s="181" t="inlineStr">
        <is>
          <t>heimia</t>
        </is>
      </c>
      <c r="E272" s="181" t="n">
        <v>1</v>
      </c>
      <c r="F272" s="181" t="inlineStr">
        <is>
          <t>general or unknown targets</t>
        </is>
      </c>
      <c r="G272" s="181" t="inlineStr">
        <is>
          <t>multi-target signaling modulation</t>
        </is>
      </c>
      <c r="H272" s="181" t="inlineStr">
        <is>
          <t>inferred_plus_trusted_gov</t>
        </is>
      </c>
      <c r="I272" s="181" t="inlineStr">
        <is>
          <t>Integrated from cleaned high-signal dataset</t>
        </is>
      </c>
    </row>
    <row r="273">
      <c r="A273" s="181" t="inlineStr">
        <is>
          <t>madecassic acid</t>
        </is>
      </c>
      <c r="B273" s="181" t="inlineStr">
        <is>
          <t>madecassic acid</t>
        </is>
      </c>
      <c r="C273" s="181" t="inlineStr">
        <is>
          <t>gotu-kola</t>
        </is>
      </c>
      <c r="D273" s="181" t="inlineStr">
        <is>
          <t>gotu kola</t>
        </is>
      </c>
      <c r="E273" s="181" t="n">
        <v>1</v>
      </c>
      <c r="F273" s="181" t="inlineStr">
        <is>
          <t>inflammatory_pathway_modulation</t>
        </is>
      </c>
      <c r="G273" s="181" t="inlineStr">
        <is>
          <t>COX/NF-kB inhibition</t>
        </is>
      </c>
      <c r="H273" s="181" t="inlineStr">
        <is>
          <t>inferred_plus_trusted_gov</t>
        </is>
      </c>
      <c r="I273" s="181" t="inlineStr">
        <is>
          <t>Integrated from cleaned high-signal dataset</t>
        </is>
      </c>
    </row>
    <row r="274">
      <c r="A274" s="181" t="inlineStr">
        <is>
          <t>madecassoside</t>
        </is>
      </c>
      <c r="B274" s="181" t="inlineStr">
        <is>
          <t>madecassoside</t>
        </is>
      </c>
      <c r="C274" s="181" t="inlineStr">
        <is>
          <t>centella-asiatica; gotu-kola</t>
        </is>
      </c>
      <c r="D274" s="181" t="inlineStr">
        <is>
          <t>centella asiatica; gotu kola</t>
        </is>
      </c>
      <c r="E274" s="181" t="n">
        <v>2</v>
      </c>
      <c r="F274" s="181" t="inlineStr">
        <is>
          <t>general or unknown targets; inflammatory_pathway_modulation</t>
        </is>
      </c>
      <c r="G274" s="181" t="inlineStr">
        <is>
          <t>COX/NF-kB inhibition; multi-target signaling modulation</t>
        </is>
      </c>
      <c r="H274" s="181" t="inlineStr">
        <is>
          <t>inferred_plus_trusted_gov; trusted_gov_added</t>
        </is>
      </c>
      <c r="I274" s="181" t="inlineStr">
        <is>
          <t>Integrated from cleaned high-signal dataset</t>
        </is>
      </c>
    </row>
    <row r="275">
      <c r="A275" s="181" t="inlineStr">
        <is>
          <t>maltol</t>
        </is>
      </c>
      <c r="B275" s="181" t="inlineStr">
        <is>
          <t>maltol</t>
        </is>
      </c>
      <c r="C275" s="181" t="inlineStr">
        <is>
          <t>passiflora-incarnata</t>
        </is>
      </c>
      <c r="D275" s="181" t="inlineStr">
        <is>
          <t>passiflora incarnata</t>
        </is>
      </c>
      <c r="E275" s="181" t="n">
        <v>1</v>
      </c>
      <c r="F275" s="181" t="inlineStr">
        <is>
          <t>general or unknown targets</t>
        </is>
      </c>
      <c r="G275" s="181" t="inlineStr">
        <is>
          <t>multi-target signaling modulation</t>
        </is>
      </c>
      <c r="H275" s="181" t="inlineStr">
        <is>
          <t>inferred_plus_trusted_gov</t>
        </is>
      </c>
      <c r="I275" s="181" t="inlineStr">
        <is>
          <t>Integrated from cleaned high-signal dataset</t>
        </is>
      </c>
    </row>
    <row r="276">
      <c r="A276" s="181" t="inlineStr">
        <is>
          <t>mangiferin</t>
        </is>
      </c>
      <c r="B276" s="181" t="inlineStr">
        <is>
          <t>mangiferin</t>
        </is>
      </c>
      <c r="C276" s="181" t="inlineStr">
        <is>
          <t>anemarrhena-asphodeloides; salacia-reticulata</t>
        </is>
      </c>
      <c r="D276" s="181" t="inlineStr">
        <is>
          <t>anemarrhena asphodeloides; salacia reticulata</t>
        </is>
      </c>
      <c r="E276" s="181" t="n">
        <v>2</v>
      </c>
      <c r="F276" s="181" t="inlineStr">
        <is>
          <t>general or unknown targets</t>
        </is>
      </c>
      <c r="G276" s="181" t="inlineStr">
        <is>
          <t>multi-target signaling modulation</t>
        </is>
      </c>
      <c r="H276" s="181" t="inlineStr">
        <is>
          <t>inferred_plus_trusted_gov</t>
        </is>
      </c>
      <c r="I276" s="181" t="inlineStr">
        <is>
          <t>Integrated from cleaned high-signal dataset</t>
        </is>
      </c>
    </row>
    <row r="277">
      <c r="A277" s="181" t="inlineStr">
        <is>
          <t>marmelosin</t>
        </is>
      </c>
      <c r="B277" s="181" t="inlineStr">
        <is>
          <t>marmelosin</t>
        </is>
      </c>
      <c r="C277" s="181" t="inlineStr">
        <is>
          <t>aegle-marmelos</t>
        </is>
      </c>
      <c r="D277" s="181" t="inlineStr">
        <is>
          <t>aegle marmelos</t>
        </is>
      </c>
      <c r="E277" s="181" t="n">
        <v>1</v>
      </c>
      <c r="F277" s="181" t="inlineStr">
        <is>
          <t>general or unknown targets</t>
        </is>
      </c>
      <c r="G277" s="181" t="inlineStr">
        <is>
          <t>multi-target signaling modulation</t>
        </is>
      </c>
      <c r="H277" s="181" t="inlineStr">
        <is>
          <t>trusted_gov_added</t>
        </is>
      </c>
      <c r="I277" s="181" t="inlineStr">
        <is>
          <t>Integrated from cleaned high-signal dataset</t>
        </is>
      </c>
    </row>
    <row r="278">
      <c r="A278" s="181" t="inlineStr">
        <is>
          <t>matrine</t>
        </is>
      </c>
      <c r="B278" s="181" t="inlineStr">
        <is>
          <t>matrine</t>
        </is>
      </c>
      <c r="C278" s="181" t="inlineStr">
        <is>
          <t>sophora-flavescens</t>
        </is>
      </c>
      <c r="D278" s="181" t="inlineStr">
        <is>
          <t>sophora flavescens</t>
        </is>
      </c>
      <c r="E278" s="181" t="n">
        <v>1</v>
      </c>
      <c r="F278" s="181" t="inlineStr">
        <is>
          <t>general or unknown targets</t>
        </is>
      </c>
      <c r="G278" s="181" t="inlineStr">
        <is>
          <t>multi-target signaling modulation</t>
        </is>
      </c>
      <c r="H278" s="181" t="inlineStr">
        <is>
          <t>inferred_plus_trusted_gov</t>
        </is>
      </c>
      <c r="I278" s="181" t="inlineStr">
        <is>
          <t>Integrated from cleaned high-signal dataset</t>
        </is>
      </c>
    </row>
    <row r="279">
      <c r="A279" s="181" t="inlineStr">
        <is>
          <t>menthol</t>
        </is>
      </c>
      <c r="B279" s="181" t="inlineStr">
        <is>
          <t>menthol</t>
        </is>
      </c>
      <c r="C279" s="181" t="inlineStr">
        <is>
          <t>mentha-piperita</t>
        </is>
      </c>
      <c r="D279" s="181" t="inlineStr">
        <is>
          <t>mentha piperita; peppermint</t>
        </is>
      </c>
      <c r="E279" s="181" t="n">
        <v>1</v>
      </c>
      <c r="F279" s="181" t="inlineStr">
        <is>
          <t>TRPM8 agonism; general or unknown targets</t>
        </is>
      </c>
      <c r="G279" s="181" t="inlineStr">
        <is>
          <t>multi-target signaling modulation</t>
        </is>
      </c>
      <c r="H279" s="181" t="inlineStr">
        <is>
          <t>inferred_plus_trusted_gov; trusted_gov_added</t>
        </is>
      </c>
      <c r="I279" s="181" t="inlineStr">
        <is>
          <t>Integrated from cleaned high-signal dataset; Integrated from compound monograph workbook</t>
        </is>
      </c>
    </row>
    <row r="280">
      <c r="A280" s="181" t="inlineStr">
        <is>
          <t>menthone</t>
        </is>
      </c>
      <c r="B280" s="181" t="inlineStr">
        <is>
          <t>menthone</t>
        </is>
      </c>
      <c r="C280" s="181" t="inlineStr">
        <is>
          <t>mentha-piperita</t>
        </is>
      </c>
      <c r="D280" s="181" t="inlineStr">
        <is>
          <t>mentha piperita; peppermint</t>
        </is>
      </c>
      <c r="E280" s="181" t="n">
        <v>1</v>
      </c>
      <c r="F280" s="181" t="inlineStr">
        <is>
          <t>general or unknown targets</t>
        </is>
      </c>
      <c r="G280" s="181" t="inlineStr">
        <is>
          <t>multi-target signaling modulation</t>
        </is>
      </c>
      <c r="H280" s="181" t="inlineStr">
        <is>
          <t>inferred_plus_trusted_gov; trusted_gov_added</t>
        </is>
      </c>
      <c r="I280" s="181" t="inlineStr">
        <is>
          <t>Integrated from cleaned high-signal dataset</t>
        </is>
      </c>
    </row>
    <row r="281">
      <c r="A281" s="181" t="inlineStr">
        <is>
          <t>mesaconitine</t>
        </is>
      </c>
      <c r="B281" s="181" t="inlineStr">
        <is>
          <t>mesaconitine</t>
        </is>
      </c>
      <c r="C281" s="181" t="inlineStr">
        <is>
          <t>aconitum-ferox; aconitum-napellus</t>
        </is>
      </c>
      <c r="D281" s="181" t="inlineStr">
        <is>
          <t>aconitum ferox; aconitum napellus</t>
        </is>
      </c>
      <c r="E281" s="181" t="n">
        <v>2</v>
      </c>
      <c r="F281" s="181" t="inlineStr">
        <is>
          <t>general or unknown targets</t>
        </is>
      </c>
      <c r="G281" s="181" t="inlineStr">
        <is>
          <t>multi-target signaling modulation</t>
        </is>
      </c>
      <c r="H281" s="181" t="inlineStr">
        <is>
          <t>inferred_plus_trusted_gov</t>
        </is>
      </c>
      <c r="I281" s="181" t="inlineStr">
        <is>
          <t>Integrated from cleaned high-signal dataset</t>
        </is>
      </c>
    </row>
    <row r="282">
      <c r="A282" s="181" t="inlineStr">
        <is>
          <t>mescaline</t>
        </is>
      </c>
      <c r="B282" s="181" t="inlineStr">
        <is>
          <t>mescaline</t>
        </is>
      </c>
      <c r="C282" s="181" t="inlineStr">
        <is>
          <t>lophophora-williamsii; trichocereus-bridgesii</t>
        </is>
      </c>
      <c r="D282" s="181" t="inlineStr">
        <is>
          <t>lophophora williamsii; peyote; trichocereus bridgesii</t>
        </is>
      </c>
      <c r="E282" s="181" t="n">
        <v>2</v>
      </c>
      <c r="F282" s="181" t="inlineStr">
        <is>
          <t>serotonergic_5HT2A_agonism</t>
        </is>
      </c>
      <c r="G282" s="181" t="inlineStr">
        <is>
          <t>serotonin receptor interaction</t>
        </is>
      </c>
      <c r="H282" s="181" t="inlineStr">
        <is>
          <t>inferred_plus_trusted_gov</t>
        </is>
      </c>
      <c r="I282" s="181" t="inlineStr">
        <is>
          <t>Integrated from cleaned high-signal dataset</t>
        </is>
      </c>
    </row>
    <row r="283">
      <c r="A283" s="181" t="inlineStr">
        <is>
          <t>mescaline derivative</t>
        </is>
      </c>
      <c r="B283" s="181" t="inlineStr">
        <is>
          <t>mescaline derivative</t>
        </is>
      </c>
      <c r="C283" s="181" t="inlineStr">
        <is>
          <t>mescaline</t>
        </is>
      </c>
      <c r="D283" s="181" t="inlineStr">
        <is>
          <t>mescaline</t>
        </is>
      </c>
      <c r="E283" s="181" t="n">
        <v>1</v>
      </c>
      <c r="F283" s="181" t="inlineStr">
        <is>
          <t>dopaminergic_modulation; serotonergic_5HT2A_agonism</t>
        </is>
      </c>
      <c r="G283" s="181" t="inlineStr">
        <is>
          <t>serotonin receptor interaction</t>
        </is>
      </c>
      <c r="H283" s="181" t="inlineStr">
        <is>
          <t>inferred_plus_trusted_gov</t>
        </is>
      </c>
      <c r="I283" s="181" t="inlineStr">
        <is>
          <t>Integrated from cleaned high-signal dataset</t>
        </is>
      </c>
    </row>
    <row r="284">
      <c r="A284" s="181" t="inlineStr">
        <is>
          <t>mesembranol</t>
        </is>
      </c>
      <c r="B284" s="181" t="inlineStr">
        <is>
          <t>mesembranol</t>
        </is>
      </c>
      <c r="C284" s="181" t="inlineStr">
        <is>
          <t>sceletium-tortuosum; sceletium-tortuosum-kanna</t>
        </is>
      </c>
      <c r="D284" s="181" t="inlineStr">
        <is>
          <t>sceletium tortuosum; sceletium tortuosum (kanna)</t>
        </is>
      </c>
      <c r="E284" s="181" t="n">
        <v>2</v>
      </c>
      <c r="F284" s="181" t="inlineStr">
        <is>
          <t>general or unknown targets</t>
        </is>
      </c>
      <c r="G284" s="181" t="inlineStr">
        <is>
          <t>multi-target signaling modulation</t>
        </is>
      </c>
      <c r="H284" s="181" t="inlineStr">
        <is>
          <t>inferred_plus_trusted_gov</t>
        </is>
      </c>
      <c r="I284" s="181" t="inlineStr">
        <is>
          <t>Integrated from cleaned high-signal dataset</t>
        </is>
      </c>
    </row>
    <row r="285">
      <c r="A285" s="181" t="inlineStr">
        <is>
          <t>mesembrenol</t>
        </is>
      </c>
      <c r="B285" s="181" t="inlineStr">
        <is>
          <t>mesembrenol</t>
        </is>
      </c>
      <c r="C285" s="181" t="inlineStr">
        <is>
          <t>sceletium-tortuosum; sceletium-tortuosum-kanna</t>
        </is>
      </c>
      <c r="D285" s="181" t="inlineStr">
        <is>
          <t>sceletium tortuosum; sceletium tortuosum (kanna)</t>
        </is>
      </c>
      <c r="E285" s="181" t="n">
        <v>2</v>
      </c>
      <c r="F285" s="181" t="inlineStr">
        <is>
          <t>general or unknown targets</t>
        </is>
      </c>
      <c r="G285" s="181" t="inlineStr">
        <is>
          <t>multi-target signaling modulation</t>
        </is>
      </c>
      <c r="H285" s="181" t="inlineStr">
        <is>
          <t>inferred_plus_trusted_gov</t>
        </is>
      </c>
      <c r="I285" s="181" t="inlineStr">
        <is>
          <t>Integrated from cleaned high-signal dataset</t>
        </is>
      </c>
    </row>
    <row r="286">
      <c r="A286" s="181" t="inlineStr">
        <is>
          <t>mesembrenone</t>
        </is>
      </c>
      <c r="B286" s="181" t="inlineStr">
        <is>
          <t>mesembrenone</t>
        </is>
      </c>
      <c r="C286" s="181" t="inlineStr">
        <is>
          <t>sceletium-expansum; sceletium-tortuosum; sceletium-tortuosum-kanna</t>
        </is>
      </c>
      <c r="D286" s="181" t="inlineStr">
        <is>
          <t>sceletium expansum; sceletium tortuosum; sceletium tortuosum (kanna)</t>
        </is>
      </c>
      <c r="E286" s="181" t="n">
        <v>3</v>
      </c>
      <c r="F286" s="181" t="inlineStr">
        <is>
          <t>general or unknown targets</t>
        </is>
      </c>
      <c r="G286" s="181" t="inlineStr">
        <is>
          <t>multi-target signaling modulation</t>
        </is>
      </c>
      <c r="H286" s="181" t="inlineStr">
        <is>
          <t>inferred_plus_trusted_gov</t>
        </is>
      </c>
      <c r="I286" s="181" t="inlineStr">
        <is>
          <t>Integrated from cleaned high-signal dataset</t>
        </is>
      </c>
    </row>
    <row r="287">
      <c r="A287" s="181" t="inlineStr">
        <is>
          <t>mesembrine</t>
        </is>
      </c>
      <c r="B287" s="181" t="inlineStr">
        <is>
          <t>mesembrine</t>
        </is>
      </c>
      <c r="C287" s="181" t="inlineStr">
        <is>
          <t>sceletium-tortuosum; sceletium-tortuosum-kanna</t>
        </is>
      </c>
      <c r="D287" s="181" t="inlineStr">
        <is>
          <t>sceletium tortuosum; sceletium tortuosum (kanna)</t>
        </is>
      </c>
      <c r="E287" s="181" t="n">
        <v>2</v>
      </c>
      <c r="F287" s="181" t="inlineStr">
        <is>
          <t>general or unknown targets</t>
        </is>
      </c>
      <c r="G287" s="181" t="inlineStr">
        <is>
          <t>multi-target signaling modulation</t>
        </is>
      </c>
      <c r="H287" s="181" t="inlineStr">
        <is>
          <t>inferred_plus_trusted_gov</t>
        </is>
      </c>
      <c r="I287" s="181" t="inlineStr">
        <is>
          <t>Integrated from cleaned high-signal dataset</t>
        </is>
      </c>
    </row>
    <row r="288">
      <c r="A288" s="181" t="inlineStr">
        <is>
          <t>methyl salicylate</t>
        </is>
      </c>
      <c r="B288" s="181" t="inlineStr">
        <is>
          <t>methyl salicylate</t>
        </is>
      </c>
      <c r="C288" s="181" t="inlineStr">
        <is>
          <t>chimaphila-umbellata; viola-odorata</t>
        </is>
      </c>
      <c r="D288" s="181" t="inlineStr">
        <is>
          <t>chimaphila umbellata; viola odorata</t>
        </is>
      </c>
      <c r="E288" s="181" t="n">
        <v>2</v>
      </c>
      <c r="F288" s="181" t="inlineStr">
        <is>
          <t>PTGS1, PTGS2 (COX-1, COX-2)</t>
        </is>
      </c>
      <c r="G288" s="181" t="inlineStr">
        <is>
          <t>cox inhibition</t>
        </is>
      </c>
      <c r="H288" s="181" t="inlineStr">
        <is>
          <t>inferred_plus_trusted_gov</t>
        </is>
      </c>
      <c r="I288" s="181" t="inlineStr">
        <is>
          <t>Integrated from cleaned high-signal dataset</t>
        </is>
      </c>
    </row>
    <row r="289">
      <c r="A289" s="181" t="inlineStr">
        <is>
          <t>methysticin</t>
        </is>
      </c>
      <c r="B289" s="181" t="inlineStr">
        <is>
          <t>methysticin</t>
        </is>
      </c>
      <c r="C289" s="181" t="inlineStr">
        <is>
          <t>kava; piper-methysticum</t>
        </is>
      </c>
      <c r="D289" s="181" t="inlineStr">
        <is>
          <t>kava; piper methysticum</t>
        </is>
      </c>
      <c r="E289" s="181" t="n">
        <v>2</v>
      </c>
      <c r="F289" s="181" t="inlineStr">
        <is>
          <t>dopaminergic_modulation; gabaergic_modulation</t>
        </is>
      </c>
      <c r="G289" s="181" t="inlineStr">
        <is>
          <t>GABAergic modulation; multi-target signaling modulation</t>
        </is>
      </c>
      <c r="H289" s="181" t="inlineStr">
        <is>
          <t>trusted_gov_added</t>
        </is>
      </c>
      <c r="I289" s="181" t="inlineStr">
        <is>
          <t>Integrated from cleaned high-signal dataset</t>
        </is>
      </c>
    </row>
    <row r="290">
      <c r="A290" s="181" t="inlineStr">
        <is>
          <t>miroestrol</t>
        </is>
      </c>
      <c r="B290" s="181" t="inlineStr">
        <is>
          <t>miroestrol</t>
        </is>
      </c>
      <c r="C290" s="181" t="inlineStr">
        <is>
          <t>pueraria-mirifica</t>
        </is>
      </c>
      <c r="D290" s="181" t="inlineStr">
        <is>
          <t>pueraria mirifica</t>
        </is>
      </c>
      <c r="E290" s="181" t="n">
        <v>1</v>
      </c>
      <c r="F290" s="181" t="inlineStr">
        <is>
          <t>general or unknown targets</t>
        </is>
      </c>
      <c r="G290" s="181" t="inlineStr">
        <is>
          <t>multi-target signaling modulation</t>
        </is>
      </c>
      <c r="H290" s="181" t="inlineStr">
        <is>
          <t>inferred_plus_trusted_gov</t>
        </is>
      </c>
      <c r="I290" s="181" t="inlineStr">
        <is>
          <t>Integrated from cleaned high-signal dataset</t>
        </is>
      </c>
    </row>
    <row r="291">
      <c r="A291" s="181" t="inlineStr">
        <is>
          <t>mitragynine</t>
        </is>
      </c>
      <c r="B291" s="181" t="inlineStr">
        <is>
          <t>mitragynine</t>
        </is>
      </c>
      <c r="C291" s="181" t="inlineStr">
        <is>
          <t>kratom-hybrids; mitragyna-speciosa</t>
        </is>
      </c>
      <c r="D291" s="181" t="inlineStr">
        <is>
          <t>kratom hybrids; mitragyna speciosa</t>
        </is>
      </c>
      <c r="E291" s="181" t="n">
        <v>2</v>
      </c>
      <c r="F291" s="181" t="inlineStr">
        <is>
          <t>general or unknown targets</t>
        </is>
      </c>
      <c r="G291" s="181" t="inlineStr">
        <is>
          <t>multi-target signaling modulation</t>
        </is>
      </c>
      <c r="H291" s="181" t="inlineStr">
        <is>
          <t>inferred_plus_trusted_gov; trusted_gov_added</t>
        </is>
      </c>
      <c r="I291" s="181" t="inlineStr">
        <is>
          <t>Integrated from cleaned high-signal dataset</t>
        </is>
      </c>
    </row>
    <row r="292">
      <c r="A292" s="181" t="inlineStr">
        <is>
          <t>mitrajavine</t>
        </is>
      </c>
      <c r="B292" s="181" t="inlineStr">
        <is>
          <t>mitrajavine</t>
        </is>
      </c>
      <c r="C292" s="181" t="inlineStr">
        <is>
          <t>mitragyna-javanica</t>
        </is>
      </c>
      <c r="D292" s="181" t="inlineStr">
        <is>
          <t>mitragyna javanica</t>
        </is>
      </c>
      <c r="E292" s="181" t="n">
        <v>1</v>
      </c>
      <c r="F292" s="181" t="inlineStr">
        <is>
          <t>general or unknown targets</t>
        </is>
      </c>
      <c r="G292" s="181" t="inlineStr">
        <is>
          <t>multi-target signaling modulation</t>
        </is>
      </c>
      <c r="H292" s="181" t="inlineStr">
        <is>
          <t>inferred_plus_trusted_gov</t>
        </is>
      </c>
      <c r="I292" s="181" t="inlineStr">
        <is>
          <t>Integrated from cleaned high-signal dataset</t>
        </is>
      </c>
    </row>
    <row r="293">
      <c r="A293" s="181" t="inlineStr">
        <is>
          <t>mitraphylline</t>
        </is>
      </c>
      <c r="B293" s="181" t="inlineStr">
        <is>
          <t>mitraphylline</t>
        </is>
      </c>
      <c r="C293" s="181" t="inlineStr">
        <is>
          <t>mitragyna-javanica; mitragyna-parvifolia</t>
        </is>
      </c>
      <c r="D293" s="181" t="inlineStr">
        <is>
          <t>mitragyna javanica; mitragyna parvifolia</t>
        </is>
      </c>
      <c r="E293" s="181" t="n">
        <v>2</v>
      </c>
      <c r="F293" s="181" t="inlineStr">
        <is>
          <t>general or unknown targets</t>
        </is>
      </c>
      <c r="G293" s="181" t="inlineStr">
        <is>
          <t>multi-target signaling modulation</t>
        </is>
      </c>
      <c r="H293" s="181" t="inlineStr">
        <is>
          <t>inferred_plus_trusted_gov</t>
        </is>
      </c>
      <c r="I293" s="181" t="inlineStr">
        <is>
          <t>Integrated from cleaned high-signal dataset</t>
        </is>
      </c>
    </row>
    <row r="294">
      <c r="A294" s="181" t="inlineStr">
        <is>
          <t>morphine</t>
        </is>
      </c>
      <c r="B294" s="181" t="inlineStr">
        <is>
          <t>morphine</t>
        </is>
      </c>
      <c r="C294" s="181" t="inlineStr">
        <is>
          <t>papaver-somniferum</t>
        </is>
      </c>
      <c r="D294" s="181" t="inlineStr">
        <is>
          <t>papaver somniferum</t>
        </is>
      </c>
      <c r="E294" s="181" t="n">
        <v>1</v>
      </c>
      <c r="F294" s="181" t="inlineStr">
        <is>
          <t>general or unknown targets</t>
        </is>
      </c>
      <c r="G294" s="181" t="inlineStr">
        <is>
          <t>multi-target signaling modulation</t>
        </is>
      </c>
      <c r="H294" s="181" t="inlineStr">
        <is>
          <t>inferred_plus_trusted_gov</t>
        </is>
      </c>
      <c r="I294" s="181" t="inlineStr">
        <is>
          <t>Integrated from cleaned high-signal dataset</t>
        </is>
      </c>
    </row>
    <row r="295">
      <c r="A295" s="181" t="inlineStr">
        <is>
          <t>morroniside</t>
        </is>
      </c>
      <c r="B295" s="181" t="inlineStr">
        <is>
          <t>morroniside</t>
        </is>
      </c>
      <c r="C295" s="181" t="inlineStr">
        <is>
          <t>cornus-officinalis</t>
        </is>
      </c>
      <c r="D295" s="181" t="inlineStr">
        <is>
          <t>cornus officinalis</t>
        </is>
      </c>
      <c r="E295" s="181" t="n">
        <v>1</v>
      </c>
      <c r="F295" s="181" t="inlineStr">
        <is>
          <t>general or unknown targets</t>
        </is>
      </c>
      <c r="G295" s="181" t="inlineStr">
        <is>
          <t>multi-target signaling modulation</t>
        </is>
      </c>
      <c r="H295" s="181" t="inlineStr">
        <is>
          <t>inferred_plus_trusted_gov</t>
        </is>
      </c>
      <c r="I295" s="181" t="inlineStr">
        <is>
          <t>Integrated from cleaned high-signal dataset</t>
        </is>
      </c>
    </row>
    <row r="296">
      <c r="A296" s="181" t="inlineStr">
        <is>
          <t>muscimol</t>
        </is>
      </c>
      <c r="B296" s="181" t="inlineStr">
        <is>
          <t>muscimol</t>
        </is>
      </c>
      <c r="C296" s="181" t="inlineStr">
        <is>
          <t>amanita-muscaria; amanita-pantherina</t>
        </is>
      </c>
      <c r="D296" s="181" t="inlineStr">
        <is>
          <t>amanita muscaria; amanita pantherina; fly agaric</t>
        </is>
      </c>
      <c r="E296" s="181" t="n">
        <v>2</v>
      </c>
      <c r="F296" s="181" t="inlineStr">
        <is>
          <t>gabaergic_modulation; general or unknown targets</t>
        </is>
      </c>
      <c r="G296" s="181" t="inlineStr">
        <is>
          <t>GABAergic modulation; multi-target signaling modulation</t>
        </is>
      </c>
      <c r="H296" s="181" t="inlineStr">
        <is>
          <t>inferred_plus_trusted_gov; trusted_gov_added</t>
        </is>
      </c>
      <c r="I296" s="181" t="inlineStr">
        <is>
          <t>Integrated from cleaned high-signal dataset</t>
        </is>
      </c>
    </row>
    <row r="297">
      <c r="A297" s="181" t="inlineStr">
        <is>
          <t>myrcene</t>
        </is>
      </c>
      <c r="B297" s="181" t="inlineStr">
        <is>
          <t>myrcene</t>
        </is>
      </c>
      <c r="C297" s="181" t="inlineStr">
        <is>
          <t>pimenta-racemosa</t>
        </is>
      </c>
      <c r="D297" s="181" t="inlineStr">
        <is>
          <t>pimenta racemosa</t>
        </is>
      </c>
      <c r="E297" s="181" t="n">
        <v>1</v>
      </c>
      <c r="F297" s="181" t="inlineStr">
        <is>
          <t>general or unknown targets</t>
        </is>
      </c>
      <c r="G297" s="181" t="inlineStr">
        <is>
          <t>multi-target signaling modulation</t>
        </is>
      </c>
      <c r="H297" s="181" t="inlineStr">
        <is>
          <t>inferred_plus_trusted_gov</t>
        </is>
      </c>
      <c r="I297" s="181" t="inlineStr">
        <is>
          <t>Integrated from cleaned high-signal dataset</t>
        </is>
      </c>
    </row>
    <row r="298">
      <c r="A298" s="181" t="inlineStr">
        <is>
          <t>myristicin</t>
        </is>
      </c>
      <c r="B298" s="181" t="inlineStr">
        <is>
          <t>myristicin</t>
        </is>
      </c>
      <c r="C298" s="181" t="inlineStr">
        <is>
          <t>macropiper-excelsum</t>
        </is>
      </c>
      <c r="D298" s="181" t="inlineStr">
        <is>
          <t>macropiper excelsum</t>
        </is>
      </c>
      <c r="E298" s="181" t="n">
        <v>1</v>
      </c>
      <c r="F298" s="181" t="inlineStr">
        <is>
          <t>general or unknown targets</t>
        </is>
      </c>
      <c r="G298" s="181" t="inlineStr">
        <is>
          <t>multi-target signaling modulation</t>
        </is>
      </c>
      <c r="H298" s="181" t="inlineStr">
        <is>
          <t>inferred_plus_trusted_gov</t>
        </is>
      </c>
      <c r="I298" s="181" t="inlineStr">
        <is>
          <t>Integrated from cleaned high-signal dataset</t>
        </is>
      </c>
    </row>
    <row r="299">
      <c r="A299" s="181" t="inlineStr">
        <is>
          <t>n-dimethylhistamine</t>
        </is>
      </c>
      <c r="B299" s="181" t="inlineStr">
        <is>
          <t>n-dimethylhistamine</t>
        </is>
      </c>
      <c r="C299" s="181" t="inlineStr">
        <is>
          <t>casimiroa-edulis</t>
        </is>
      </c>
      <c r="D299" s="181" t="inlineStr">
        <is>
          <t>casimiroa edulis</t>
        </is>
      </c>
      <c r="E299" s="181" t="n">
        <v>1</v>
      </c>
      <c r="F299" s="181" t="inlineStr">
        <is>
          <t>general or unknown targets</t>
        </is>
      </c>
      <c r="G299" s="181" t="inlineStr">
        <is>
          <t>multi-target signaling modulation</t>
        </is>
      </c>
      <c r="H299" s="181" t="inlineStr">
        <is>
          <t>trusted_gov_added</t>
        </is>
      </c>
      <c r="I299" s="181" t="inlineStr">
        <is>
          <t>Integrated from cleaned high-signal dataset</t>
        </is>
      </c>
    </row>
    <row r="300">
      <c r="A300" s="181" t="inlineStr">
        <is>
          <t>n-dimethyltryptamine</t>
        </is>
      </c>
      <c r="B300" s="181" t="inlineStr">
        <is>
          <t>n-dimethyltryptamine (dmt)</t>
        </is>
      </c>
      <c r="C300" s="181" t="inlineStr">
        <is>
          <t>acacia-confusa; acacia-maidenii; acacia-phlebophylla; diplopterys-cabrerana; psychotria-viridis; virola-calophylla; virola-elongata; virola-sebifera</t>
        </is>
      </c>
      <c r="D300" s="181" t="inlineStr">
        <is>
          <t>acacia confusa; acacia maidenii; acacia phlebophylla; chacruna; diplopterys cabrerana; psychotria viridis; virola calophylla; virola elongata; virola sebifera</t>
        </is>
      </c>
      <c r="E300" s="181" t="n">
        <v>8</v>
      </c>
      <c r="F300" s="181" t="inlineStr">
        <is>
          <t>serotonergic_5HT2A_agonism</t>
        </is>
      </c>
      <c r="G300" s="181" t="inlineStr">
        <is>
          <t>serotonergic modulation</t>
        </is>
      </c>
      <c r="H300" s="181" t="inlineStr">
        <is>
          <t>inferred_plus_trusted_gov; trusted_gov_added</t>
        </is>
      </c>
      <c r="I300" s="181" t="inlineStr">
        <is>
          <t>Integrated from cleaned high-signal dataset</t>
        </is>
      </c>
    </row>
    <row r="301">
      <c r="A301" s="181" t="inlineStr">
        <is>
          <t>n-methylasimilobine</t>
        </is>
      </c>
      <c r="B301" s="181" t="inlineStr">
        <is>
          <t>n-methylasimilobine</t>
        </is>
      </c>
      <c r="C301" s="181" t="inlineStr">
        <is>
          <t>nelumbo-lutea</t>
        </is>
      </c>
      <c r="D301" s="181" t="inlineStr">
        <is>
          <t>american yellow lotus</t>
        </is>
      </c>
      <c r="E301" s="181" t="n">
        <v>1</v>
      </c>
      <c r="F301" s="181" t="inlineStr">
        <is>
          <t>general or unknown targets</t>
        </is>
      </c>
      <c r="G301" s="181" t="inlineStr">
        <is>
          <t>multi-target signaling modulation</t>
        </is>
      </c>
      <c r="H301" s="181" t="inlineStr">
        <is>
          <t>trusted_gov_added</t>
        </is>
      </c>
      <c r="I301" s="181" t="inlineStr">
        <is>
          <t>Integrated from cleaned high-signal dataset</t>
        </is>
      </c>
    </row>
    <row r="302">
      <c r="A302" s="181" t="inlineStr">
        <is>
          <t>n-methyltryptamine</t>
        </is>
      </c>
      <c r="B302" s="181" t="inlineStr">
        <is>
          <t>n-methyltryptamine (nmt)</t>
        </is>
      </c>
      <c r="C302" s="181" t="inlineStr">
        <is>
          <t>acacia-confusa</t>
        </is>
      </c>
      <c r="D302" s="181" t="inlineStr">
        <is>
          <t>acacia confusa</t>
        </is>
      </c>
      <c r="E302" s="181" t="n">
        <v>1</v>
      </c>
      <c r="F302" s="181" t="inlineStr">
        <is>
          <t>serotonergic_5HT2A_agonism</t>
        </is>
      </c>
      <c r="G302" s="181" t="inlineStr">
        <is>
          <t>serotonergic modulation</t>
        </is>
      </c>
      <c r="H302" s="181" t="inlineStr">
        <is>
          <t>trusted_gov_added</t>
        </is>
      </c>
      <c r="I302" s="181" t="inlineStr">
        <is>
          <t>Integrated from cleaned high-signal dataset</t>
        </is>
      </c>
    </row>
    <row r="303">
      <c r="A303" s="181" t="inlineStr">
        <is>
          <t>n-monomethylhistamine</t>
        </is>
      </c>
      <c r="B303" s="181" t="inlineStr">
        <is>
          <t>n-monomethylhistamine</t>
        </is>
      </c>
      <c r="C303" s="181" t="inlineStr">
        <is>
          <t>casimiroa-edulis</t>
        </is>
      </c>
      <c r="D303" s="181" t="inlineStr">
        <is>
          <t>casimiroa edulis</t>
        </is>
      </c>
      <c r="E303" s="181" t="n">
        <v>1</v>
      </c>
      <c r="F303" s="181" t="inlineStr">
        <is>
          <t>general or unknown targets</t>
        </is>
      </c>
      <c r="G303" s="181" t="inlineStr">
        <is>
          <t>multi-target signaling modulation</t>
        </is>
      </c>
      <c r="H303" s="181" t="inlineStr">
        <is>
          <t>trusted_gov_added</t>
        </is>
      </c>
      <c r="I303" s="181" t="inlineStr">
        <is>
          <t>Integrated from cleaned high-signal dataset</t>
        </is>
      </c>
    </row>
    <row r="304">
      <c r="A304" s="181" t="inlineStr">
        <is>
          <t>neoquassin</t>
        </is>
      </c>
      <c r="B304" s="181" t="inlineStr">
        <is>
          <t>neoquassin</t>
        </is>
      </c>
      <c r="C304" s="181" t="inlineStr">
        <is>
          <t>quassia-amara</t>
        </is>
      </c>
      <c r="D304" s="181" t="inlineStr">
        <is>
          <t>quassia amara</t>
        </is>
      </c>
      <c r="E304" s="181" t="n">
        <v>1</v>
      </c>
      <c r="F304" s="181" t="inlineStr">
        <is>
          <t>general or unknown targets</t>
        </is>
      </c>
      <c r="G304" s="181" t="inlineStr">
        <is>
          <t>multi-target signaling modulation</t>
        </is>
      </c>
      <c r="H304" s="181" t="inlineStr">
        <is>
          <t>inferred_plus_trusted_gov</t>
        </is>
      </c>
      <c r="I304" s="181" t="inlineStr">
        <is>
          <t>Integrated from cleaned high-signal dataset</t>
        </is>
      </c>
    </row>
    <row r="305">
      <c r="A305" s="181" t="inlineStr">
        <is>
          <t>neral</t>
        </is>
      </c>
      <c r="B305" s="181" t="inlineStr">
        <is>
          <t>neral</t>
        </is>
      </c>
      <c r="C305" s="181" t="inlineStr">
        <is>
          <t>dracocephalum-moldavica</t>
        </is>
      </c>
      <c r="D305" s="181" t="inlineStr">
        <is>
          <t>dracocephalum moldavica</t>
        </is>
      </c>
      <c r="E305" s="181" t="n">
        <v>1</v>
      </c>
      <c r="F305" s="181" t="inlineStr">
        <is>
          <t>general or unknown targets</t>
        </is>
      </c>
      <c r="G305" s="181" t="inlineStr">
        <is>
          <t>multi-target signaling modulation</t>
        </is>
      </c>
      <c r="H305" s="181" t="inlineStr">
        <is>
          <t>inferred_plus_trusted_gov</t>
        </is>
      </c>
      <c r="I305" s="181" t="inlineStr">
        <is>
          <t>Integrated from cleaned high-signal dataset</t>
        </is>
      </c>
    </row>
    <row r="306">
      <c r="A306" s="181" t="inlineStr">
        <is>
          <t>neriine</t>
        </is>
      </c>
      <c r="B306" s="181" t="inlineStr">
        <is>
          <t>neriine</t>
        </is>
      </c>
      <c r="C306" s="181" t="inlineStr">
        <is>
          <t>nerium-oleander</t>
        </is>
      </c>
      <c r="D306" s="181" t="inlineStr">
        <is>
          <t>nerium oleander</t>
        </is>
      </c>
      <c r="E306" s="181" t="n">
        <v>1</v>
      </c>
      <c r="F306" s="181" t="inlineStr">
        <is>
          <t>general or unknown targets</t>
        </is>
      </c>
      <c r="G306" s="181" t="inlineStr">
        <is>
          <t>multi-target signaling modulation</t>
        </is>
      </c>
      <c r="H306" s="181" t="inlineStr">
        <is>
          <t>inferred_plus_trusted_gov</t>
        </is>
      </c>
      <c r="I306" s="181" t="inlineStr">
        <is>
          <t>Integrated from cleaned high-signal dataset</t>
        </is>
      </c>
    </row>
    <row r="307">
      <c r="A307" s="181" t="inlineStr">
        <is>
          <t>nesodine</t>
        </is>
      </c>
      <c r="B307" s="181" t="inlineStr">
        <is>
          <t>nesodine</t>
        </is>
      </c>
      <c r="C307" s="181" t="inlineStr">
        <is>
          <t>heimia</t>
        </is>
      </c>
      <c r="D307" s="181" t="inlineStr">
        <is>
          <t>heimia</t>
        </is>
      </c>
      <c r="E307" s="181" t="n">
        <v>1</v>
      </c>
      <c r="F307" s="181" t="inlineStr">
        <is>
          <t>general or unknown targets</t>
        </is>
      </c>
      <c r="G307" s="181" t="inlineStr">
        <is>
          <t>multi-target signaling modulation</t>
        </is>
      </c>
      <c r="H307" s="181" t="inlineStr">
        <is>
          <t>inferred_plus_trusted_gov</t>
        </is>
      </c>
      <c r="I307" s="181" t="inlineStr">
        <is>
          <t>Integrated from cleaned high-signal dataset</t>
        </is>
      </c>
    </row>
    <row r="308">
      <c r="A308" s="181" t="inlineStr">
        <is>
          <t>nicotine</t>
        </is>
      </c>
      <c r="B308" s="181" t="inlineStr">
        <is>
          <t>nicotine</t>
        </is>
      </c>
      <c r="C308" s="181" t="inlineStr">
        <is>
          <t>duboisia-hopwoodii; nicotiana-rustica; nicotiana-spp-polynesian</t>
        </is>
      </c>
      <c r="D308" s="181" t="inlineStr">
        <is>
          <t>nicotiana rustica; pituri; polynesian nicotiana spp.</t>
        </is>
      </c>
      <c r="E308" s="181" t="n">
        <v>3</v>
      </c>
      <c r="F308" s="181" t="inlineStr">
        <is>
          <t>cholinergic_modulation; dopaminergic_modulation; general or unknown targets</t>
        </is>
      </c>
      <c r="G308" s="181" t="inlineStr">
        <is>
          <t>multi-target signaling modulation; muscarinic receptor interaction</t>
        </is>
      </c>
      <c r="H308" s="181" t="inlineStr">
        <is>
          <t>inferred_plus_trusted_gov; trusted_gov_added</t>
        </is>
      </c>
      <c r="I308" s="181" t="inlineStr">
        <is>
          <t>Integrated from cleaned high-signal dataset</t>
        </is>
      </c>
    </row>
    <row r="309">
      <c r="A309" s="181" t="inlineStr">
        <is>
          <t>nigellone</t>
        </is>
      </c>
      <c r="B309" s="181" t="inlineStr">
        <is>
          <t>nigellone</t>
        </is>
      </c>
      <c r="C309" s="181" t="inlineStr">
        <is>
          <t>nigella-sativa</t>
        </is>
      </c>
      <c r="D309" s="181" t="inlineStr">
        <is>
          <t>nigella sativa</t>
        </is>
      </c>
      <c r="E309" s="181" t="n">
        <v>1</v>
      </c>
      <c r="F309" s="181" t="inlineStr">
        <is>
          <t>general or unknown targets</t>
        </is>
      </c>
      <c r="G309" s="181" t="inlineStr">
        <is>
          <t>multi-target signaling modulation</t>
        </is>
      </c>
      <c r="H309" s="181" t="inlineStr">
        <is>
          <t>inferred_plus_trusted_gov</t>
        </is>
      </c>
      <c r="I309" s="181" t="inlineStr">
        <is>
          <t>Integrated from cleaned high-signal dataset</t>
        </is>
      </c>
    </row>
    <row r="310">
      <c r="A310" s="181" t="inlineStr">
        <is>
          <t>nimbin</t>
        </is>
      </c>
      <c r="B310" s="181" t="inlineStr">
        <is>
          <t>nimbin</t>
        </is>
      </c>
      <c r="C310" s="181" t="inlineStr">
        <is>
          <t>azadirachta-indica</t>
        </is>
      </c>
      <c r="D310" s="181" t="inlineStr">
        <is>
          <t>azadirachta indica</t>
        </is>
      </c>
      <c r="E310" s="181" t="n">
        <v>1</v>
      </c>
      <c r="F310" s="181" t="inlineStr">
        <is>
          <t>general or unknown targets</t>
        </is>
      </c>
      <c r="G310" s="181" t="inlineStr">
        <is>
          <t>multi-target signaling modulation</t>
        </is>
      </c>
      <c r="H310" s="181" t="inlineStr">
        <is>
          <t>inferred_plus_trusted_gov</t>
        </is>
      </c>
      <c r="I310" s="181" t="inlineStr">
        <is>
          <t>Integrated from cleaned high-signal dataset</t>
        </is>
      </c>
    </row>
    <row r="311">
      <c r="A311" s="181" t="inlineStr">
        <is>
          <t>nordihydrocapsaicin</t>
        </is>
      </c>
      <c r="B311" s="181" t="inlineStr">
        <is>
          <t>nordihydrocapsaicin</t>
        </is>
      </c>
      <c r="C311" s="181" t="inlineStr">
        <is>
          <t>capsicum-annuum</t>
        </is>
      </c>
      <c r="D311" s="181" t="inlineStr">
        <is>
          <t>capsicum annuum</t>
        </is>
      </c>
      <c r="E311" s="181" t="n">
        <v>1</v>
      </c>
      <c r="F311" s="181" t="inlineStr">
        <is>
          <t>general or unknown targets</t>
        </is>
      </c>
      <c r="G311" s="181" t="inlineStr">
        <is>
          <t>multi-target signaling modulation</t>
        </is>
      </c>
      <c r="H311" s="181" t="inlineStr">
        <is>
          <t>trusted_gov_added</t>
        </is>
      </c>
      <c r="I311" s="181" t="inlineStr">
        <is>
          <t>Integrated from cleaned high-signal dataset</t>
        </is>
      </c>
    </row>
    <row r="312">
      <c r="A312" s="181" t="inlineStr">
        <is>
          <t>norephedrine</t>
        </is>
      </c>
      <c r="B312" s="181" t="inlineStr">
        <is>
          <t>norephedrine</t>
        </is>
      </c>
      <c r="C312" s="181" t="inlineStr">
        <is>
          <t>catha-edulis</t>
        </is>
      </c>
      <c r="D312" s="181" t="inlineStr">
        <is>
          <t>catha edulis</t>
        </is>
      </c>
      <c r="E312" s="181" t="n">
        <v>1</v>
      </c>
      <c r="F312" s="181" t="inlineStr">
        <is>
          <t>dopaminergic_modulation</t>
        </is>
      </c>
      <c r="G312" s="181" t="inlineStr">
        <is>
          <t>multi-target signaling modulation</t>
        </is>
      </c>
      <c r="H312" s="181" t="inlineStr">
        <is>
          <t>trusted_gov_added</t>
        </is>
      </c>
      <c r="I312" s="181" t="inlineStr">
        <is>
          <t>Integrated from cleaned high-signal dataset</t>
        </is>
      </c>
    </row>
    <row r="313">
      <c r="A313" s="181" t="inlineStr">
        <is>
          <t>nornicotine</t>
        </is>
      </c>
      <c r="B313" s="181" t="inlineStr">
        <is>
          <t>nornicotine</t>
        </is>
      </c>
      <c r="C313" s="181" t="inlineStr">
        <is>
          <t>duboisia-hopwoodii; nicotiana-rustica</t>
        </is>
      </c>
      <c r="D313" s="181" t="inlineStr">
        <is>
          <t>nicotiana rustica; pituri</t>
        </is>
      </c>
      <c r="E313" s="181" t="n">
        <v>2</v>
      </c>
      <c r="F313" s="181" t="inlineStr">
        <is>
          <t>cholinergic_modulation; dopaminergic_modulation; general or unknown targets</t>
        </is>
      </c>
      <c r="G313" s="181" t="inlineStr">
        <is>
          <t>multi-target signaling modulation; muscarinic receptor interaction</t>
        </is>
      </c>
      <c r="H313" s="181" t="inlineStr">
        <is>
          <t>inferred_plus_trusted_gov; trusted_gov_added</t>
        </is>
      </c>
      <c r="I313" s="181" t="inlineStr">
        <is>
          <t>Integrated from cleaned high-signal dataset</t>
        </is>
      </c>
    </row>
    <row r="314">
      <c r="A314" s="181" t="inlineStr">
        <is>
          <t>nuciferine</t>
        </is>
      </c>
      <c r="B314" s="181" t="inlineStr">
        <is>
          <t>nuciferine</t>
        </is>
      </c>
      <c r="C314" s="181" t="inlineStr">
        <is>
          <t>blue-lotus-nymphaea-caerulea; nelumbo-lutea; nymphaea-caerulea; nymphaea-nouchali</t>
        </is>
      </c>
      <c r="D314" s="181" t="inlineStr">
        <is>
          <t>american yellow lotus; blue lotus (nymphaea caerulea); nymphaea caerulea; nymphaea nouchali</t>
        </is>
      </c>
      <c r="E314" s="181" t="n">
        <v>4</v>
      </c>
      <c r="F314" s="181" t="inlineStr">
        <is>
          <t>dopaminergic_modulation; general or unknown targets</t>
        </is>
      </c>
      <c r="G314" s="181" t="inlineStr">
        <is>
          <t>multi-target signaling modulation</t>
        </is>
      </c>
      <c r="H314" s="181" t="inlineStr">
        <is>
          <t>inferred_plus_trusted_gov; trusted_gov_added</t>
        </is>
      </c>
      <c r="I314" s="181" t="inlineStr">
        <is>
          <t>Integrated from cleaned high-signal dataset</t>
        </is>
      </c>
    </row>
    <row r="315">
      <c r="A315" s="181" t="inlineStr">
        <is>
          <t>oleandrin</t>
        </is>
      </c>
      <c r="B315" s="181" t="inlineStr">
        <is>
          <t>oleandrin</t>
        </is>
      </c>
      <c r="C315" s="181" t="inlineStr">
        <is>
          <t>nerium-oleander</t>
        </is>
      </c>
      <c r="D315" s="181" t="inlineStr">
        <is>
          <t>nerium oleander</t>
        </is>
      </c>
      <c r="E315" s="181" t="n">
        <v>1</v>
      </c>
      <c r="F315" s="181" t="inlineStr">
        <is>
          <t>general or unknown targets</t>
        </is>
      </c>
      <c r="G315" s="181" t="inlineStr">
        <is>
          <t>multi-target signaling modulation</t>
        </is>
      </c>
      <c r="H315" s="181" t="inlineStr">
        <is>
          <t>inferred_plus_trusted_gov</t>
        </is>
      </c>
      <c r="I315" s="181" t="inlineStr">
        <is>
          <t>Integrated from cleaned high-signal dataset</t>
        </is>
      </c>
    </row>
    <row r="316">
      <c r="A316" s="181" t="inlineStr">
        <is>
          <t>osthole</t>
        </is>
      </c>
      <c r="B316" s="181" t="inlineStr">
        <is>
          <t>osthole</t>
        </is>
      </c>
      <c r="C316" s="181" t="inlineStr">
        <is>
          <t>cnidium-monnieri</t>
        </is>
      </c>
      <c r="D316" s="181" t="inlineStr">
        <is>
          <t>cnidium monnieri</t>
        </is>
      </c>
      <c r="E316" s="181" t="n">
        <v>1</v>
      </c>
      <c r="F316" s="181" t="inlineStr">
        <is>
          <t>general or unknown targets</t>
        </is>
      </c>
      <c r="G316" s="181" t="inlineStr">
        <is>
          <t>multi-target signaling modulation</t>
        </is>
      </c>
      <c r="H316" s="181" t="inlineStr">
        <is>
          <t>inferred_plus_trusted_gov</t>
        </is>
      </c>
      <c r="I316" s="181" t="inlineStr">
        <is>
          <t>Integrated from cleaned high-signal dataset</t>
        </is>
      </c>
    </row>
    <row r="317">
      <c r="A317" s="181" t="inlineStr">
        <is>
          <t>oxyacanthine</t>
        </is>
      </c>
      <c r="B317" s="181" t="inlineStr">
        <is>
          <t>oxyacanthine</t>
        </is>
      </c>
      <c r="C317" s="181" t="inlineStr">
        <is>
          <t>berberis-vulgaris</t>
        </is>
      </c>
      <c r="D317" s="181" t="inlineStr">
        <is>
          <t>berberis vulgaris</t>
        </is>
      </c>
      <c r="E317" s="181" t="n">
        <v>1</v>
      </c>
      <c r="F317" s="181" t="inlineStr">
        <is>
          <t>general or unknown targets</t>
        </is>
      </c>
      <c r="G317" s="181" t="inlineStr">
        <is>
          <t>multi-target signaling modulation</t>
        </is>
      </c>
      <c r="H317" s="181" t="inlineStr">
        <is>
          <t>inferred_plus_trusted_gov</t>
        </is>
      </c>
      <c r="I317" s="181" t="inlineStr">
        <is>
          <t>Integrated from cleaned high-signal dataset</t>
        </is>
      </c>
    </row>
    <row r="318">
      <c r="A318" s="181" t="inlineStr">
        <is>
          <t>oxyberberine</t>
        </is>
      </c>
      <c r="B318" s="181" t="inlineStr">
        <is>
          <t>oxyberberine</t>
        </is>
      </c>
      <c r="C318" s="181" t="inlineStr">
        <is>
          <t>argemone-mexicana</t>
        </is>
      </c>
      <c r="D318" s="181" t="inlineStr">
        <is>
          <t>argemone mexicana</t>
        </is>
      </c>
      <c r="E318" s="181" t="n">
        <v>1</v>
      </c>
      <c r="F318" s="181" t="inlineStr">
        <is>
          <t>general or unknown targets</t>
        </is>
      </c>
      <c r="G318" s="181" t="inlineStr">
        <is>
          <t>multi-target signaling modulation</t>
        </is>
      </c>
      <c r="H318" s="181" t="inlineStr">
        <is>
          <t>trusted_gov_added</t>
        </is>
      </c>
      <c r="I318" s="181" t="inlineStr">
        <is>
          <t>Integrated from cleaned high-signal dataset</t>
        </is>
      </c>
    </row>
    <row r="319">
      <c r="A319" s="181" t="inlineStr">
        <is>
          <t>oxymatrine</t>
        </is>
      </c>
      <c r="B319" s="181" t="inlineStr">
        <is>
          <t>oxymatrine</t>
        </is>
      </c>
      <c r="C319" s="181" t="inlineStr">
        <is>
          <t>sophora-flavescens</t>
        </is>
      </c>
      <c r="D319" s="181" t="inlineStr">
        <is>
          <t>sophora flavescens</t>
        </is>
      </c>
      <c r="E319" s="181" t="n">
        <v>1</v>
      </c>
      <c r="F319" s="181" t="inlineStr">
        <is>
          <t>general or unknown targets</t>
        </is>
      </c>
      <c r="G319" s="181" t="inlineStr">
        <is>
          <t>multi-target signaling modulation</t>
        </is>
      </c>
      <c r="H319" s="181" t="inlineStr">
        <is>
          <t>inferred_plus_trusted_gov</t>
        </is>
      </c>
      <c r="I319" s="181" t="inlineStr">
        <is>
          <t>Integrated from cleaned high-signal dataset</t>
        </is>
      </c>
    </row>
    <row r="320">
      <c r="A320" s="181" t="inlineStr">
        <is>
          <t>pachymic acid</t>
        </is>
      </c>
      <c r="B320" s="181" t="inlineStr">
        <is>
          <t>pachymic acid</t>
        </is>
      </c>
      <c r="C320" s="181" t="inlineStr">
        <is>
          <t>poria-cocos</t>
        </is>
      </c>
      <c r="D320" s="181" t="inlineStr">
        <is>
          <t>poria cocos</t>
        </is>
      </c>
      <c r="E320" s="181" t="n">
        <v>1</v>
      </c>
      <c r="F320" s="181" t="inlineStr">
        <is>
          <t>general or unknown targets</t>
        </is>
      </c>
      <c r="G320" s="181" t="inlineStr">
        <is>
          <t>multi-target signaling modulation</t>
        </is>
      </c>
      <c r="H320" s="181" t="inlineStr">
        <is>
          <t>inferred_plus_trusted_gov</t>
        </is>
      </c>
      <c r="I320" s="181" t="inlineStr">
        <is>
          <t>Integrated from cleaned high-signal dataset</t>
        </is>
      </c>
    </row>
    <row r="321">
      <c r="A321" s="181" t="inlineStr">
        <is>
          <t>palmatine</t>
        </is>
      </c>
      <c r="B321" s="181" t="inlineStr">
        <is>
          <t>palmatine</t>
        </is>
      </c>
      <c r="C321" s="181" t="inlineStr">
        <is>
          <t>coptis-chinensis; phellodendron-amurense</t>
        </is>
      </c>
      <c r="D321" s="181" t="inlineStr">
        <is>
          <t>coptis chinensis; phellodendron amurense</t>
        </is>
      </c>
      <c r="E321" s="181" t="n">
        <v>2</v>
      </c>
      <c r="F321" s="181" t="inlineStr">
        <is>
          <t>general or unknown targets</t>
        </is>
      </c>
      <c r="G321" s="181" t="inlineStr">
        <is>
          <t>multi-target signaling modulation</t>
        </is>
      </c>
      <c r="H321" s="181" t="inlineStr">
        <is>
          <t>inferred_plus_trusted_gov</t>
        </is>
      </c>
      <c r="I321" s="181" t="inlineStr">
        <is>
          <t>Integrated from cleaned high-signal dataset</t>
        </is>
      </c>
    </row>
    <row r="322">
      <c r="A322" s="181" t="inlineStr">
        <is>
          <t>palustrol</t>
        </is>
      </c>
      <c r="B322" s="181" t="inlineStr">
        <is>
          <t>palustrol</t>
        </is>
      </c>
      <c r="C322" s="181" t="inlineStr">
        <is>
          <t>rhododendron-tomentosum</t>
        </is>
      </c>
      <c r="D322" s="181" t="inlineStr">
        <is>
          <t>ledum palustre; rhododendron tomentosum</t>
        </is>
      </c>
      <c r="E322" s="181" t="n">
        <v>1</v>
      </c>
      <c r="F322" s="181" t="inlineStr">
        <is>
          <t>general or unknown targets</t>
        </is>
      </c>
      <c r="G322" s="181" t="inlineStr">
        <is>
          <t>multi-target signaling modulation</t>
        </is>
      </c>
      <c r="H322" s="181" t="inlineStr">
        <is>
          <t>inferred_plus_trusted_gov</t>
        </is>
      </c>
      <c r="I322" s="181" t="inlineStr">
        <is>
          <t>Integrated from cleaned high-signal dataset</t>
        </is>
      </c>
    </row>
    <row r="323">
      <c r="A323" s="181" t="inlineStr">
        <is>
          <t>panduratin a</t>
        </is>
      </c>
      <c r="B323" s="181" t="inlineStr">
        <is>
          <t>panduratin a</t>
        </is>
      </c>
      <c r="C323" s="181" t="inlineStr">
        <is>
          <t>boesenbergia-rotunda</t>
        </is>
      </c>
      <c r="D323" s="181" t="inlineStr">
        <is>
          <t>boesenbergia rotunda</t>
        </is>
      </c>
      <c r="E323" s="181" t="n">
        <v>1</v>
      </c>
      <c r="F323" s="181" t="inlineStr">
        <is>
          <t>general or unknown targets</t>
        </is>
      </c>
      <c r="G323" s="181" t="inlineStr">
        <is>
          <t>multi-target signaling modulation</t>
        </is>
      </c>
      <c r="H323" s="181" t="inlineStr">
        <is>
          <t>inferred_plus_trusted_gov</t>
        </is>
      </c>
      <c r="I323" s="181" t="inlineStr">
        <is>
          <t>Integrated from cleaned high-signal dataset</t>
        </is>
      </c>
    </row>
    <row r="324">
      <c r="A324" s="181" t="inlineStr">
        <is>
          <t>paniculatin</t>
        </is>
      </c>
      <c r="B324" s="181" t="inlineStr">
        <is>
          <t>paniculatin</t>
        </is>
      </c>
      <c r="C324" s="181" t="inlineStr">
        <is>
          <t>celastrus-paniculatus; celastrus-paniculatus-intellect-tree</t>
        </is>
      </c>
      <c r="D324" s="181" t="inlineStr">
        <is>
          <t>celastrus paniculatus; celastrus paniculatus (intellect tree)</t>
        </is>
      </c>
      <c r="E324" s="181" t="n">
        <v>2</v>
      </c>
      <c r="F324" s="181" t="inlineStr">
        <is>
          <t>general or unknown targets</t>
        </is>
      </c>
      <c r="G324" s="181" t="inlineStr">
        <is>
          <t>multi-target signaling modulation</t>
        </is>
      </c>
      <c r="H324" s="181" t="inlineStr">
        <is>
          <t>trusted_gov_added</t>
        </is>
      </c>
      <c r="I324" s="181" t="inlineStr">
        <is>
          <t>Integrated from cleaned high-signal dataset</t>
        </is>
      </c>
    </row>
    <row r="325">
      <c r="A325" s="181" t="inlineStr">
        <is>
          <t>papain</t>
        </is>
      </c>
      <c r="B325" s="181" t="inlineStr">
        <is>
          <t>papain</t>
        </is>
      </c>
      <c r="C325" s="181" t="inlineStr">
        <is>
          <t>carica-papaya</t>
        </is>
      </c>
      <c r="D325" s="181" t="inlineStr">
        <is>
          <t>carica papaya</t>
        </is>
      </c>
      <c r="E325" s="181" t="n">
        <v>1</v>
      </c>
      <c r="F325" s="181" t="inlineStr">
        <is>
          <t>general or unknown targets</t>
        </is>
      </c>
      <c r="G325" s="181" t="inlineStr">
        <is>
          <t>multi-target signaling modulation</t>
        </is>
      </c>
      <c r="H325" s="181" t="inlineStr">
        <is>
          <t>trusted_gov_added</t>
        </is>
      </c>
      <c r="I325" s="181" t="inlineStr">
        <is>
          <t>Integrated from cleaned high-signal dataset</t>
        </is>
      </c>
    </row>
    <row r="326">
      <c r="A326" s="181" t="inlineStr">
        <is>
          <t>pectin</t>
        </is>
      </c>
      <c r="B326" s="181" t="inlineStr">
        <is>
          <t>pectin</t>
        </is>
      </c>
      <c r="C326" s="181" t="inlineStr">
        <is>
          <t>althaea-officinalis</t>
        </is>
      </c>
      <c r="D326" s="181" t="inlineStr">
        <is>
          <t>althaea officinalis</t>
        </is>
      </c>
      <c r="E326" s="181" t="n">
        <v>1</v>
      </c>
      <c r="F326" s="181" t="inlineStr">
        <is>
          <t>general or unknown targets</t>
        </is>
      </c>
      <c r="G326" s="181" t="inlineStr">
        <is>
          <t>multi-target signaling modulation</t>
        </is>
      </c>
      <c r="H326" s="181" t="inlineStr">
        <is>
          <t>inferred_plus_trusted_gov</t>
        </is>
      </c>
      <c r="I326" s="181" t="inlineStr">
        <is>
          <t>Integrated from cleaned high-signal dataset</t>
        </is>
      </c>
    </row>
    <row r="327">
      <c r="A327" s="181" t="inlineStr">
        <is>
          <t>pellucidin a</t>
        </is>
      </c>
      <c r="B327" s="181" t="inlineStr">
        <is>
          <t>pellucidin a</t>
        </is>
      </c>
      <c r="C327" s="181" t="inlineStr">
        <is>
          <t>peperomia-pellucida</t>
        </is>
      </c>
      <c r="D327" s="181" t="inlineStr">
        <is>
          <t>peperomia pellucida</t>
        </is>
      </c>
      <c r="E327" s="181" t="n">
        <v>1</v>
      </c>
      <c r="F327" s="181" t="inlineStr">
        <is>
          <t>general or unknown targets</t>
        </is>
      </c>
      <c r="G327" s="181" t="inlineStr">
        <is>
          <t>multi-target signaling modulation</t>
        </is>
      </c>
      <c r="H327" s="181" t="inlineStr">
        <is>
          <t>inferred_plus_trusted_gov</t>
        </is>
      </c>
      <c r="I327" s="181" t="inlineStr">
        <is>
          <t>Integrated from cleaned high-signal dataset</t>
        </is>
      </c>
    </row>
    <row r="328">
      <c r="A328" s="181" t="inlineStr">
        <is>
          <t>peruvoside</t>
        </is>
      </c>
      <c r="B328" s="181" t="inlineStr">
        <is>
          <t>peruvoside</t>
        </is>
      </c>
      <c r="C328" s="181" t="inlineStr">
        <is>
          <t>thevetia-peruviana</t>
        </is>
      </c>
      <c r="D328" s="181" t="inlineStr">
        <is>
          <t>thevetia peruviana</t>
        </is>
      </c>
      <c r="E328" s="181" t="n">
        <v>1</v>
      </c>
      <c r="F328" s="181" t="inlineStr">
        <is>
          <t>general or unknown targets</t>
        </is>
      </c>
      <c r="G328" s="181" t="inlineStr">
        <is>
          <t>multi-target signaling modulation</t>
        </is>
      </c>
      <c r="H328" s="181" t="inlineStr">
        <is>
          <t>inferred_plus_trusted_gov</t>
        </is>
      </c>
      <c r="I328" s="181" t="inlineStr">
        <is>
          <t>Integrated from cleaned high-signal dataset</t>
        </is>
      </c>
    </row>
    <row r="329">
      <c r="A329" s="181" t="inlineStr">
        <is>
          <t>picrocrocin</t>
        </is>
      </c>
      <c r="B329" s="181" t="inlineStr">
        <is>
          <t>picrocrocin</t>
        </is>
      </c>
      <c r="C329" s="181" t="inlineStr">
        <is>
          <t>crocus-sativus</t>
        </is>
      </c>
      <c r="D329" s="181" t="inlineStr">
        <is>
          <t>crocus sativus</t>
        </is>
      </c>
      <c r="E329" s="181" t="n">
        <v>1</v>
      </c>
      <c r="F329" s="181" t="inlineStr">
        <is>
          <t>general or unknown targets</t>
        </is>
      </c>
      <c r="G329" s="181" t="inlineStr">
        <is>
          <t>multi-target signaling modulation</t>
        </is>
      </c>
      <c r="H329" s="181" t="inlineStr">
        <is>
          <t>trusted_gov_added</t>
        </is>
      </c>
      <c r="I329" s="181" t="inlineStr">
        <is>
          <t>Integrated from cleaned high-signal dataset</t>
        </is>
      </c>
    </row>
    <row r="330">
      <c r="A330" s="181" t="inlineStr">
        <is>
          <t>pinene</t>
        </is>
      </c>
      <c r="B330" s="181" t="inlineStr">
        <is>
          <t>pinene)</t>
        </is>
      </c>
      <c r="C330" s="181" t="inlineStr">
        <is>
          <t>cannabis-sativa</t>
        </is>
      </c>
      <c r="D330" s="181" t="inlineStr">
        <is>
          <t>cannabis sativa</t>
        </is>
      </c>
      <c r="E330" s="181" t="n">
        <v>1</v>
      </c>
      <c r="F330" s="181" t="inlineStr">
        <is>
          <t>endocannabinoid_modulation</t>
        </is>
      </c>
      <c r="G330" s="181" t="inlineStr">
        <is>
          <t>multi-target signaling modulation</t>
        </is>
      </c>
      <c r="H330" s="181" t="inlineStr">
        <is>
          <t>trusted_gov_added</t>
        </is>
      </c>
      <c r="I330" s="181" t="inlineStr">
        <is>
          <t>Integrated from cleaned high-signal dataset</t>
        </is>
      </c>
    </row>
    <row r="331">
      <c r="A331" s="181" t="inlineStr">
        <is>
          <t>pinocembrin</t>
        </is>
      </c>
      <c r="B331" s="181" t="inlineStr">
        <is>
          <t>pinocembrin</t>
        </is>
      </c>
      <c r="C331" s="181" t="inlineStr">
        <is>
          <t>boesenbergia-rotunda</t>
        </is>
      </c>
      <c r="D331" s="181" t="inlineStr">
        <is>
          <t>boesenbergia rotunda</t>
        </is>
      </c>
      <c r="E331" s="181" t="n">
        <v>1</v>
      </c>
      <c r="F331" s="181" t="inlineStr">
        <is>
          <t>general or unknown targets</t>
        </is>
      </c>
      <c r="G331" s="181" t="inlineStr">
        <is>
          <t>multi-target signaling modulation</t>
        </is>
      </c>
      <c r="H331" s="181" t="inlineStr">
        <is>
          <t>inferred_plus_trusted_gov</t>
        </is>
      </c>
      <c r="I331" s="181" t="inlineStr">
        <is>
          <t>Integrated from cleaned high-signal dataset</t>
        </is>
      </c>
    </row>
    <row r="332">
      <c r="A332" s="181" t="inlineStr">
        <is>
          <t>pinostrobin</t>
        </is>
      </c>
      <c r="B332" s="181" t="inlineStr">
        <is>
          <t>pinostrobin</t>
        </is>
      </c>
      <c r="C332" s="181" t="inlineStr">
        <is>
          <t>boesenbergia-rotunda</t>
        </is>
      </c>
      <c r="D332" s="181" t="inlineStr">
        <is>
          <t>boesenbergia rotunda</t>
        </is>
      </c>
      <c r="E332" s="181" t="n">
        <v>1</v>
      </c>
      <c r="F332" s="181" t="inlineStr">
        <is>
          <t>general or unknown targets</t>
        </is>
      </c>
      <c r="G332" s="181" t="inlineStr">
        <is>
          <t>multi-target signaling modulation</t>
        </is>
      </c>
      <c r="H332" s="181" t="inlineStr">
        <is>
          <t>inferred_plus_trusted_gov</t>
        </is>
      </c>
      <c r="I332" s="181" t="inlineStr">
        <is>
          <t>Integrated from cleaned high-signal dataset</t>
        </is>
      </c>
    </row>
    <row r="333">
      <c r="A333" s="181" t="inlineStr">
        <is>
          <t>podophyllotoxin</t>
        </is>
      </c>
      <c r="B333" s="181" t="inlineStr">
        <is>
          <t>podophyllotoxin</t>
        </is>
      </c>
      <c r="C333" s="181" t="inlineStr">
        <is>
          <t>podophyllum-peltatum</t>
        </is>
      </c>
      <c r="D333" s="181" t="inlineStr">
        <is>
          <t>podophyllum peltatum</t>
        </is>
      </c>
      <c r="E333" s="181" t="n">
        <v>1</v>
      </c>
      <c r="F333" s="181" t="inlineStr">
        <is>
          <t>general or unknown targets</t>
        </is>
      </c>
      <c r="G333" s="181" t="inlineStr">
        <is>
          <t>multi-target signaling modulation</t>
        </is>
      </c>
      <c r="H333" s="181" t="inlineStr">
        <is>
          <t>inferred_plus_trusted_gov</t>
        </is>
      </c>
      <c r="I333" s="181" t="inlineStr">
        <is>
          <t>Integrated from cleaned high-signal dataset</t>
        </is>
      </c>
    </row>
    <row r="334">
      <c r="A334" s="181" t="inlineStr">
        <is>
          <t>polygodial</t>
        </is>
      </c>
      <c r="B334" s="181" t="inlineStr">
        <is>
          <t>polygodial</t>
        </is>
      </c>
      <c r="C334" s="181" t="inlineStr">
        <is>
          <t>tasmannia-lanceolata</t>
        </is>
      </c>
      <c r="D334" s="181" t="inlineStr">
        <is>
          <t>tasmannia lanceolata</t>
        </is>
      </c>
      <c r="E334" s="181" t="n">
        <v>1</v>
      </c>
      <c r="F334" s="181" t="inlineStr">
        <is>
          <t>general or unknown targets</t>
        </is>
      </c>
      <c r="G334" s="181" t="inlineStr">
        <is>
          <t>multi-target signaling modulation</t>
        </is>
      </c>
      <c r="H334" s="181" t="inlineStr">
        <is>
          <t>inferred_plus_trusted_gov</t>
        </is>
      </c>
      <c r="I334" s="181" t="inlineStr">
        <is>
          <t>Integrated from cleaned high-signal dataset</t>
        </is>
      </c>
    </row>
    <row r="335">
      <c r="A335" s="181" t="inlineStr">
        <is>
          <t>polypeptide-p</t>
        </is>
      </c>
      <c r="B335" s="181" t="inlineStr">
        <is>
          <t>polypeptide-p</t>
        </is>
      </c>
      <c r="C335" s="181" t="inlineStr">
        <is>
          <t>momordica-charantia</t>
        </is>
      </c>
      <c r="D335" s="181" t="inlineStr">
        <is>
          <t>momordica charantia</t>
        </is>
      </c>
      <c r="E335" s="181" t="n">
        <v>1</v>
      </c>
      <c r="F335" s="181" t="inlineStr">
        <is>
          <t>general or unknown targets</t>
        </is>
      </c>
      <c r="G335" s="181" t="inlineStr">
        <is>
          <t>multi-target signaling modulation</t>
        </is>
      </c>
      <c r="H335" s="181" t="inlineStr">
        <is>
          <t>inferred_plus_trusted_gov</t>
        </is>
      </c>
      <c r="I335" s="181" t="inlineStr">
        <is>
          <t>Integrated from cleaned high-signal dataset</t>
        </is>
      </c>
    </row>
    <row r="336">
      <c r="A336" s="181" t="inlineStr">
        <is>
          <t>pristimerin</t>
        </is>
      </c>
      <c r="B336" s="181" t="inlineStr">
        <is>
          <t>pristimerin</t>
        </is>
      </c>
      <c r="C336" s="181" t="inlineStr">
        <is>
          <t>celastrus-paniculatus; celastrus-paniculatus-intellect-tree</t>
        </is>
      </c>
      <c r="D336" s="181" t="inlineStr">
        <is>
          <t>celastrus paniculatus; celastrus paniculatus (intellect tree)</t>
        </is>
      </c>
      <c r="E336" s="181" t="n">
        <v>2</v>
      </c>
      <c r="F336" s="181" t="inlineStr">
        <is>
          <t>general or unknown targets</t>
        </is>
      </c>
      <c r="G336" s="181" t="inlineStr">
        <is>
          <t>multi-target signaling modulation</t>
        </is>
      </c>
      <c r="H336" s="181" t="inlineStr">
        <is>
          <t>trusted_gov_added</t>
        </is>
      </c>
      <c r="I336" s="181" t="inlineStr">
        <is>
          <t>Integrated from cleaned high-signal dataset</t>
        </is>
      </c>
    </row>
    <row r="337">
      <c r="A337" s="181" t="inlineStr">
        <is>
          <t>protoanemonin</t>
        </is>
      </c>
      <c r="B337" s="181" t="inlineStr">
        <is>
          <t>protoanemonin</t>
        </is>
      </c>
      <c r="C337" s="181" t="inlineStr">
        <is>
          <t>clematis-vitalba</t>
        </is>
      </c>
      <c r="D337" s="181" t="inlineStr">
        <is>
          <t>clematis vitalba</t>
        </is>
      </c>
      <c r="E337" s="181" t="n">
        <v>1</v>
      </c>
      <c r="F337" s="181" t="inlineStr">
        <is>
          <t>general or unknown targets</t>
        </is>
      </c>
      <c r="G337" s="181" t="inlineStr">
        <is>
          <t>multi-target signaling modulation</t>
        </is>
      </c>
      <c r="H337" s="181" t="inlineStr">
        <is>
          <t>inferred_plus_trusted_gov</t>
        </is>
      </c>
      <c r="I337" s="181" t="inlineStr">
        <is>
          <t>Integrated from cleaned high-signal dataset</t>
        </is>
      </c>
    </row>
    <row r="338">
      <c r="A338" s="181" t="inlineStr">
        <is>
          <t>protopine</t>
        </is>
      </c>
      <c r="B338" s="181" t="inlineStr">
        <is>
          <t>protopine</t>
        </is>
      </c>
      <c r="C338" s="181" t="inlineStr">
        <is>
          <t>corydalis-cava</t>
        </is>
      </c>
      <c r="D338" s="181" t="inlineStr">
        <is>
          <t>corydalis cava</t>
        </is>
      </c>
      <c r="E338" s="181" t="n">
        <v>1</v>
      </c>
      <c r="F338" s="181" t="inlineStr">
        <is>
          <t>general or unknown targets</t>
        </is>
      </c>
      <c r="G338" s="181" t="inlineStr">
        <is>
          <t>multi-target signaling modulation</t>
        </is>
      </c>
      <c r="H338" s="181" t="inlineStr">
        <is>
          <t>inferred_plus_trusted_gov</t>
        </is>
      </c>
      <c r="I338" s="181" t="inlineStr">
        <is>
          <t>Integrated from cleaned high-signal dataset</t>
        </is>
      </c>
    </row>
    <row r="339">
      <c r="A339" s="181" t="inlineStr">
        <is>
          <t>pseudoephedrine</t>
        </is>
      </c>
      <c r="B339" s="181" t="inlineStr">
        <is>
          <t>pseudoephedrine</t>
        </is>
      </c>
      <c r="C339" s="181" t="inlineStr">
        <is>
          <t>ephedra; ephedra-sinica</t>
        </is>
      </c>
      <c r="D339" s="181" t="inlineStr">
        <is>
          <t>ephedra; ephedra sinica</t>
        </is>
      </c>
      <c r="E339" s="181" t="n">
        <v>2</v>
      </c>
      <c r="F339" s="181" t="inlineStr">
        <is>
          <t>dopaminergic_modulation; general or unknown targets</t>
        </is>
      </c>
      <c r="G339" s="181" t="inlineStr">
        <is>
          <t>multi-target signaling modulation</t>
        </is>
      </c>
      <c r="H339" s="181" t="inlineStr">
        <is>
          <t>inferred_plus_trusted_gov; trusted_gov_added</t>
        </is>
      </c>
      <c r="I339" s="181" t="inlineStr">
        <is>
          <t>Integrated from cleaned high-signal dataset</t>
        </is>
      </c>
    </row>
    <row r="340">
      <c r="A340" s="181" t="inlineStr">
        <is>
          <t>psilocin</t>
        </is>
      </c>
      <c r="B340" s="181" t="inlineStr">
        <is>
          <t>psilocin</t>
        </is>
      </c>
      <c r="C340" s="181" t="inlineStr">
        <is>
          <t>psilocybe-mexicana</t>
        </is>
      </c>
      <c r="D340" s="181" t="inlineStr">
        <is>
          <t>psilocybe mexicana</t>
        </is>
      </c>
      <c r="E340" s="181" t="n">
        <v>1</v>
      </c>
      <c r="F340" s="181" t="inlineStr">
        <is>
          <t>serotonergic_5HT2A_agonism</t>
        </is>
      </c>
      <c r="G340" s="181" t="inlineStr">
        <is>
          <t>serotonin receptor interaction</t>
        </is>
      </c>
      <c r="H340" s="181" t="inlineStr">
        <is>
          <t>inferred_plus_trusted_gov</t>
        </is>
      </c>
      <c r="I340" s="181" t="inlineStr">
        <is>
          <t>Integrated from cleaned high-signal dataset</t>
        </is>
      </c>
    </row>
    <row r="341">
      <c r="A341" s="181" t="inlineStr">
        <is>
          <t>psilocybin</t>
        </is>
      </c>
      <c r="B341" s="181" t="inlineStr">
        <is>
          <t>psilocybin</t>
        </is>
      </c>
      <c r="C341" s="181" t="inlineStr">
        <is>
          <t>psilocybe-mexicana; psilocybin</t>
        </is>
      </c>
      <c r="D341" s="181" t="inlineStr">
        <is>
          <t>psilocybe mexicana; psilocybin</t>
        </is>
      </c>
      <c r="E341" s="181" t="n">
        <v>2</v>
      </c>
      <c r="F341" s="181" t="inlineStr">
        <is>
          <t>serotonergic_5HT2A_agonism</t>
        </is>
      </c>
      <c r="G341" s="181" t="inlineStr">
        <is>
          <t>serotonin receptor interaction</t>
        </is>
      </c>
      <c r="H341" s="181" t="inlineStr">
        <is>
          <t>inferred_plus_trusted_gov</t>
        </is>
      </c>
      <c r="I341" s="181" t="inlineStr">
        <is>
          <t>Integrated from cleaned high-signal dataset</t>
        </is>
      </c>
    </row>
    <row r="342">
      <c r="A342" s="181" t="inlineStr">
        <is>
          <t>punarnavine</t>
        </is>
      </c>
      <c r="B342" s="181" t="inlineStr">
        <is>
          <t>punarnavine</t>
        </is>
      </c>
      <c r="C342" s="181" t="inlineStr">
        <is>
          <t>boerhavia-diffusa</t>
        </is>
      </c>
      <c r="D342" s="181" t="inlineStr">
        <is>
          <t>boerhavia diffusa</t>
        </is>
      </c>
      <c r="E342" s="181" t="n">
        <v>1</v>
      </c>
      <c r="F342" s="181" t="inlineStr">
        <is>
          <t>general or unknown targets</t>
        </is>
      </c>
      <c r="G342" s="181" t="inlineStr">
        <is>
          <t>multi-target signaling modulation</t>
        </is>
      </c>
      <c r="H342" s="181" t="inlineStr">
        <is>
          <t>inferred_plus_trusted_gov</t>
        </is>
      </c>
      <c r="I342" s="181" t="inlineStr">
        <is>
          <t>Integrated from cleaned high-signal dataset</t>
        </is>
      </c>
    </row>
    <row r="343">
      <c r="A343" s="181" t="inlineStr">
        <is>
          <t>quassin</t>
        </is>
      </c>
      <c r="B343" s="181" t="inlineStr">
        <is>
          <t>quassin</t>
        </is>
      </c>
      <c r="C343" s="181" t="inlineStr">
        <is>
          <t>quassia-amara</t>
        </is>
      </c>
      <c r="D343" s="181" t="inlineStr">
        <is>
          <t>quassia amara</t>
        </is>
      </c>
      <c r="E343" s="181" t="n">
        <v>1</v>
      </c>
      <c r="F343" s="181" t="inlineStr">
        <is>
          <t>general or unknown targets</t>
        </is>
      </c>
      <c r="G343" s="181" t="inlineStr">
        <is>
          <t>multi-target signaling modulation</t>
        </is>
      </c>
      <c r="H343" s="181" t="inlineStr">
        <is>
          <t>inferred_plus_trusted_gov</t>
        </is>
      </c>
      <c r="I343" s="181" t="inlineStr">
        <is>
          <t>Integrated from cleaned high-signal dataset</t>
        </is>
      </c>
    </row>
    <row r="344">
      <c r="A344" s="181" t="inlineStr">
        <is>
          <t>quebrachine</t>
        </is>
      </c>
      <c r="B344" s="181" t="inlineStr">
        <is>
          <t>quebrachine</t>
        </is>
      </c>
      <c r="C344" s="181" t="inlineStr">
        <is>
          <t>aspidosperma-quebracho-blanco</t>
        </is>
      </c>
      <c r="D344" s="181" t="inlineStr">
        <is>
          <t>aspidosperma quebracho-blanco</t>
        </is>
      </c>
      <c r="E344" s="181" t="n">
        <v>1</v>
      </c>
      <c r="F344" s="181" t="inlineStr">
        <is>
          <t>general or unknown targets</t>
        </is>
      </c>
      <c r="G344" s="181" t="inlineStr">
        <is>
          <t>multi-target signaling modulation</t>
        </is>
      </c>
      <c r="H344" s="181" t="inlineStr">
        <is>
          <t>inferred_plus_trusted_gov</t>
        </is>
      </c>
      <c r="I344" s="181" t="inlineStr">
        <is>
          <t>Integrated from cleaned high-signal dataset</t>
        </is>
      </c>
    </row>
    <row r="345">
      <c r="A345" s="181" t="inlineStr">
        <is>
          <t>quercetin</t>
        </is>
      </c>
      <c r="B345" s="181" t="inlineStr">
        <is>
          <t>quercetin</t>
        </is>
      </c>
      <c r="C345" s="181" t="inlineStr">
        <is>
          <t>amorpha-fruticosa; annona-muricata; hibiscus-sabdariffa; moringa-oleifera</t>
        </is>
      </c>
      <c r="D345" s="181" t="inlineStr">
        <is>
          <t>amorpha fruticosa; annona muricata; hibiscus sabdariffa; moringa oleifera</t>
        </is>
      </c>
      <c r="E345" s="181" t="n">
        <v>4</v>
      </c>
      <c r="F345" s="181" t="inlineStr">
        <is>
          <t>NF-kB pathway inhibition; Nrf2 pathway activation; cholinergic_modulation; general or unknown targets; xanthine oxidase inhibition</t>
        </is>
      </c>
      <c r="G345" s="181" t="inlineStr">
        <is>
          <t>multi-target signaling modulation; muscarinic receptor interaction</t>
        </is>
      </c>
      <c r="H345" s="181" t="inlineStr">
        <is>
          <t>inferred_plus_trusted_gov; trusted_gov_added</t>
        </is>
      </c>
      <c r="I345" s="181" t="inlineStr">
        <is>
          <t>Integrated from cleaned high-signal dataset; Integrated from compound monograph workbook</t>
        </is>
      </c>
    </row>
    <row r="346">
      <c r="A346" s="181" t="inlineStr">
        <is>
          <t>quercitrin</t>
        </is>
      </c>
      <c r="B346" s="181" t="inlineStr">
        <is>
          <t>quercitrin</t>
        </is>
      </c>
      <c r="C346" s="181" t="inlineStr">
        <is>
          <t>argemone-mexicana</t>
        </is>
      </c>
      <c r="D346" s="181" t="inlineStr">
        <is>
          <t>argemone mexicana</t>
        </is>
      </c>
      <c r="E346" s="181" t="n">
        <v>1</v>
      </c>
      <c r="F346" s="181" t="inlineStr">
        <is>
          <t>general or unknown targets</t>
        </is>
      </c>
      <c r="G346" s="181" t="inlineStr">
        <is>
          <t>multi-target signaling modulation</t>
        </is>
      </c>
      <c r="H346" s="181" t="inlineStr">
        <is>
          <t>trusted_gov_added</t>
        </is>
      </c>
      <c r="I346" s="181" t="inlineStr">
        <is>
          <t>Integrated from cleaned high-signal dataset</t>
        </is>
      </c>
    </row>
    <row r="347">
      <c r="A347" s="181" t="inlineStr">
        <is>
          <t>rb2</t>
        </is>
      </c>
      <c r="B347" s="181" t="inlineStr">
        <is>
          <t>rb2</t>
        </is>
      </c>
      <c r="C347" s="181" t="inlineStr">
        <is>
          <t>american-ginseng</t>
        </is>
      </c>
      <c r="D347" s="181" t="inlineStr">
        <is>
          <t>american ginseng</t>
        </is>
      </c>
      <c r="E347" s="181" t="n">
        <v>1</v>
      </c>
      <c r="F347" s="181" t="inlineStr">
        <is>
          <t>gabaergic_modulation; inflammatory_pathway_modulation</t>
        </is>
      </c>
      <c r="G347" s="181" t="inlineStr">
        <is>
          <t>GABAergic modulation</t>
        </is>
      </c>
      <c r="H347" s="181" t="inlineStr">
        <is>
          <t>trusted_gov_added</t>
        </is>
      </c>
      <c r="I347" s="181" t="inlineStr">
        <is>
          <t>Integrated from cleaned high-signal dataset</t>
        </is>
      </c>
    </row>
    <row r="348">
      <c r="A348" s="181" t="inlineStr">
        <is>
          <t>re</t>
        </is>
      </c>
      <c r="B348" s="181" t="inlineStr">
        <is>
          <t>re)</t>
        </is>
      </c>
      <c r="C348" s="181" t="inlineStr">
        <is>
          <t>panax-quinquefolius</t>
        </is>
      </c>
      <c r="D348" s="181" t="inlineStr">
        <is>
          <t>panax quinquefolius</t>
        </is>
      </c>
      <c r="E348" s="181" t="n">
        <v>1</v>
      </c>
      <c r="F348" s="181" t="inlineStr">
        <is>
          <t>general or unknown targets</t>
        </is>
      </c>
      <c r="G348" s="181" t="inlineStr">
        <is>
          <t>multi-target signaling modulation</t>
        </is>
      </c>
      <c r="H348" s="181" t="inlineStr">
        <is>
          <t>inferred_plus_trusted_gov</t>
        </is>
      </c>
      <c r="I348" s="181" t="inlineStr">
        <is>
          <t>Integrated from cleaned high-signal dataset</t>
        </is>
      </c>
    </row>
    <row r="349">
      <c r="A349" s="181" t="inlineStr">
        <is>
          <t>reserpine</t>
        </is>
      </c>
      <c r="B349" s="181" t="inlineStr">
        <is>
          <t>reserpine</t>
        </is>
      </c>
      <c r="C349" s="181" t="inlineStr">
        <is>
          <t>rauvolfia-serpentina; rauvolfia-vomitoria</t>
        </is>
      </c>
      <c r="D349" s="181" t="inlineStr">
        <is>
          <t>rauvolfia serpentina; rauvolfia vomitoria</t>
        </is>
      </c>
      <c r="E349" s="181" t="n">
        <v>2</v>
      </c>
      <c r="F349" s="181" t="inlineStr">
        <is>
          <t>general or unknown targets</t>
        </is>
      </c>
      <c r="G349" s="181" t="inlineStr">
        <is>
          <t>multi-target signaling modulation</t>
        </is>
      </c>
      <c r="H349" s="181" t="inlineStr">
        <is>
          <t>inferred_plus_trusted_gov</t>
        </is>
      </c>
      <c r="I349" s="181" t="inlineStr">
        <is>
          <t>Integrated from cleaned high-signal dataset</t>
        </is>
      </c>
    </row>
    <row r="350">
      <c r="A350" s="181" t="inlineStr">
        <is>
          <t>rg1</t>
        </is>
      </c>
      <c r="B350" s="181" t="inlineStr">
        <is>
          <t>rg1)</t>
        </is>
      </c>
      <c r="C350" s="181" t="inlineStr">
        <is>
          <t>american-ginseng</t>
        </is>
      </c>
      <c r="D350" s="181" t="inlineStr">
        <is>
          <t>american ginseng</t>
        </is>
      </c>
      <c r="E350" s="181" t="n">
        <v>1</v>
      </c>
      <c r="F350" s="181" t="inlineStr">
        <is>
          <t>gabaergic_modulation; inflammatory_pathway_modulation</t>
        </is>
      </c>
      <c r="G350" s="181" t="inlineStr">
        <is>
          <t>GABAergic modulation</t>
        </is>
      </c>
      <c r="H350" s="181" t="inlineStr">
        <is>
          <t>trusted_gov_added</t>
        </is>
      </c>
      <c r="I350" s="181" t="inlineStr">
        <is>
          <t>Integrated from cleaned high-signal dataset</t>
        </is>
      </c>
    </row>
    <row r="351">
      <c r="A351" s="181" t="inlineStr">
        <is>
          <t>ricin</t>
        </is>
      </c>
      <c r="B351" s="181" t="inlineStr">
        <is>
          <t>ricin</t>
        </is>
      </c>
      <c r="C351" s="181" t="inlineStr">
        <is>
          <t>ricinus-communis</t>
        </is>
      </c>
      <c r="D351" s="181" t="inlineStr">
        <is>
          <t>ricinus communis</t>
        </is>
      </c>
      <c r="E351" s="181" t="n">
        <v>1</v>
      </c>
      <c r="F351" s="181" t="inlineStr">
        <is>
          <t>general or unknown targets</t>
        </is>
      </c>
      <c r="G351" s="181" t="inlineStr">
        <is>
          <t>multi-target signaling modulation</t>
        </is>
      </c>
      <c r="H351" s="181" t="inlineStr">
        <is>
          <t>inferred_plus_trusted_gov</t>
        </is>
      </c>
      <c r="I351" s="181" t="inlineStr">
        <is>
          <t>Integrated from cleaned high-signal dataset</t>
        </is>
      </c>
    </row>
    <row r="352">
      <c r="A352" s="181" t="inlineStr">
        <is>
          <t>ricinoleic acid</t>
        </is>
      </c>
      <c r="B352" s="181" t="inlineStr">
        <is>
          <t>ricinoleic acid</t>
        </is>
      </c>
      <c r="C352" s="181" t="inlineStr">
        <is>
          <t>ricinus-communis</t>
        </is>
      </c>
      <c r="D352" s="181" t="inlineStr">
        <is>
          <t>ricinus communis</t>
        </is>
      </c>
      <c r="E352" s="181" t="n">
        <v>1</v>
      </c>
      <c r="F352" s="181" t="inlineStr">
        <is>
          <t>general or unknown targets</t>
        </is>
      </c>
      <c r="G352" s="181" t="inlineStr">
        <is>
          <t>multi-target signaling modulation</t>
        </is>
      </c>
      <c r="H352" s="181" t="inlineStr">
        <is>
          <t>inferred_plus_trusted_gov</t>
        </is>
      </c>
      <c r="I352" s="181" t="inlineStr">
        <is>
          <t>Integrated from cleaned high-signal dataset</t>
        </is>
      </c>
    </row>
    <row r="353">
      <c r="A353" s="181" t="inlineStr">
        <is>
          <t>roemerine</t>
        </is>
      </c>
      <c r="B353" s="181" t="inlineStr">
        <is>
          <t>roemerine</t>
        </is>
      </c>
      <c r="C353" s="181" t="inlineStr">
        <is>
          <t>nelumbo-lutea</t>
        </is>
      </c>
      <c r="D353" s="181" t="inlineStr">
        <is>
          <t>american yellow lotus</t>
        </is>
      </c>
      <c r="E353" s="181" t="n">
        <v>1</v>
      </c>
      <c r="F353" s="181" t="inlineStr">
        <is>
          <t>general or unknown targets</t>
        </is>
      </c>
      <c r="G353" s="181" t="inlineStr">
        <is>
          <t>multi-target signaling modulation</t>
        </is>
      </c>
      <c r="H353" s="181" t="inlineStr">
        <is>
          <t>trusted_gov_added</t>
        </is>
      </c>
      <c r="I353" s="181" t="inlineStr">
        <is>
          <t>Integrated from cleaned high-signal dataset</t>
        </is>
      </c>
    </row>
    <row r="354">
      <c r="A354" s="181" t="inlineStr">
        <is>
          <t>rosavin</t>
        </is>
      </c>
      <c r="B354" s="181" t="inlineStr">
        <is>
          <t>rosavin</t>
        </is>
      </c>
      <c r="C354" s="181" t="inlineStr">
        <is>
          <t>rhodiola</t>
        </is>
      </c>
      <c r="D354" s="181" t="inlineStr">
        <is>
          <t>rhodiola</t>
        </is>
      </c>
      <c r="E354" s="181" t="n">
        <v>1</v>
      </c>
      <c r="F354" s="181" t="inlineStr">
        <is>
          <t>general or unknown targets</t>
        </is>
      </c>
      <c r="G354" s="181" t="inlineStr">
        <is>
          <t>multi-target signaling modulation</t>
        </is>
      </c>
      <c r="H354" s="181" t="inlineStr">
        <is>
          <t>inferred_plus_trusted_gov</t>
        </is>
      </c>
      <c r="I354" s="181" t="inlineStr">
        <is>
          <t>Integrated from cleaned high-signal dataset</t>
        </is>
      </c>
    </row>
    <row r="355">
      <c r="A355" s="181" t="inlineStr">
        <is>
          <t>rosmarinic acid</t>
        </is>
      </c>
      <c r="B355" s="181" t="inlineStr">
        <is>
          <t>rosmarinic acid</t>
        </is>
      </c>
      <c r="C355" s="181" t="inlineStr">
        <is>
          <t>dracocephalum-moldavica; glechoma-hederacea; melissa-officinalis; melissa-officinalis-lemon-balm; mentha-piperita; nepeta-cataria; ocimum-sanctum; prunella-vulgaris; rosmarinus-officinalis; salvia-officinalis; symphytum-officinale; tulsi</t>
        </is>
      </c>
      <c r="D355" s="181" t="inlineStr">
        <is>
          <t>catnip; dracocephalum moldavica; glechoma hederacea; holy basil; lemon balm; melissa officinalis; melissa officinalis (lemon balm); ocimum sanctum; peppermint; prunella vulgaris; rosmarinus officinalis; salvia officinalis; symphytum officinale; tulsi</t>
        </is>
      </c>
      <c r="E355" s="181" t="n">
        <v>12</v>
      </c>
      <c r="F355" s="181" t="inlineStr">
        <is>
          <t>gabaergic_modulation; general or unknown targets; inflammatory_pathway_modulation</t>
        </is>
      </c>
      <c r="G355" s="181" t="inlineStr">
        <is>
          <t>COX/NF-kB inhibition; GABAergic modulation; multi-target signaling modulation</t>
        </is>
      </c>
      <c r="H355" s="181" t="inlineStr">
        <is>
          <t>inferred_plus_trusted_gov; trusted_gov_added</t>
        </is>
      </c>
      <c r="I355" s="181" t="inlineStr">
        <is>
          <t>Integrated from cleaned high-signal dataset</t>
        </is>
      </c>
    </row>
    <row r="356">
      <c r="A356" s="181" t="inlineStr">
        <is>
          <t>rutaecarpine</t>
        </is>
      </c>
      <c r="B356" s="181" t="inlineStr">
        <is>
          <t>rutaecarpine</t>
        </is>
      </c>
      <c r="C356" s="181" t="inlineStr">
        <is>
          <t>tetradium-ruticarpum</t>
        </is>
      </c>
      <c r="D356" s="181" t="inlineStr">
        <is>
          <t>tetradium ruticarpum</t>
        </is>
      </c>
      <c r="E356" s="181" t="n">
        <v>1</v>
      </c>
      <c r="F356" s="181" t="inlineStr">
        <is>
          <t>general or unknown targets</t>
        </is>
      </c>
      <c r="G356" s="181" t="inlineStr">
        <is>
          <t>multi-target signaling modulation</t>
        </is>
      </c>
      <c r="H356" s="181" t="inlineStr">
        <is>
          <t>inferred_plus_trusted_gov</t>
        </is>
      </c>
      <c r="I356" s="181" t="inlineStr">
        <is>
          <t>Integrated from cleaned high-signal dataset</t>
        </is>
      </c>
    </row>
    <row r="357">
      <c r="A357" s="181" t="inlineStr">
        <is>
          <t>rutin</t>
        </is>
      </c>
      <c r="B357" s="181" t="inlineStr">
        <is>
          <t>rutin</t>
        </is>
      </c>
      <c r="C357" s="181" t="inlineStr">
        <is>
          <t>amorpha-fruticosa; ruta-chalepensis</t>
        </is>
      </c>
      <c r="D357" s="181" t="inlineStr">
        <is>
          <t>amorpha fruticosa; ruta chalepensis</t>
        </is>
      </c>
      <c r="E357" s="181" t="n">
        <v>2</v>
      </c>
      <c r="F357" s="181" t="inlineStr">
        <is>
          <t>cholinergic_modulation; general or unknown targets</t>
        </is>
      </c>
      <c r="G357" s="181" t="inlineStr">
        <is>
          <t>multi-target signaling modulation; muscarinic receptor interaction</t>
        </is>
      </c>
      <c r="H357" s="181" t="inlineStr">
        <is>
          <t>inferred_plus_trusted_gov; trusted_gov_added</t>
        </is>
      </c>
      <c r="I357" s="181" t="inlineStr">
        <is>
          <t>Integrated from cleaned high-signal dataset</t>
        </is>
      </c>
    </row>
    <row r="358">
      <c r="A358" s="181" t="inlineStr">
        <is>
          <t>safranal</t>
        </is>
      </c>
      <c r="B358" s="181" t="inlineStr">
        <is>
          <t>safranal</t>
        </is>
      </c>
      <c r="C358" s="181" t="inlineStr">
        <is>
          <t>crocus-sativus</t>
        </is>
      </c>
      <c r="D358" s="181" t="inlineStr">
        <is>
          <t>crocus sativus</t>
        </is>
      </c>
      <c r="E358" s="181" t="n">
        <v>1</v>
      </c>
      <c r="F358" s="181" t="inlineStr">
        <is>
          <t>general or unknown targets</t>
        </is>
      </c>
      <c r="G358" s="181" t="inlineStr">
        <is>
          <t>multi-target signaling modulation</t>
        </is>
      </c>
      <c r="H358" s="181" t="inlineStr">
        <is>
          <t>trusted_gov_added</t>
        </is>
      </c>
      <c r="I358" s="181" t="inlineStr">
        <is>
          <t>Integrated from cleaned high-signal dataset</t>
        </is>
      </c>
    </row>
    <row r="359">
      <c r="A359" s="181" t="inlineStr">
        <is>
          <t>safrole</t>
        </is>
      </c>
      <c r="B359" s="181" t="inlineStr">
        <is>
          <t>safrole</t>
        </is>
      </c>
      <c r="C359" s="181" t="inlineStr">
        <is>
          <t>piper-auritum</t>
        </is>
      </c>
      <c r="D359" s="181" t="inlineStr">
        <is>
          <t>piper auritum</t>
        </is>
      </c>
      <c r="E359" s="181" t="n">
        <v>1</v>
      </c>
      <c r="F359" s="181" t="inlineStr">
        <is>
          <t>general or unknown targets</t>
        </is>
      </c>
      <c r="G359" s="181" t="inlineStr">
        <is>
          <t>multi-target signaling modulation</t>
        </is>
      </c>
      <c r="H359" s="181" t="inlineStr">
        <is>
          <t>inferred_plus_trusted_gov</t>
        </is>
      </c>
      <c r="I359" s="181" t="inlineStr">
        <is>
          <t>Integrated from cleaned high-signal dataset</t>
        </is>
      </c>
    </row>
    <row r="360">
      <c r="A360" s="181" t="inlineStr">
        <is>
          <t>salacinol</t>
        </is>
      </c>
      <c r="B360" s="181" t="inlineStr">
        <is>
          <t>salacinol</t>
        </is>
      </c>
      <c r="C360" s="181" t="inlineStr">
        <is>
          <t>salacia-reticulata</t>
        </is>
      </c>
      <c r="D360" s="181" t="inlineStr">
        <is>
          <t>salacia reticulata</t>
        </is>
      </c>
      <c r="E360" s="181" t="n">
        <v>1</v>
      </c>
      <c r="F360" s="181" t="inlineStr">
        <is>
          <t>general or unknown targets</t>
        </is>
      </c>
      <c r="G360" s="181" t="inlineStr">
        <is>
          <t>multi-target signaling modulation</t>
        </is>
      </c>
      <c r="H360" s="181" t="inlineStr">
        <is>
          <t>inferred_plus_trusted_gov</t>
        </is>
      </c>
      <c r="I360" s="181" t="inlineStr">
        <is>
          <t>Integrated from cleaned high-signal dataset</t>
        </is>
      </c>
    </row>
    <row r="361">
      <c r="A361" s="181" t="inlineStr">
        <is>
          <t>salicin</t>
        </is>
      </c>
      <c r="B361" s="181" t="inlineStr">
        <is>
          <t>salicin</t>
        </is>
      </c>
      <c r="C361" s="181" t="inlineStr">
        <is>
          <t>salix-alba; viburnum-opulus</t>
        </is>
      </c>
      <c r="D361" s="181" t="inlineStr">
        <is>
          <t>salix alba; viburnum opulus</t>
        </is>
      </c>
      <c r="E361" s="181" t="n">
        <v>2</v>
      </c>
      <c r="F361" s="181" t="inlineStr">
        <is>
          <t>general or unknown targets</t>
        </is>
      </c>
      <c r="G361" s="181" t="inlineStr">
        <is>
          <t>multi-target signaling modulation</t>
        </is>
      </c>
      <c r="H361" s="181" t="inlineStr">
        <is>
          <t>inferred_plus_trusted_gov</t>
        </is>
      </c>
      <c r="I361" s="181" t="inlineStr">
        <is>
          <t>Integrated from cleaned high-signal dataset</t>
        </is>
      </c>
    </row>
    <row r="362">
      <c r="A362" s="181" t="inlineStr">
        <is>
          <t>salicylic acid</t>
        </is>
      </c>
      <c r="B362" s="181" t="inlineStr">
        <is>
          <t>salicylic acid</t>
        </is>
      </c>
      <c r="C362" s="181" t="inlineStr">
        <is>
          <t>alchemilla-vulgaris</t>
        </is>
      </c>
      <c r="D362" s="181" t="inlineStr">
        <is>
          <t>alchemilla vulgaris</t>
        </is>
      </c>
      <c r="E362" s="181" t="n">
        <v>1</v>
      </c>
      <c r="F362" s="181" t="inlineStr">
        <is>
          <t>PTGS1, PTGS2 (COX-1, COX-2)</t>
        </is>
      </c>
      <c r="G362" s="181" t="inlineStr">
        <is>
          <t>cox inhibition</t>
        </is>
      </c>
      <c r="H362" s="181" t="inlineStr">
        <is>
          <t>inferred_plus_trusted_gov</t>
        </is>
      </c>
      <c r="I362" s="181" t="inlineStr">
        <is>
          <t>Integrated from cleaned high-signal dataset</t>
        </is>
      </c>
    </row>
    <row r="363">
      <c r="A363" s="181" t="inlineStr">
        <is>
          <t>salidroside</t>
        </is>
      </c>
      <c r="B363" s="181" t="inlineStr">
        <is>
          <t>salidroside</t>
        </is>
      </c>
      <c r="C363" s="181" t="inlineStr">
        <is>
          <t>rhodiola; rhodiola-rosea</t>
        </is>
      </c>
      <c r="D363" s="181" t="inlineStr">
        <is>
          <t>rhodiola; rhodiola rosea</t>
        </is>
      </c>
      <c r="E363" s="181" t="n">
        <v>2</v>
      </c>
      <c r="F363" s="181" t="inlineStr">
        <is>
          <t>AMPK activation; Nrf2/ARE pathway activation; PI3K/Akt pathway modulation; general or unknown targets</t>
        </is>
      </c>
      <c r="G363" s="181" t="inlineStr">
        <is>
          <t>multi-target signaling modulation</t>
        </is>
      </c>
      <c r="H363" s="181" t="inlineStr">
        <is>
          <t>inferred_plus_trusted_gov; trusted_gov_added</t>
        </is>
      </c>
      <c r="I363" s="181" t="inlineStr">
        <is>
          <t>Integrated from cleaned high-signal dataset; Integrated from compound monograph workbook</t>
        </is>
      </c>
    </row>
    <row r="364">
      <c r="A364" s="181" t="inlineStr">
        <is>
          <t>salvinorin a</t>
        </is>
      </c>
      <c r="B364" s="181" t="inlineStr">
        <is>
          <t>salvinorin a</t>
        </is>
      </c>
      <c r="C364" s="181" t="inlineStr">
        <is>
          <t>salvia-divinorum</t>
        </is>
      </c>
      <c r="D364" s="181" t="inlineStr">
        <is>
          <t>salvia divinorum</t>
        </is>
      </c>
      <c r="E364" s="181" t="n">
        <v>1</v>
      </c>
      <c r="F364" s="181" t="inlineStr">
        <is>
          <t>general or unknown targets</t>
        </is>
      </c>
      <c r="G364" s="181" t="inlineStr">
        <is>
          <t>multi-target signaling modulation</t>
        </is>
      </c>
      <c r="H364" s="181" t="inlineStr">
        <is>
          <t>inferred_plus_trusted_gov</t>
        </is>
      </c>
      <c r="I364" s="181" t="inlineStr">
        <is>
          <t>Integrated from cleaned high-signal dataset</t>
        </is>
      </c>
    </row>
    <row r="365">
      <c r="A365" s="181" t="inlineStr">
        <is>
          <t>sambunigrin</t>
        </is>
      </c>
      <c r="B365" s="181" t="inlineStr">
        <is>
          <t>sambunigrin</t>
        </is>
      </c>
      <c r="C365" s="181" t="inlineStr">
        <is>
          <t>sambucus-nigra</t>
        </is>
      </c>
      <c r="D365" s="181" t="inlineStr">
        <is>
          <t>sambucus nigra</t>
        </is>
      </c>
      <c r="E365" s="181" t="n">
        <v>1</v>
      </c>
      <c r="F365" s="181" t="inlineStr">
        <is>
          <t>general or unknown targets</t>
        </is>
      </c>
      <c r="G365" s="181" t="inlineStr">
        <is>
          <t>multi-target signaling modulation</t>
        </is>
      </c>
      <c r="H365" s="181" t="inlineStr">
        <is>
          <t>inferred_plus_trusted_gov</t>
        </is>
      </c>
      <c r="I365" s="181" t="inlineStr">
        <is>
          <t>Integrated from cleaned high-signal dataset</t>
        </is>
      </c>
    </row>
    <row r="366">
      <c r="A366" s="181" t="inlineStr">
        <is>
          <t>sanguinarine</t>
        </is>
      </c>
      <c r="B366" s="181" t="inlineStr">
        <is>
          <t>sanguinarine</t>
        </is>
      </c>
      <c r="C366" s="181" t="inlineStr">
        <is>
          <t>sanguinaria-canadensis</t>
        </is>
      </c>
      <c r="D366" s="181" t="inlineStr">
        <is>
          <t>sanguinaria canadensis</t>
        </is>
      </c>
      <c r="E366" s="181" t="n">
        <v>1</v>
      </c>
      <c r="F366" s="181" t="inlineStr">
        <is>
          <t>general or unknown targets</t>
        </is>
      </c>
      <c r="G366" s="181" t="inlineStr">
        <is>
          <t>multi-target signaling modulation</t>
        </is>
      </c>
      <c r="H366" s="181" t="inlineStr">
        <is>
          <t>inferred_plus_trusted_gov</t>
        </is>
      </c>
      <c r="I366" s="181" t="inlineStr">
        <is>
          <t>Integrated from cleaned high-signal dataset</t>
        </is>
      </c>
    </row>
    <row r="367">
      <c r="A367" s="181" t="inlineStr">
        <is>
          <t>saponins hederacoside</t>
        </is>
      </c>
      <c r="B367" s="181" t="inlineStr">
        <is>
          <t>saponins (hederacoside)</t>
        </is>
      </c>
      <c r="C367" s="181" t="inlineStr">
        <is>
          <t>hedera-helix</t>
        </is>
      </c>
      <c r="D367" s="181" t="inlineStr">
        <is>
          <t>hedera helix</t>
        </is>
      </c>
      <c r="E367" s="181" t="n">
        <v>1</v>
      </c>
      <c r="F367" s="181" t="inlineStr">
        <is>
          <t>general or unknown targets</t>
        </is>
      </c>
      <c r="G367" s="181" t="inlineStr">
        <is>
          <t>multi-target signaling modulation</t>
        </is>
      </c>
      <c r="H367" s="181" t="inlineStr">
        <is>
          <t>inferred_plus_trusted_gov</t>
        </is>
      </c>
      <c r="I367" s="181" t="inlineStr">
        <is>
          <t>Integrated from cleaned high-signal dataset</t>
        </is>
      </c>
    </row>
    <row r="368">
      <c r="A368" s="181" t="inlineStr">
        <is>
          <t>sarsaponin</t>
        </is>
      </c>
      <c r="B368" s="181" t="inlineStr">
        <is>
          <t>sarsaponin</t>
        </is>
      </c>
      <c r="C368" s="181" t="inlineStr">
        <is>
          <t>smilax-ornata</t>
        </is>
      </c>
      <c r="D368" s="181" t="inlineStr">
        <is>
          <t>smilax ornata</t>
        </is>
      </c>
      <c r="E368" s="181" t="n">
        <v>1</v>
      </c>
      <c r="F368" s="181" t="inlineStr">
        <is>
          <t>general or unknown targets</t>
        </is>
      </c>
      <c r="G368" s="181" t="inlineStr">
        <is>
          <t>multi-target signaling modulation</t>
        </is>
      </c>
      <c r="H368" s="181" t="inlineStr">
        <is>
          <t>inferred_plus_trusted_gov</t>
        </is>
      </c>
      <c r="I368" s="181" t="inlineStr">
        <is>
          <t>Integrated from cleaned high-signal dataset</t>
        </is>
      </c>
    </row>
    <row r="369">
      <c r="A369" s="181" t="inlineStr">
        <is>
          <t>schisandrin</t>
        </is>
      </c>
      <c r="B369" s="181" t="inlineStr">
        <is>
          <t>schisandrin</t>
        </is>
      </c>
      <c r="C369" s="181" t="inlineStr">
        <is>
          <t>schisandra-chinensis</t>
        </is>
      </c>
      <c r="D369" s="181" t="inlineStr">
        <is>
          <t>schisandra chinensis</t>
        </is>
      </c>
      <c r="E369" s="181" t="n">
        <v>1</v>
      </c>
      <c r="F369" s="181" t="inlineStr">
        <is>
          <t>general or unknown targets</t>
        </is>
      </c>
      <c r="G369" s="181" t="inlineStr">
        <is>
          <t>multi-target signaling modulation</t>
        </is>
      </c>
      <c r="H369" s="181" t="inlineStr">
        <is>
          <t>inferred_plus_trusted_gov</t>
        </is>
      </c>
      <c r="I369" s="181" t="inlineStr">
        <is>
          <t>Integrated from cleaned high-signal dataset</t>
        </is>
      </c>
    </row>
    <row r="370">
      <c r="A370" s="181" t="inlineStr">
        <is>
          <t>scopadulcic acid</t>
        </is>
      </c>
      <c r="B370" s="181" t="inlineStr">
        <is>
          <t>scopadulcic acid</t>
        </is>
      </c>
      <c r="C370" s="181" t="inlineStr">
        <is>
          <t>scoparia-dulcis</t>
        </is>
      </c>
      <c r="D370" s="181" t="inlineStr">
        <is>
          <t>scoparia dulcis</t>
        </is>
      </c>
      <c r="E370" s="181" t="n">
        <v>1</v>
      </c>
      <c r="F370" s="181" t="inlineStr">
        <is>
          <t>general or unknown targets</t>
        </is>
      </c>
      <c r="G370" s="181" t="inlineStr">
        <is>
          <t>multi-target signaling modulation</t>
        </is>
      </c>
      <c r="H370" s="181" t="inlineStr">
        <is>
          <t>inferred_plus_trusted_gov</t>
        </is>
      </c>
      <c r="I370" s="181" t="inlineStr">
        <is>
          <t>Integrated from cleaned high-signal dataset</t>
        </is>
      </c>
    </row>
    <row r="371">
      <c r="A371" s="181" t="inlineStr">
        <is>
          <t>scoparin</t>
        </is>
      </c>
      <c r="B371" s="181" t="inlineStr">
        <is>
          <t>scoparin</t>
        </is>
      </c>
      <c r="C371" s="181" t="inlineStr">
        <is>
          <t>scoparia-dulcis</t>
        </is>
      </c>
      <c r="D371" s="181" t="inlineStr">
        <is>
          <t>scoparia dulcis</t>
        </is>
      </c>
      <c r="E371" s="181" t="n">
        <v>1</v>
      </c>
      <c r="F371" s="181" t="inlineStr">
        <is>
          <t>general or unknown targets</t>
        </is>
      </c>
      <c r="G371" s="181" t="inlineStr">
        <is>
          <t>multi-target signaling modulation</t>
        </is>
      </c>
      <c r="H371" s="181" t="inlineStr">
        <is>
          <t>inferred_plus_trusted_gov</t>
        </is>
      </c>
      <c r="I371" s="181" t="inlineStr">
        <is>
          <t>Integrated from cleaned high-signal dataset</t>
        </is>
      </c>
    </row>
    <row r="372">
      <c r="A372" s="181" t="inlineStr">
        <is>
          <t>scopolamine</t>
        </is>
      </c>
      <c r="B372" s="181" t="inlineStr">
        <is>
          <t>scopolamine</t>
        </is>
      </c>
      <c r="C372" s="181" t="inlineStr">
        <is>
          <t>atropa-belladonna; brugmansia; brugmansia-sanguinea; brugmansia-suaveolens; datura-ferox; datura-stramonium; datura-wrightii; duboisia-myoporoides; hyoscyamus-niger; mandragora-officinarum; scopolia-carniolica; solandra-maxima</t>
        </is>
      </c>
      <c r="D372" s="181" t="inlineStr">
        <is>
          <t>atropa belladonna; brugmansia; brugmansia sanguinea; brugmansia suaveolens; datura ferox; datura stramonium; datura wrightii; duboisia myoporoides; european mandrake; hyoscyamus niger; mandrake; scopolia carniolica; solandra maxima</t>
        </is>
      </c>
      <c r="E372" s="181" t="n">
        <v>12</v>
      </c>
      <c r="F372" s="181" t="inlineStr">
        <is>
          <t>CHRM1, CHRM2 (muscarinic receptors); cholinergic_modulation</t>
        </is>
      </c>
      <c r="G372" s="181" t="inlineStr">
        <is>
          <t>muscarinic receptor interaction</t>
        </is>
      </c>
      <c r="H372" s="181" t="inlineStr">
        <is>
          <t>citation_or_url_present; inferred_plus_trusted_gov; trusted_gov_added</t>
        </is>
      </c>
      <c r="I372" s="181" t="inlineStr">
        <is>
          <t>Integrated from cleaned high-signal dataset</t>
        </is>
      </c>
    </row>
    <row r="373">
      <c r="A373" s="181" t="inlineStr">
        <is>
          <t>scopoletin</t>
        </is>
      </c>
      <c r="B373" s="181" t="inlineStr">
        <is>
          <t>scopoletin</t>
        </is>
      </c>
      <c r="C373" s="181" t="inlineStr">
        <is>
          <t>morinda-citrifolia</t>
        </is>
      </c>
      <c r="D373" s="181" t="inlineStr">
        <is>
          <t>morinda citrifolia</t>
        </is>
      </c>
      <c r="E373" s="181" t="n">
        <v>1</v>
      </c>
      <c r="F373" s="181" t="inlineStr">
        <is>
          <t>general or unknown targets</t>
        </is>
      </c>
      <c r="G373" s="181" t="inlineStr">
        <is>
          <t>multi-target signaling modulation</t>
        </is>
      </c>
      <c r="H373" s="181" t="inlineStr">
        <is>
          <t>inferred_plus_trusted_gov</t>
        </is>
      </c>
      <c r="I373" s="181" t="inlineStr">
        <is>
          <t>Integrated from cleaned high-signal dataset</t>
        </is>
      </c>
    </row>
    <row r="374">
      <c r="A374" s="181" t="inlineStr">
        <is>
          <t>scutellarin</t>
        </is>
      </c>
      <c r="B374" s="181" t="inlineStr">
        <is>
          <t>scutellarin</t>
        </is>
      </c>
      <c r="C374" s="181" t="inlineStr">
        <is>
          <t>scutellaria-lateriflora</t>
        </is>
      </c>
      <c r="D374" s="181" t="inlineStr">
        <is>
          <t>scutellaria lateriflora</t>
        </is>
      </c>
      <c r="E374" s="181" t="n">
        <v>1</v>
      </c>
      <c r="F374" s="181" t="inlineStr">
        <is>
          <t>gabaergic_modulation</t>
        </is>
      </c>
      <c r="G374" s="181" t="inlineStr">
        <is>
          <t>GABAergic modulation</t>
        </is>
      </c>
      <c r="H374" s="181" t="inlineStr">
        <is>
          <t>trusted_gov_added</t>
        </is>
      </c>
      <c r="I374" s="181" t="inlineStr">
        <is>
          <t>Integrated from cleaned high-signal dataset</t>
        </is>
      </c>
    </row>
    <row r="375">
      <c r="A375" s="181" t="inlineStr">
        <is>
          <t>sempervirine</t>
        </is>
      </c>
      <c r="B375" s="181" t="inlineStr">
        <is>
          <t>sempervirine</t>
        </is>
      </c>
      <c r="C375" s="181" t="inlineStr">
        <is>
          <t>carolina-jessamine</t>
        </is>
      </c>
      <c r="D375" s="181" t="inlineStr">
        <is>
          <t>carolina jessamine</t>
        </is>
      </c>
      <c r="E375" s="181" t="n">
        <v>1</v>
      </c>
      <c r="F375" s="181" t="inlineStr">
        <is>
          <t>general or unknown targets</t>
        </is>
      </c>
      <c r="G375" s="181" t="inlineStr">
        <is>
          <t>multi-target signaling modulation</t>
        </is>
      </c>
      <c r="H375" s="181" t="inlineStr">
        <is>
          <t>trusted_gov_added</t>
        </is>
      </c>
      <c r="I375" s="181" t="inlineStr">
        <is>
          <t>Integrated from cleaned high-signal dataset</t>
        </is>
      </c>
    </row>
    <row r="376">
      <c r="A376" s="181" t="inlineStr">
        <is>
          <t>serotonin</t>
        </is>
      </c>
      <c r="B376" s="181" t="inlineStr">
        <is>
          <t>serotonin</t>
        </is>
      </c>
      <c r="C376" s="181" t="inlineStr">
        <is>
          <t>urtica-dioica</t>
        </is>
      </c>
      <c r="D376" s="181" t="inlineStr">
        <is>
          <t>urtica dioica</t>
        </is>
      </c>
      <c r="E376" s="181" t="n">
        <v>1</v>
      </c>
      <c r="F376" s="181" t="inlineStr">
        <is>
          <t>HTR1A, HTR2A (serotonin receptors)</t>
        </is>
      </c>
      <c r="G376" s="181" t="inlineStr">
        <is>
          <t>serotonergic modulation</t>
        </is>
      </c>
      <c r="H376" s="181" t="inlineStr">
        <is>
          <t>trusted_gov_added</t>
        </is>
      </c>
      <c r="I376" s="181" t="inlineStr">
        <is>
          <t>Integrated from cleaned high-signal dataset</t>
        </is>
      </c>
    </row>
    <row r="377">
      <c r="A377" s="181" t="inlineStr">
        <is>
          <t>serpentine</t>
        </is>
      </c>
      <c r="B377" s="181" t="inlineStr">
        <is>
          <t>serpentine</t>
        </is>
      </c>
      <c r="C377" s="181" t="inlineStr">
        <is>
          <t>rauvolfia-serpentina</t>
        </is>
      </c>
      <c r="D377" s="181" t="inlineStr">
        <is>
          <t>rauvolfia serpentina</t>
        </is>
      </c>
      <c r="E377" s="181" t="n">
        <v>1</v>
      </c>
      <c r="F377" s="181" t="inlineStr">
        <is>
          <t>general or unknown targets</t>
        </is>
      </c>
      <c r="G377" s="181" t="inlineStr">
        <is>
          <t>multi-target signaling modulation</t>
        </is>
      </c>
      <c r="H377" s="181" t="inlineStr">
        <is>
          <t>inferred_plus_trusted_gov</t>
        </is>
      </c>
      <c r="I377" s="181" t="inlineStr">
        <is>
          <t>Integrated from cleaned high-signal dataset</t>
        </is>
      </c>
    </row>
    <row r="378">
      <c r="A378" s="181" t="inlineStr">
        <is>
          <t>silica</t>
        </is>
      </c>
      <c r="B378" s="181" t="inlineStr">
        <is>
          <t>silica</t>
        </is>
      </c>
      <c r="C378" s="181" t="inlineStr">
        <is>
          <t>equisetum-arvense</t>
        </is>
      </c>
      <c r="D378" s="181" t="inlineStr">
        <is>
          <t>equisetum arvense</t>
        </is>
      </c>
      <c r="E378" s="181" t="n">
        <v>1</v>
      </c>
      <c r="F378" s="181" t="inlineStr">
        <is>
          <t>general or unknown targets</t>
        </is>
      </c>
      <c r="G378" s="181" t="inlineStr">
        <is>
          <t>multi-target signaling modulation</t>
        </is>
      </c>
      <c r="H378" s="181" t="inlineStr">
        <is>
          <t>inferred_plus_trusted_gov</t>
        </is>
      </c>
      <c r="I378" s="181" t="inlineStr">
        <is>
          <t>Integrated from cleaned high-signal dataset</t>
        </is>
      </c>
    </row>
    <row r="379">
      <c r="A379" s="181" t="inlineStr">
        <is>
          <t>silychristin</t>
        </is>
      </c>
      <c r="B379" s="181" t="inlineStr">
        <is>
          <t>silychristin)</t>
        </is>
      </c>
      <c r="C379" s="181" t="inlineStr">
        <is>
          <t>silybum-marianum</t>
        </is>
      </c>
      <c r="D379" s="181" t="inlineStr">
        <is>
          <t>silybum marianum</t>
        </is>
      </c>
      <c r="E379" s="181" t="n">
        <v>1</v>
      </c>
      <c r="F379" s="181" t="inlineStr">
        <is>
          <t>general or unknown targets</t>
        </is>
      </c>
      <c r="G379" s="181" t="inlineStr">
        <is>
          <t>multi-target signaling modulation</t>
        </is>
      </c>
      <c r="H379" s="181" t="inlineStr">
        <is>
          <t>trusted_gov_added</t>
        </is>
      </c>
      <c r="I379" s="181" t="inlineStr">
        <is>
          <t>Integrated from cleaned high-signal dataset</t>
        </is>
      </c>
    </row>
    <row r="380">
      <c r="A380" s="181" t="inlineStr">
        <is>
          <t>silydianin</t>
        </is>
      </c>
      <c r="B380" s="181" t="inlineStr">
        <is>
          <t>silydianin</t>
        </is>
      </c>
      <c r="C380" s="181" t="inlineStr">
        <is>
          <t>silybum-marianum</t>
        </is>
      </c>
      <c r="D380" s="181" t="inlineStr">
        <is>
          <t>silybum marianum</t>
        </is>
      </c>
      <c r="E380" s="181" t="n">
        <v>1</v>
      </c>
      <c r="F380" s="181" t="inlineStr">
        <is>
          <t>general or unknown targets</t>
        </is>
      </c>
      <c r="G380" s="181" t="inlineStr">
        <is>
          <t>multi-target signaling modulation</t>
        </is>
      </c>
      <c r="H380" s="181" t="inlineStr">
        <is>
          <t>trusted_gov_added</t>
        </is>
      </c>
      <c r="I380" s="181" t="inlineStr">
        <is>
          <t>Integrated from cleaned high-signal dataset</t>
        </is>
      </c>
    </row>
    <row r="381">
      <c r="A381" s="181" t="inlineStr">
        <is>
          <t>silymarin silibinin</t>
        </is>
      </c>
      <c r="B381" s="181" t="inlineStr">
        <is>
          <t>silymarin (silibinin</t>
        </is>
      </c>
      <c r="C381" s="181" t="inlineStr">
        <is>
          <t>silybum-marianum</t>
        </is>
      </c>
      <c r="D381" s="181" t="inlineStr">
        <is>
          <t>silybum marianum</t>
        </is>
      </c>
      <c r="E381" s="181" t="n">
        <v>1</v>
      </c>
      <c r="F381" s="181" t="inlineStr">
        <is>
          <t>general or unknown targets</t>
        </is>
      </c>
      <c r="G381" s="181" t="inlineStr">
        <is>
          <t>multi-target signaling modulation</t>
        </is>
      </c>
      <c r="H381" s="181" t="inlineStr">
        <is>
          <t>trusted_gov_added</t>
        </is>
      </c>
      <c r="I381" s="181" t="inlineStr">
        <is>
          <t>Integrated from cleaned high-signal dataset</t>
        </is>
      </c>
    </row>
    <row r="382">
      <c r="A382" s="181" t="inlineStr">
        <is>
          <t>sinigrin</t>
        </is>
      </c>
      <c r="B382" s="181" t="inlineStr">
        <is>
          <t>sinigrin</t>
        </is>
      </c>
      <c r="C382" s="181" t="inlineStr">
        <is>
          <t>armoracia-rusticana</t>
        </is>
      </c>
      <c r="D382" s="181" t="inlineStr">
        <is>
          <t>armoracia rusticana</t>
        </is>
      </c>
      <c r="E382" s="181" t="n">
        <v>1</v>
      </c>
      <c r="F382" s="181" t="inlineStr">
        <is>
          <t>general or unknown targets</t>
        </is>
      </c>
      <c r="G382" s="181" t="inlineStr">
        <is>
          <t>multi-target signaling modulation</t>
        </is>
      </c>
      <c r="H382" s="181" t="inlineStr">
        <is>
          <t>inferred_plus_trusted_gov</t>
        </is>
      </c>
      <c r="I382" s="181" t="inlineStr">
        <is>
          <t>Integrated from cleaned high-signal dataset</t>
        </is>
      </c>
    </row>
    <row r="383">
      <c r="A383" s="181" t="inlineStr">
        <is>
          <t>skimmianine</t>
        </is>
      </c>
      <c r="B383" s="181" t="inlineStr">
        <is>
          <t>skimmianine</t>
        </is>
      </c>
      <c r="C383" s="181" t="inlineStr">
        <is>
          <t>aegle-marmelos</t>
        </is>
      </c>
      <c r="D383" s="181" t="inlineStr">
        <is>
          <t>aegle marmelos</t>
        </is>
      </c>
      <c r="E383" s="181" t="n">
        <v>1</v>
      </c>
      <c r="F383" s="181" t="inlineStr">
        <is>
          <t>general or unknown targets</t>
        </is>
      </c>
      <c r="G383" s="181" t="inlineStr">
        <is>
          <t>multi-target signaling modulation</t>
        </is>
      </c>
      <c r="H383" s="181" t="inlineStr">
        <is>
          <t>trusted_gov_added</t>
        </is>
      </c>
      <c r="I383" s="181" t="inlineStr">
        <is>
          <t>Integrated from cleaned high-signal dataset</t>
        </is>
      </c>
    </row>
    <row r="384">
      <c r="A384" s="181" t="inlineStr">
        <is>
          <t>solamargine</t>
        </is>
      </c>
      <c r="B384" s="181" t="inlineStr">
        <is>
          <t>solamargine</t>
        </is>
      </c>
      <c r="C384" s="181" t="inlineStr">
        <is>
          <t>solanum-nigrum</t>
        </is>
      </c>
      <c r="D384" s="181" t="inlineStr">
        <is>
          <t>solanum nigrum</t>
        </is>
      </c>
      <c r="E384" s="181" t="n">
        <v>1</v>
      </c>
      <c r="F384" s="181" t="inlineStr">
        <is>
          <t>general or unknown targets</t>
        </is>
      </c>
      <c r="G384" s="181" t="inlineStr">
        <is>
          <t>multi-target signaling modulation</t>
        </is>
      </c>
      <c r="H384" s="181" t="inlineStr">
        <is>
          <t>inferred_plus_trusted_gov</t>
        </is>
      </c>
      <c r="I384" s="181" t="inlineStr">
        <is>
          <t>Integrated from cleaned high-signal dataset</t>
        </is>
      </c>
    </row>
    <row r="385">
      <c r="A385" s="181" t="inlineStr">
        <is>
          <t>solanine</t>
        </is>
      </c>
      <c r="B385" s="181" t="inlineStr">
        <is>
          <t>solanine</t>
        </is>
      </c>
      <c r="C385" s="181" t="inlineStr">
        <is>
          <t>solanum-nigrum</t>
        </is>
      </c>
      <c r="D385" s="181" t="inlineStr">
        <is>
          <t>solanum nigrum</t>
        </is>
      </c>
      <c r="E385" s="181" t="n">
        <v>1</v>
      </c>
      <c r="F385" s="181" t="inlineStr">
        <is>
          <t>general or unknown targets</t>
        </is>
      </c>
      <c r="G385" s="181" t="inlineStr">
        <is>
          <t>multi-target signaling modulation</t>
        </is>
      </c>
      <c r="H385" s="181" t="inlineStr">
        <is>
          <t>inferred_plus_trusted_gov</t>
        </is>
      </c>
      <c r="I385" s="181" t="inlineStr">
        <is>
          <t>Integrated from cleaned high-signal dataset</t>
        </is>
      </c>
    </row>
    <row r="386">
      <c r="A386" s="181" t="inlineStr">
        <is>
          <t>spilanthol</t>
        </is>
      </c>
      <c r="B386" s="181" t="inlineStr">
        <is>
          <t>spilanthol</t>
        </is>
      </c>
      <c r="C386" s="181" t="inlineStr">
        <is>
          <t>acmella-oleracea</t>
        </is>
      </c>
      <c r="D386" s="181" t="inlineStr">
        <is>
          <t>acmella oleracea; toothache plant</t>
        </is>
      </c>
      <c r="E386" s="181" t="n">
        <v>1</v>
      </c>
      <c r="F386" s="181" t="inlineStr">
        <is>
          <t>general or unknown targets</t>
        </is>
      </c>
      <c r="G386" s="181" t="inlineStr">
        <is>
          <t>multi-target signaling modulation</t>
        </is>
      </c>
      <c r="H386" s="181" t="inlineStr">
        <is>
          <t>inferred_plus_trusted_gov; trusted_gov_added</t>
        </is>
      </c>
      <c r="I386" s="181" t="inlineStr">
        <is>
          <t>Integrated from cleaned high-signal dataset</t>
        </is>
      </c>
    </row>
    <row r="387">
      <c r="A387" s="181" t="inlineStr">
        <is>
          <t>stachydrine</t>
        </is>
      </c>
      <c r="B387" s="181" t="inlineStr">
        <is>
          <t>stachydrine</t>
        </is>
      </c>
      <c r="C387" s="181" t="inlineStr">
        <is>
          <t>leonurus-cardiaca; leonurus-japonicus</t>
        </is>
      </c>
      <c r="D387" s="181" t="inlineStr">
        <is>
          <t>leonurus cardiaca; leonurus japonicus</t>
        </is>
      </c>
      <c r="E387" s="181" t="n">
        <v>2</v>
      </c>
      <c r="F387" s="181" t="inlineStr">
        <is>
          <t>general or unknown targets</t>
        </is>
      </c>
      <c r="G387" s="181" t="inlineStr">
        <is>
          <t>multi-target signaling modulation</t>
        </is>
      </c>
      <c r="H387" s="181" t="inlineStr">
        <is>
          <t>inferred_plus_trusted_gov</t>
        </is>
      </c>
      <c r="I387" s="181" t="inlineStr">
        <is>
          <t>Integrated from cleaned high-signal dataset</t>
        </is>
      </c>
    </row>
    <row r="388">
      <c r="A388" s="181" t="inlineStr">
        <is>
          <t>swertiamarin</t>
        </is>
      </c>
      <c r="B388" s="181" t="inlineStr">
        <is>
          <t>swertiamarin</t>
        </is>
      </c>
      <c r="C388" s="181" t="inlineStr">
        <is>
          <t>centaurium-erythraea</t>
        </is>
      </c>
      <c r="D388" s="181" t="inlineStr">
        <is>
          <t>centaurium erythraea</t>
        </is>
      </c>
      <c r="E388" s="181" t="n">
        <v>1</v>
      </c>
      <c r="F388" s="181" t="inlineStr">
        <is>
          <t>general or unknown targets</t>
        </is>
      </c>
      <c r="G388" s="181" t="inlineStr">
        <is>
          <t>multi-target signaling modulation</t>
        </is>
      </c>
      <c r="H388" s="181" t="inlineStr">
        <is>
          <t>inferred_plus_trusted_gov</t>
        </is>
      </c>
      <c r="I388" s="181" t="inlineStr">
        <is>
          <t>Integrated from cleaned high-signal dataset</t>
        </is>
      </c>
    </row>
    <row r="389">
      <c r="A389" s="181" t="inlineStr">
        <is>
          <t>synephrine</t>
        </is>
      </c>
      <c r="B389" s="181" t="inlineStr">
        <is>
          <t>synephrine</t>
        </is>
      </c>
      <c r="C389" s="181" t="inlineStr">
        <is>
          <t>citrus-aurantium</t>
        </is>
      </c>
      <c r="D389" s="181" t="inlineStr">
        <is>
          <t>citrus aurantium</t>
        </is>
      </c>
      <c r="E389" s="181" t="n">
        <v>1</v>
      </c>
      <c r="F389" s="181" t="inlineStr">
        <is>
          <t>general or unknown targets</t>
        </is>
      </c>
      <c r="G389" s="181" t="inlineStr">
        <is>
          <t>multi-target signaling modulation</t>
        </is>
      </c>
      <c r="H389" s="181" t="inlineStr">
        <is>
          <t>inferred_plus_trusted_gov</t>
        </is>
      </c>
      <c r="I389" s="181" t="inlineStr">
        <is>
          <t>Integrated from cleaned high-signal dataset</t>
        </is>
      </c>
    </row>
    <row r="390">
      <c r="A390" s="181" t="inlineStr">
        <is>
          <t>taraxasterol</t>
        </is>
      </c>
      <c r="B390" s="181" t="inlineStr">
        <is>
          <t>taraxasterol</t>
        </is>
      </c>
      <c r="C390" s="181" t="inlineStr">
        <is>
          <t>taraxacum-officinale</t>
        </is>
      </c>
      <c r="D390" s="181" t="inlineStr">
        <is>
          <t>taraxacum officinale</t>
        </is>
      </c>
      <c r="E390" s="181" t="n">
        <v>1</v>
      </c>
      <c r="F390" s="181" t="inlineStr">
        <is>
          <t>general or unknown targets</t>
        </is>
      </c>
      <c r="G390" s="181" t="inlineStr">
        <is>
          <t>multi-target signaling modulation</t>
        </is>
      </c>
      <c r="H390" s="181" t="inlineStr">
        <is>
          <t>inferred_plus_trusted_gov</t>
        </is>
      </c>
      <c r="I390" s="181" t="inlineStr">
        <is>
          <t>Integrated from cleaned high-signal dataset</t>
        </is>
      </c>
    </row>
    <row r="391">
      <c r="A391" s="181" t="inlineStr">
        <is>
          <t>taspine</t>
        </is>
      </c>
      <c r="B391" s="181" t="inlineStr">
        <is>
          <t>taspine</t>
        </is>
      </c>
      <c r="C391" s="181" t="inlineStr">
        <is>
          <t>croton-lechleri</t>
        </is>
      </c>
      <c r="D391" s="181" t="inlineStr">
        <is>
          <t>croton lechleri</t>
        </is>
      </c>
      <c r="E391" s="181" t="n">
        <v>1</v>
      </c>
      <c r="F391" s="181" t="inlineStr">
        <is>
          <t>general or unknown targets</t>
        </is>
      </c>
      <c r="G391" s="181" t="inlineStr">
        <is>
          <t>multi-target signaling modulation</t>
        </is>
      </c>
      <c r="H391" s="181" t="inlineStr">
        <is>
          <t>inferred_plus_trusted_gov</t>
        </is>
      </c>
      <c r="I391" s="181" t="inlineStr">
        <is>
          <t>Integrated from cleaned high-signal dataset</t>
        </is>
      </c>
    </row>
    <row r="392">
      <c r="A392" s="181" t="inlineStr">
        <is>
          <t>tephrosin</t>
        </is>
      </c>
      <c r="B392" s="181" t="inlineStr">
        <is>
          <t>tephrosin</t>
        </is>
      </c>
      <c r="C392" s="181" t="inlineStr">
        <is>
          <t>amorpha-fruticosa</t>
        </is>
      </c>
      <c r="D392" s="181" t="inlineStr">
        <is>
          <t>amorpha fruticosa</t>
        </is>
      </c>
      <c r="E392" s="181" t="n">
        <v>1</v>
      </c>
      <c r="F392" s="181" t="inlineStr">
        <is>
          <t>cholinergic_modulation</t>
        </is>
      </c>
      <c r="G392" s="181" t="inlineStr">
        <is>
          <t>muscarinic receptor interaction</t>
        </is>
      </c>
      <c r="H392" s="181" t="inlineStr">
        <is>
          <t>trusted_gov_added</t>
        </is>
      </c>
      <c r="I392" s="181" t="inlineStr">
        <is>
          <t>Integrated from cleaned high-signal dataset</t>
        </is>
      </c>
    </row>
    <row r="393">
      <c r="A393" s="181" t="inlineStr">
        <is>
          <t>terpinen-4-ol</t>
        </is>
      </c>
      <c r="B393" s="181" t="inlineStr">
        <is>
          <t>terpinen-4-ol</t>
        </is>
      </c>
      <c r="C393" s="181" t="inlineStr">
        <is>
          <t>melaleuca-alternifolia</t>
        </is>
      </c>
      <c r="D393" s="181" t="inlineStr">
        <is>
          <t>melaleuca alternifolia</t>
        </is>
      </c>
      <c r="E393" s="181" t="n">
        <v>1</v>
      </c>
      <c r="F393" s="181" t="inlineStr">
        <is>
          <t>general or unknown targets</t>
        </is>
      </c>
      <c r="G393" s="181" t="inlineStr">
        <is>
          <t>multi-target signaling modulation</t>
        </is>
      </c>
      <c r="H393" s="181" t="inlineStr">
        <is>
          <t>inferred_plus_trusted_gov</t>
        </is>
      </c>
      <c r="I393" s="181" t="inlineStr">
        <is>
          <t>Integrated from cleaned high-signal dataset</t>
        </is>
      </c>
    </row>
    <row r="394">
      <c r="A394" s="181" t="inlineStr">
        <is>
          <t>tetrahydroharmine</t>
        </is>
      </c>
      <c r="B394" s="181" t="inlineStr">
        <is>
          <t>tetrahydroharmine</t>
        </is>
      </c>
      <c r="C394" s="181" t="inlineStr">
        <is>
          <t>banisteriopsis-caapi</t>
        </is>
      </c>
      <c r="D394" s="181" t="inlineStr">
        <is>
          <t>banisteriopsis caapi</t>
        </is>
      </c>
      <c r="E394" s="181" t="n">
        <v>1</v>
      </c>
      <c r="F394" s="181" t="inlineStr">
        <is>
          <t>monoamine_oxidase_inhibition; serotonergic_5HT2A_agonism</t>
        </is>
      </c>
      <c r="G394" s="181" t="inlineStr">
        <is>
          <t>multi-target signaling modulation</t>
        </is>
      </c>
      <c r="H394" s="181" t="inlineStr">
        <is>
          <t>trusted_gov_added</t>
        </is>
      </c>
      <c r="I394" s="181" t="inlineStr">
        <is>
          <t>Integrated from cleaned high-signal dataset</t>
        </is>
      </c>
    </row>
    <row r="395">
      <c r="A395" s="181" t="inlineStr">
        <is>
          <t>tetrahydropalmatine</t>
        </is>
      </c>
      <c r="B395" s="181" t="inlineStr">
        <is>
          <t>tetrahydropalmatine</t>
        </is>
      </c>
      <c r="C395" s="181" t="inlineStr">
        <is>
          <t>corydalis-yanhusuo</t>
        </is>
      </c>
      <c r="D395" s="181" t="inlineStr">
        <is>
          <t>corydalis yanhusuo</t>
        </is>
      </c>
      <c r="E395" s="181" t="n">
        <v>1</v>
      </c>
      <c r="F395" s="181" t="inlineStr">
        <is>
          <t>dopaminergic_modulation</t>
        </is>
      </c>
      <c r="G395" s="181" t="inlineStr">
        <is>
          <t>multi-target signaling modulation</t>
        </is>
      </c>
      <c r="H395" s="181" t="inlineStr">
        <is>
          <t>trusted_gov_added</t>
        </is>
      </c>
      <c r="I395" s="181" t="inlineStr">
        <is>
          <t>Integrated from cleaned high-signal dataset</t>
        </is>
      </c>
    </row>
    <row r="396">
      <c r="A396" s="181" t="inlineStr">
        <is>
          <t>tetramethylpyrazine</t>
        </is>
      </c>
      <c r="B396" s="181" t="inlineStr">
        <is>
          <t>tetramethylpyrazine</t>
        </is>
      </c>
      <c r="C396" s="181" t="inlineStr">
        <is>
          <t>ligusticum-chuanxiong</t>
        </is>
      </c>
      <c r="D396" s="181" t="inlineStr">
        <is>
          <t>ligusticum chuanxiong</t>
        </is>
      </c>
      <c r="E396" s="181" t="n">
        <v>1</v>
      </c>
      <c r="F396" s="181" t="inlineStr">
        <is>
          <t>general or unknown targets</t>
        </is>
      </c>
      <c r="G396" s="181" t="inlineStr">
        <is>
          <t>multi-target signaling modulation</t>
        </is>
      </c>
      <c r="H396" s="181" t="inlineStr">
        <is>
          <t>inferred_plus_trusted_gov</t>
        </is>
      </c>
      <c r="I396" s="181" t="inlineStr">
        <is>
          <t>Integrated from cleaned high-signal dataset</t>
        </is>
      </c>
    </row>
    <row r="397">
      <c r="A397" s="181" t="inlineStr">
        <is>
          <t>tetrandrine</t>
        </is>
      </c>
      <c r="B397" s="181" t="inlineStr">
        <is>
          <t>tetrandrine</t>
        </is>
      </c>
      <c r="C397" s="181" t="inlineStr">
        <is>
          <t>stephania-cepharantha; stephania-tetrandra</t>
        </is>
      </c>
      <c r="D397" s="181" t="inlineStr">
        <is>
          <t>stephania cepharantha; stephania tetrandra</t>
        </is>
      </c>
      <c r="E397" s="181" t="n">
        <v>2</v>
      </c>
      <c r="F397" s="181" t="inlineStr">
        <is>
          <t>general or unknown targets</t>
        </is>
      </c>
      <c r="G397" s="181" t="inlineStr">
        <is>
          <t>multi-target signaling modulation</t>
        </is>
      </c>
      <c r="H397" s="181" t="inlineStr">
        <is>
          <t>inferred_plus_trusted_gov</t>
        </is>
      </c>
      <c r="I397" s="181" t="inlineStr">
        <is>
          <t>Integrated from cleaned high-signal dataset</t>
        </is>
      </c>
    </row>
    <row r="398">
      <c r="A398" s="181" t="inlineStr">
        <is>
          <t>thc</t>
        </is>
      </c>
      <c r="B398" s="181" t="inlineStr">
        <is>
          <t>thc</t>
        </is>
      </c>
      <c r="C398" s="181" t="inlineStr">
        <is>
          <t>cannabis-indica; cannabis-ruderalis; cannabis-sativa; cannabis-sativa-african-varieties</t>
        </is>
      </c>
      <c r="D398" s="181" t="inlineStr">
        <is>
          <t>cannabis indica; cannabis ruderalis; cannabis sativa; cannabis sativa (african varieties)</t>
        </is>
      </c>
      <c r="E398" s="181" t="n">
        <v>4</v>
      </c>
      <c r="F398" s="181" t="inlineStr">
        <is>
          <t>endocannabinoid_modulation</t>
        </is>
      </c>
      <c r="G398" s="181" t="inlineStr">
        <is>
          <t>multi-target signaling modulation</t>
        </is>
      </c>
      <c r="H398" s="181" t="inlineStr">
        <is>
          <t>inferred_plus_trusted_gov; trusted_gov_added</t>
        </is>
      </c>
      <c r="I398" s="181" t="inlineStr">
        <is>
          <t>Integrated from cleaned high-signal dataset</t>
        </is>
      </c>
    </row>
    <row r="399">
      <c r="A399" s="181" t="inlineStr">
        <is>
          <t>theanine</t>
        </is>
      </c>
      <c r="B399" s="181" t="inlineStr">
        <is>
          <t>theanine</t>
        </is>
      </c>
      <c r="C399" s="181" t="inlineStr">
        <is>
          <t>camellia-sinensis</t>
        </is>
      </c>
      <c r="D399" s="181" t="inlineStr">
        <is>
          <t>camellia sinensis</t>
        </is>
      </c>
      <c r="E399" s="181" t="n">
        <v>1</v>
      </c>
      <c r="F399" s="181" t="inlineStr">
        <is>
          <t>adenosine_antagonism</t>
        </is>
      </c>
      <c r="G399" s="181" t="inlineStr">
        <is>
          <t>adenosine receptor antagonism</t>
        </is>
      </c>
      <c r="H399" s="181" t="inlineStr">
        <is>
          <t>trusted_gov_added</t>
        </is>
      </c>
      <c r="I399" s="181" t="inlineStr">
        <is>
          <t>Integrated from cleaned high-signal dataset</t>
        </is>
      </c>
    </row>
    <row r="400">
      <c r="A400" s="181" t="inlineStr">
        <is>
          <t>thebaine</t>
        </is>
      </c>
      <c r="B400" s="181" t="inlineStr">
        <is>
          <t>thebaine</t>
        </is>
      </c>
      <c r="C400" s="181" t="inlineStr">
        <is>
          <t>papaver-somniferum</t>
        </is>
      </c>
      <c r="D400" s="181" t="inlineStr">
        <is>
          <t>papaver somniferum</t>
        </is>
      </c>
      <c r="E400" s="181" t="n">
        <v>1</v>
      </c>
      <c r="F400" s="181" t="inlineStr">
        <is>
          <t>general or unknown targets</t>
        </is>
      </c>
      <c r="G400" s="181" t="inlineStr">
        <is>
          <t>multi-target signaling modulation</t>
        </is>
      </c>
      <c r="H400" s="181" t="inlineStr">
        <is>
          <t>inferred_plus_trusted_gov</t>
        </is>
      </c>
      <c r="I400" s="181" t="inlineStr">
        <is>
          <t>Integrated from cleaned high-signal dataset</t>
        </is>
      </c>
    </row>
    <row r="401">
      <c r="A401" s="181" t="inlineStr">
        <is>
          <t>theobromine</t>
        </is>
      </c>
      <c r="B401" s="181" t="inlineStr">
        <is>
          <t>theobromine</t>
        </is>
      </c>
      <c r="C401" s="181" t="inlineStr">
        <is>
          <t>guarana; ilex-guayusa; ilex-paraguariensis; paullinia-cupana; theobroma-bicolor; theobroma-cacao</t>
        </is>
      </c>
      <c r="D401" s="181" t="inlineStr">
        <is>
          <t>guarana; ilex guayusa; ilex paraguariensis; paullinia cupana; theobroma bicolor; theobroma cacao; yerba mate</t>
        </is>
      </c>
      <c r="E401" s="181" t="n">
        <v>6</v>
      </c>
      <c r="F401" s="181" t="inlineStr">
        <is>
          <t>ADORA1, ADORA2A (adenosine receptors); adenosine_antagonism; dopaminergic_modulation</t>
        </is>
      </c>
      <c r="G401" s="181" t="inlineStr">
        <is>
          <t>adenosine receptor antagonism; multi-target signaling modulation</t>
        </is>
      </c>
      <c r="H401" s="181" t="inlineStr">
        <is>
          <t>inferred_plus_trusted_gov; trusted_gov_added</t>
        </is>
      </c>
      <c r="I401" s="181" t="inlineStr">
        <is>
          <t>Integrated from cleaned high-signal dataset</t>
        </is>
      </c>
    </row>
    <row r="402">
      <c r="A402" s="181" t="inlineStr">
        <is>
          <t>theophylline</t>
        </is>
      </c>
      <c r="B402" s="181" t="inlineStr">
        <is>
          <t>theophylline</t>
        </is>
      </c>
      <c r="C402" s="181" t="inlineStr">
        <is>
          <t>guarana</t>
        </is>
      </c>
      <c r="D402" s="181" t="inlineStr">
        <is>
          <t>guarana</t>
        </is>
      </c>
      <c r="E402" s="181" t="n">
        <v>1</v>
      </c>
      <c r="F402" s="181" t="inlineStr">
        <is>
          <t>adenosine_antagonism</t>
        </is>
      </c>
      <c r="G402" s="181" t="inlineStr">
        <is>
          <t>adenosine receptor antagonism</t>
        </is>
      </c>
      <c r="H402" s="181" t="inlineStr">
        <is>
          <t>trusted_gov_added</t>
        </is>
      </c>
      <c r="I402" s="181" t="inlineStr">
        <is>
          <t>Integrated from cleaned high-signal dataset</t>
        </is>
      </c>
    </row>
    <row r="403">
      <c r="A403" s="181" t="inlineStr">
        <is>
          <t>thevetin a</t>
        </is>
      </c>
      <c r="B403" s="181" t="inlineStr">
        <is>
          <t>thevetin a</t>
        </is>
      </c>
      <c r="C403" s="181" t="inlineStr">
        <is>
          <t>thevetia-peruviana</t>
        </is>
      </c>
      <c r="D403" s="181" t="inlineStr">
        <is>
          <t>thevetia peruviana</t>
        </is>
      </c>
      <c r="E403" s="181" t="n">
        <v>1</v>
      </c>
      <c r="F403" s="181" t="inlineStr">
        <is>
          <t>general or unknown targets</t>
        </is>
      </c>
      <c r="G403" s="181" t="inlineStr">
        <is>
          <t>multi-target signaling modulation</t>
        </is>
      </c>
      <c r="H403" s="181" t="inlineStr">
        <is>
          <t>inferred_plus_trusted_gov</t>
        </is>
      </c>
      <c r="I403" s="181" t="inlineStr">
        <is>
          <t>Integrated from cleaned high-signal dataset</t>
        </is>
      </c>
    </row>
    <row r="404">
      <c r="A404" s="181" t="inlineStr">
        <is>
          <t>thevetin b</t>
        </is>
      </c>
      <c r="B404" s="181" t="inlineStr">
        <is>
          <t>thevetin b</t>
        </is>
      </c>
      <c r="C404" s="181" t="inlineStr">
        <is>
          <t>thevetia-peruviana</t>
        </is>
      </c>
      <c r="D404" s="181" t="inlineStr">
        <is>
          <t>thevetia peruviana</t>
        </is>
      </c>
      <c r="E404" s="181" t="n">
        <v>1</v>
      </c>
      <c r="F404" s="181" t="inlineStr">
        <is>
          <t>general or unknown targets</t>
        </is>
      </c>
      <c r="G404" s="181" t="inlineStr">
        <is>
          <t>multi-target signaling modulation</t>
        </is>
      </c>
      <c r="H404" s="181" t="inlineStr">
        <is>
          <t>inferred_plus_trusted_gov</t>
        </is>
      </c>
      <c r="I404" s="181" t="inlineStr">
        <is>
          <t>Integrated from cleaned high-signal dataset</t>
        </is>
      </c>
    </row>
    <row r="405">
      <c r="A405" s="181" t="inlineStr">
        <is>
          <t>thujone</t>
        </is>
      </c>
      <c r="B405" s="181" t="inlineStr">
        <is>
          <t>thujone</t>
        </is>
      </c>
      <c r="C405" s="181" t="inlineStr">
        <is>
          <t>artemisia-herba-alba; artemisia-judaica; salvia-officinalis</t>
        </is>
      </c>
      <c r="D405" s="181" t="inlineStr">
        <is>
          <t>artemisia herba-alba; artemisia judaica; salvia officinalis</t>
        </is>
      </c>
      <c r="E405" s="181" t="n">
        <v>3</v>
      </c>
      <c r="F405" s="181" t="inlineStr">
        <is>
          <t>general or unknown targets</t>
        </is>
      </c>
      <c r="G405" s="181" t="inlineStr">
        <is>
          <t>multi-target signaling modulation</t>
        </is>
      </c>
      <c r="H405" s="181" t="inlineStr">
        <is>
          <t>inferred_plus_trusted_gov</t>
        </is>
      </c>
      <c r="I405" s="181" t="inlineStr">
        <is>
          <t>Integrated from cleaned high-signal dataset</t>
        </is>
      </c>
    </row>
    <row r="406">
      <c r="A406" s="181" t="inlineStr">
        <is>
          <t>thymol</t>
        </is>
      </c>
      <c r="B406" s="181" t="inlineStr">
        <is>
          <t>thymol</t>
        </is>
      </c>
      <c r="C406" s="181" t="inlineStr">
        <is>
          <t>monarda-fistulosa; origanum-vulgare; thymus-vulgaris</t>
        </is>
      </c>
      <c r="D406" s="181" t="inlineStr">
        <is>
          <t>monarda fistulosa; origanum vulgare; thymus vulgaris</t>
        </is>
      </c>
      <c r="E406" s="181" t="n">
        <v>3</v>
      </c>
      <c r="F406" s="181" t="inlineStr">
        <is>
          <t>general or unknown targets</t>
        </is>
      </c>
      <c r="G406" s="181" t="inlineStr">
        <is>
          <t>multi-target signaling modulation</t>
        </is>
      </c>
      <c r="H406" s="181" t="inlineStr">
        <is>
          <t>inferred_plus_trusted_gov; trusted_gov_added</t>
        </is>
      </c>
      <c r="I406" s="181" t="inlineStr">
        <is>
          <t>Integrated from cleaned high-signal dataset</t>
        </is>
      </c>
    </row>
    <row r="407">
      <c r="A407" s="181" t="inlineStr">
        <is>
          <t>thymoquinone</t>
        </is>
      </c>
      <c r="B407" s="181" t="inlineStr">
        <is>
          <t>thymoquinone</t>
        </is>
      </c>
      <c r="C407" s="181" t="inlineStr">
        <is>
          <t>nigella-sativa</t>
        </is>
      </c>
      <c r="D407" s="181" t="inlineStr">
        <is>
          <t>nigella sativa</t>
        </is>
      </c>
      <c r="E407" s="181" t="n">
        <v>1</v>
      </c>
      <c r="F407" s="181" t="inlineStr">
        <is>
          <t>general or unknown targets</t>
        </is>
      </c>
      <c r="G407" s="181" t="inlineStr">
        <is>
          <t>multi-target signaling modulation</t>
        </is>
      </c>
      <c r="H407" s="181" t="inlineStr">
        <is>
          <t>inferred_plus_trusted_gov</t>
        </is>
      </c>
      <c r="I407" s="181" t="inlineStr">
        <is>
          <t>Integrated from cleaned high-signal dataset</t>
        </is>
      </c>
    </row>
    <row r="408">
      <c r="A408" s="181" t="inlineStr">
        <is>
          <t>timosaponin aiii</t>
        </is>
      </c>
      <c r="B408" s="181" t="inlineStr">
        <is>
          <t>timosaponin aiii</t>
        </is>
      </c>
      <c r="C408" s="181" t="inlineStr">
        <is>
          <t>anemarrhena-asphodeloides</t>
        </is>
      </c>
      <c r="D408" s="181" t="inlineStr">
        <is>
          <t>anemarrhena asphodeloides</t>
        </is>
      </c>
      <c r="E408" s="181" t="n">
        <v>1</v>
      </c>
      <c r="F408" s="181" t="inlineStr">
        <is>
          <t>general or unknown targets</t>
        </is>
      </c>
      <c r="G408" s="181" t="inlineStr">
        <is>
          <t>multi-target signaling modulation</t>
        </is>
      </c>
      <c r="H408" s="181" t="inlineStr">
        <is>
          <t>inferred_plus_trusted_gov</t>
        </is>
      </c>
      <c r="I408" s="181" t="inlineStr">
        <is>
          <t>Integrated from cleaned high-signal dataset</t>
        </is>
      </c>
    </row>
    <row r="409">
      <c r="A409" s="181" t="inlineStr">
        <is>
          <t>trans-cinnamoylcocaine</t>
        </is>
      </c>
      <c r="B409" s="181" t="inlineStr">
        <is>
          <t>trans-cinnamoylcocaine</t>
        </is>
      </c>
      <c r="C409" s="181" t="inlineStr">
        <is>
          <t>coca; coca-leaf</t>
        </is>
      </c>
      <c r="D409" s="181" t="inlineStr">
        <is>
          <t>coca; coca leaf</t>
        </is>
      </c>
      <c r="E409" s="181" t="n">
        <v>2</v>
      </c>
      <c r="F409" s="181" t="inlineStr">
        <is>
          <t>dopaminergic_modulation</t>
        </is>
      </c>
      <c r="G409" s="181" t="inlineStr">
        <is>
          <t>multi-target signaling modulation</t>
        </is>
      </c>
      <c r="H409" s="181" t="inlineStr">
        <is>
          <t>trusted_gov_added</t>
        </is>
      </c>
      <c r="I409" s="181" t="inlineStr">
        <is>
          <t>Integrated from cleaned high-signal dataset</t>
        </is>
      </c>
    </row>
    <row r="410">
      <c r="A410" s="181" t="inlineStr">
        <is>
          <t>trigonelline</t>
        </is>
      </c>
      <c r="B410" s="181" t="inlineStr">
        <is>
          <t>trigonelline</t>
        </is>
      </c>
      <c r="C410" s="181" t="inlineStr">
        <is>
          <t>coffea-arabica; coffee</t>
        </is>
      </c>
      <c r="D410" s="181" t="inlineStr">
        <is>
          <t>coffea arabica; coffee</t>
        </is>
      </c>
      <c r="E410" s="181" t="n">
        <v>2</v>
      </c>
      <c r="F410" s="181" t="inlineStr">
        <is>
          <t>adenosine_antagonism</t>
        </is>
      </c>
      <c r="G410" s="181" t="inlineStr">
        <is>
          <t>adenosine receptor antagonism</t>
        </is>
      </c>
      <c r="H410" s="181" t="inlineStr">
        <is>
          <t>inferred_plus_trusted_gov; trusted_gov_added</t>
        </is>
      </c>
      <c r="I410" s="181" t="inlineStr">
        <is>
          <t>Integrated from cleaned high-signal dataset</t>
        </is>
      </c>
    </row>
    <row r="411">
      <c r="A411" s="181" t="inlineStr">
        <is>
          <t>triketones leptospermone</t>
        </is>
      </c>
      <c r="B411" s="181" t="inlineStr">
        <is>
          <t>triketones (leptospermone)</t>
        </is>
      </c>
      <c r="C411" s="181" t="inlineStr">
        <is>
          <t>leptospermum-scoparium</t>
        </is>
      </c>
      <c r="D411" s="181" t="inlineStr">
        <is>
          <t>leptospermum scoparium</t>
        </is>
      </c>
      <c r="E411" s="181" t="n">
        <v>1</v>
      </c>
      <c r="F411" s="181" t="inlineStr">
        <is>
          <t>general or unknown targets</t>
        </is>
      </c>
      <c r="G411" s="181" t="inlineStr">
        <is>
          <t>multi-target signaling modulation</t>
        </is>
      </c>
      <c r="H411" s="181" t="inlineStr">
        <is>
          <t>inferred_plus_trusted_gov</t>
        </is>
      </c>
      <c r="I411" s="181" t="inlineStr">
        <is>
          <t>Integrated from cleaned high-signal dataset</t>
        </is>
      </c>
    </row>
    <row r="412">
      <c r="A412" s="181" t="inlineStr">
        <is>
          <t>tropacocaine</t>
        </is>
      </c>
      <c r="B412" s="181" t="inlineStr">
        <is>
          <t>tropacocaine</t>
        </is>
      </c>
      <c r="C412" s="181" t="inlineStr">
        <is>
          <t>coca; coca-leaf; erythroxylum-coca; erythroxylum-novogranatense</t>
        </is>
      </c>
      <c r="D412" s="181" t="inlineStr">
        <is>
          <t>coca; coca leaf; erythroxylum coca; erythroxylum novogranatense</t>
        </is>
      </c>
      <c r="E412" s="181" t="n">
        <v>4</v>
      </c>
      <c r="F412" s="181" t="inlineStr">
        <is>
          <t>dopaminergic_modulation; general or unknown targets</t>
        </is>
      </c>
      <c r="G412" s="181" t="inlineStr">
        <is>
          <t>multi-target signaling modulation</t>
        </is>
      </c>
      <c r="H412" s="181" t="inlineStr">
        <is>
          <t>inferred_plus_trusted_gov; trusted_gov_added</t>
        </is>
      </c>
      <c r="I412" s="181" t="inlineStr">
        <is>
          <t>Integrated from cleaned high-signal dataset</t>
        </is>
      </c>
    </row>
    <row r="413">
      <c r="A413" s="181" t="inlineStr">
        <is>
          <t>tryptamine</t>
        </is>
      </c>
      <c r="B413" s="181" t="inlineStr">
        <is>
          <t>tryptamine</t>
        </is>
      </c>
      <c r="C413" s="181" t="inlineStr">
        <is>
          <t>acacia-confusa; phalaris-arundinacea</t>
        </is>
      </c>
      <c r="D413" s="181" t="inlineStr">
        <is>
          <t>acacia confusa; phalaris arundinacea</t>
        </is>
      </c>
      <c r="E413" s="181" t="n">
        <v>2</v>
      </c>
      <c r="F413" s="181" t="inlineStr">
        <is>
          <t>HTR1A, HTR2A (serotonin receptors); serotonergic_5HT2A_agonism</t>
        </is>
      </c>
      <c r="G413" s="181" t="inlineStr">
        <is>
          <t>serotonergic modulation</t>
        </is>
      </c>
      <c r="H413" s="181" t="inlineStr">
        <is>
          <t>inferred_plus_trusted_gov; trusted_gov_added</t>
        </is>
      </c>
      <c r="I413" s="181" t="inlineStr">
        <is>
          <t>Integrated from cleaned high-signal dataset</t>
        </is>
      </c>
    </row>
    <row r="414">
      <c r="A414" s="181" t="inlineStr">
        <is>
          <t>turmerone</t>
        </is>
      </c>
      <c r="B414" s="181" t="inlineStr">
        <is>
          <t>turmerone</t>
        </is>
      </c>
      <c r="C414" s="181" t="inlineStr">
        <is>
          <t>curcuma-longa</t>
        </is>
      </c>
      <c r="D414" s="181" t="inlineStr">
        <is>
          <t>curcuma longa</t>
        </is>
      </c>
      <c r="E414" s="181" t="n">
        <v>1</v>
      </c>
      <c r="F414" s="181" t="inlineStr">
        <is>
          <t>general or unknown targets</t>
        </is>
      </c>
      <c r="G414" s="181" t="inlineStr">
        <is>
          <t>multi-target signaling modulation</t>
        </is>
      </c>
      <c r="H414" s="181" t="inlineStr">
        <is>
          <t>inferred_plus_trusted_gov</t>
        </is>
      </c>
      <c r="I414" s="181" t="inlineStr">
        <is>
          <t>Integrated from cleaned high-signal dataset</t>
        </is>
      </c>
    </row>
    <row r="415">
      <c r="A415" s="181" t="inlineStr">
        <is>
          <t>tussilagone</t>
        </is>
      </c>
      <c r="B415" s="181" t="inlineStr">
        <is>
          <t>tussilagone</t>
        </is>
      </c>
      <c r="C415" s="181" t="inlineStr">
        <is>
          <t>tussilago-farfara</t>
        </is>
      </c>
      <c r="D415" s="181" t="inlineStr">
        <is>
          <t>tussilago farfara</t>
        </is>
      </c>
      <c r="E415" s="181" t="n">
        <v>1</v>
      </c>
      <c r="F415" s="181" t="inlineStr">
        <is>
          <t>general or unknown targets</t>
        </is>
      </c>
      <c r="G415" s="181" t="inlineStr">
        <is>
          <t>multi-target signaling modulation</t>
        </is>
      </c>
      <c r="H415" s="181" t="inlineStr">
        <is>
          <t>inferred_plus_trusted_gov</t>
        </is>
      </c>
      <c r="I415" s="181" t="inlineStr">
        <is>
          <t>Integrated from cleaned high-signal dataset</t>
        </is>
      </c>
    </row>
    <row r="416">
      <c r="A416" s="181" t="inlineStr">
        <is>
          <t>tylophorine</t>
        </is>
      </c>
      <c r="B416" s="181" t="inlineStr">
        <is>
          <t>tylophorine</t>
        </is>
      </c>
      <c r="C416" s="181" t="inlineStr">
        <is>
          <t>tylophora-indica</t>
        </is>
      </c>
      <c r="D416" s="181" t="inlineStr">
        <is>
          <t>tylophora indica</t>
        </is>
      </c>
      <c r="E416" s="181" t="n">
        <v>1</v>
      </c>
      <c r="F416" s="181" t="inlineStr">
        <is>
          <t>inflammatory_pathway_modulation</t>
        </is>
      </c>
      <c r="G416" s="181" t="inlineStr">
        <is>
          <t>COX/NF-kB inhibition</t>
        </is>
      </c>
      <c r="H416" s="181" t="inlineStr">
        <is>
          <t>citation_or_url_present</t>
        </is>
      </c>
      <c r="I416" s="181" t="inlineStr">
        <is>
          <t>Integrated from cleaned high-signal dataset</t>
        </is>
      </c>
    </row>
    <row r="417">
      <c r="A417" s="181" t="inlineStr">
        <is>
          <t>umbelliferone</t>
        </is>
      </c>
      <c r="B417" s="181" t="inlineStr">
        <is>
          <t>umbelliferone</t>
        </is>
      </c>
      <c r="C417" s="181" t="inlineStr">
        <is>
          <t>casimiroa-edulis</t>
        </is>
      </c>
      <c r="D417" s="181" t="inlineStr">
        <is>
          <t>casimiroa edulis</t>
        </is>
      </c>
      <c r="E417" s="181" t="n">
        <v>1</v>
      </c>
      <c r="F417" s="181" t="inlineStr">
        <is>
          <t>general or unknown targets</t>
        </is>
      </c>
      <c r="G417" s="181" t="inlineStr">
        <is>
          <t>multi-target signaling modulation</t>
        </is>
      </c>
      <c r="H417" s="181" t="inlineStr">
        <is>
          <t>trusted_gov_added</t>
        </is>
      </c>
      <c r="I417" s="181" t="inlineStr">
        <is>
          <t>Integrated from cleaned high-signal dataset</t>
        </is>
      </c>
    </row>
    <row r="418">
      <c r="A418" s="181" t="inlineStr">
        <is>
          <t>umckalin</t>
        </is>
      </c>
      <c r="B418" s="181" t="inlineStr">
        <is>
          <t>umckalin</t>
        </is>
      </c>
      <c r="C418" s="181" t="inlineStr">
        <is>
          <t>pelargonium-sidoides</t>
        </is>
      </c>
      <c r="D418" s="181" t="inlineStr">
        <is>
          <t>pelargonium sidoides</t>
        </is>
      </c>
      <c r="E418" s="181" t="n">
        <v>1</v>
      </c>
      <c r="F418" s="181" t="inlineStr">
        <is>
          <t>general or unknown targets</t>
        </is>
      </c>
      <c r="G418" s="181" t="inlineStr">
        <is>
          <t>multi-target signaling modulation</t>
        </is>
      </c>
      <c r="H418" s="181" t="inlineStr">
        <is>
          <t>inferred_plus_trusted_gov</t>
        </is>
      </c>
      <c r="I418" s="181" t="inlineStr">
        <is>
          <t>Integrated from cleaned high-signal dataset</t>
        </is>
      </c>
    </row>
    <row r="419">
      <c r="A419" s="181" t="inlineStr">
        <is>
          <t>unresolved herb level entry</t>
        </is>
      </c>
      <c r="B419" s="181" t="inlineStr">
        <is>
          <t>UNRESOLVED_HERB_LEVEL_ENTRY</t>
        </is>
      </c>
      <c r="C419" s="181" t="inlineStr">
        <is>
          <t>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t>
        </is>
      </c>
      <c r="D419" s="181" t="inlineStr">
        <is>
          <t>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t>
        </is>
      </c>
      <c r="E419" s="181" t="n">
        <v>23</v>
      </c>
      <c r="F419" s="181" t="inlineStr">
        <is>
          <t>general or unknown targets; inflammatory_pathway_modulation</t>
        </is>
      </c>
      <c r="G419" s="181" t="inlineStr">
        <is>
          <t>COX/NF-kB inhibition; multi-target signaling modulation</t>
        </is>
      </c>
      <c r="H419" s="181" t="inlineStr">
        <is>
          <t>inferred_plus_trusted_gov; trusted_gov_added</t>
        </is>
      </c>
      <c r="I419" s="181" t="inlineStr">
        <is>
          <t>Integrated from cleaned high-signal dataset</t>
        </is>
      </c>
    </row>
    <row r="420">
      <c r="A420" s="181" t="inlineStr">
        <is>
          <t>ursolic acid</t>
        </is>
      </c>
      <c r="B420" s="181" t="inlineStr">
        <is>
          <t>ursolic acid</t>
        </is>
      </c>
      <c r="C420" s="181" t="inlineStr">
        <is>
          <t>ocimum-sanctum; tulsi</t>
        </is>
      </c>
      <c r="D420" s="181" t="inlineStr">
        <is>
          <t>holy basil; ocimum sanctum; tulsi</t>
        </is>
      </c>
      <c r="E420" s="181" t="n">
        <v>2</v>
      </c>
      <c r="F420" s="181" t="inlineStr">
        <is>
          <t>general or unknown targets; inflammatory_pathway_modulation</t>
        </is>
      </c>
      <c r="G420" s="181" t="inlineStr">
        <is>
          <t>COX/NF-kB inhibition; multi-target signaling modulation</t>
        </is>
      </c>
      <c r="H420" s="181" t="inlineStr">
        <is>
          <t>inferred_plus_trusted_gov; trusted_gov_added</t>
        </is>
      </c>
      <c r="I420" s="181" t="inlineStr">
        <is>
          <t>Integrated from cleaned high-signal dataset</t>
        </is>
      </c>
    </row>
    <row r="421">
      <c r="A421" s="181" t="inlineStr">
        <is>
          <t>uscharin</t>
        </is>
      </c>
      <c r="B421" s="181" t="inlineStr">
        <is>
          <t>uscharin</t>
        </is>
      </c>
      <c r="C421" s="181" t="inlineStr">
        <is>
          <t>calotropis-procera</t>
        </is>
      </c>
      <c r="D421" s="181" t="inlineStr">
        <is>
          <t>calotropis procera</t>
        </is>
      </c>
      <c r="E421" s="181" t="n">
        <v>1</v>
      </c>
      <c r="F421" s="181" t="inlineStr">
        <is>
          <t>general or unknown targets</t>
        </is>
      </c>
      <c r="G421" s="181" t="inlineStr">
        <is>
          <t>multi-target signaling modulation</t>
        </is>
      </c>
      <c r="H421" s="181" t="inlineStr">
        <is>
          <t>inferred_plus_trusted_gov</t>
        </is>
      </c>
      <c r="I421" s="181" t="inlineStr">
        <is>
          <t>Integrated from cleaned high-signal dataset</t>
        </is>
      </c>
    </row>
    <row r="422">
      <c r="A422" s="181" t="inlineStr">
        <is>
          <t>usnic acid</t>
        </is>
      </c>
      <c r="B422" s="181" t="inlineStr">
        <is>
          <t>usnic acid</t>
        </is>
      </c>
      <c r="C422" s="181" t="inlineStr">
        <is>
          <t>usnea-barbata</t>
        </is>
      </c>
      <c r="D422" s="181" t="inlineStr">
        <is>
          <t>usnea barbata</t>
        </is>
      </c>
      <c r="E422" s="181" t="n">
        <v>1</v>
      </c>
      <c r="F422" s="181" t="inlineStr">
        <is>
          <t>general or unknown targets</t>
        </is>
      </c>
      <c r="G422" s="181" t="inlineStr">
        <is>
          <t>multi-target signaling modulation</t>
        </is>
      </c>
      <c r="H422" s="181" t="inlineStr">
        <is>
          <t>inferred_plus_trusted_gov</t>
        </is>
      </c>
      <c r="I422" s="181" t="inlineStr">
        <is>
          <t>Integrated from cleaned high-signal dataset</t>
        </is>
      </c>
    </row>
    <row r="423">
      <c r="A423" s="181" t="inlineStr">
        <is>
          <t>valeranone</t>
        </is>
      </c>
      <c r="B423" s="181" t="inlineStr">
        <is>
          <t>valeranone</t>
        </is>
      </c>
      <c r="C423" s="181" t="inlineStr">
        <is>
          <t>nardostachys-jatamansi</t>
        </is>
      </c>
      <c r="D423" s="181" t="inlineStr">
        <is>
          <t>nardostachys jatamansi</t>
        </is>
      </c>
      <c r="E423" s="181" t="n">
        <v>1</v>
      </c>
      <c r="F423" s="181" t="inlineStr">
        <is>
          <t>general or unknown targets</t>
        </is>
      </c>
      <c r="G423" s="181" t="inlineStr">
        <is>
          <t>multi-target signaling modulation</t>
        </is>
      </c>
      <c r="H423" s="181" t="inlineStr">
        <is>
          <t>inferred_plus_trusted_gov</t>
        </is>
      </c>
      <c r="I423" s="181" t="inlineStr">
        <is>
          <t>Integrated from cleaned high-signal dataset</t>
        </is>
      </c>
    </row>
    <row r="424">
      <c r="A424" s="181" t="inlineStr">
        <is>
          <t>valerenic acid</t>
        </is>
      </c>
      <c r="B424" s="181" t="inlineStr">
        <is>
          <t>valerenic acid</t>
        </is>
      </c>
      <c r="C424" s="181" t="inlineStr">
        <is>
          <t>valeriana-officinalis</t>
        </is>
      </c>
      <c r="D424" s="181" t="inlineStr">
        <is>
          <t>valerian; valeriana officinalis</t>
        </is>
      </c>
      <c r="E424" s="181" t="n">
        <v>1</v>
      </c>
      <c r="F424" s="181" t="inlineStr">
        <is>
          <t>gabaergic_modulation; general or unknown targets</t>
        </is>
      </c>
      <c r="G424" s="181" t="inlineStr">
        <is>
          <t>GABAergic modulation; multi-target signaling modulation</t>
        </is>
      </c>
      <c r="H424" s="181" t="inlineStr">
        <is>
          <t>inferred_plus_trusted_gov; trusted_gov_added</t>
        </is>
      </c>
      <c r="I424" s="181" t="inlineStr">
        <is>
          <t>Integrated from cleaned high-signal dataset</t>
        </is>
      </c>
    </row>
    <row r="425">
      <c r="A425" s="181" t="inlineStr">
        <is>
          <t>valerenol</t>
        </is>
      </c>
      <c r="B425" s="181" t="inlineStr">
        <is>
          <t>valerenol</t>
        </is>
      </c>
      <c r="C425" s="181" t="inlineStr">
        <is>
          <t>valeriana-officinalis</t>
        </is>
      </c>
      <c r="D425" s="181" t="inlineStr">
        <is>
          <t>valerian</t>
        </is>
      </c>
      <c r="E425" s="181" t="n">
        <v>1</v>
      </c>
      <c r="F425" s="181" t="inlineStr">
        <is>
          <t>gabaergic_modulation</t>
        </is>
      </c>
      <c r="G425" s="181" t="inlineStr">
        <is>
          <t>GABAergic modulation</t>
        </is>
      </c>
      <c r="H425" s="181" t="inlineStr">
        <is>
          <t>trusted_gov_added</t>
        </is>
      </c>
      <c r="I425" s="181" t="inlineStr">
        <is>
          <t>Integrated from cleaned high-signal dataset</t>
        </is>
      </c>
    </row>
    <row r="426">
      <c r="A426" s="181" t="inlineStr">
        <is>
          <t>vanillin</t>
        </is>
      </c>
      <c r="B426" s="181" t="inlineStr">
        <is>
          <t>vanillin</t>
        </is>
      </c>
      <c r="C426" s="181" t="inlineStr">
        <is>
          <t>myroxylon-balsamum</t>
        </is>
      </c>
      <c r="D426" s="181" t="inlineStr">
        <is>
          <t>myroxylon balsamum</t>
        </is>
      </c>
      <c r="E426" s="181" t="n">
        <v>1</v>
      </c>
      <c r="F426" s="181" t="inlineStr">
        <is>
          <t>general or unknown targets</t>
        </is>
      </c>
      <c r="G426" s="181" t="inlineStr">
        <is>
          <t>multi-target signaling modulation</t>
        </is>
      </c>
      <c r="H426" s="181" t="inlineStr">
        <is>
          <t>inferred_plus_trusted_gov</t>
        </is>
      </c>
      <c r="I426" s="181" t="inlineStr">
        <is>
          <t>Integrated from cleaned high-signal dataset</t>
        </is>
      </c>
    </row>
    <row r="427">
      <c r="A427" s="181" t="inlineStr">
        <is>
          <t>vasicine</t>
        </is>
      </c>
      <c r="B427" s="181" t="inlineStr">
        <is>
          <t>vasicine</t>
        </is>
      </c>
      <c r="C427" s="181" t="inlineStr">
        <is>
          <t>adhatoda-vasica</t>
        </is>
      </c>
      <c r="D427" s="181" t="inlineStr">
        <is>
          <t>adhatoda vasica</t>
        </is>
      </c>
      <c r="E427" s="181" t="n">
        <v>1</v>
      </c>
      <c r="F427" s="181" t="inlineStr">
        <is>
          <t>general or unknown targets</t>
        </is>
      </c>
      <c r="G427" s="181" t="inlineStr">
        <is>
          <t>multi-target signaling modulation</t>
        </is>
      </c>
      <c r="H427" s="181" t="inlineStr">
        <is>
          <t>trusted_gov_added</t>
        </is>
      </c>
      <c r="I427" s="181" t="inlineStr">
        <is>
          <t>Integrated from cleaned high-signal dataset</t>
        </is>
      </c>
    </row>
    <row r="428">
      <c r="A428" s="181" t="inlineStr">
        <is>
          <t>vasicinone</t>
        </is>
      </c>
      <c r="B428" s="181" t="inlineStr">
        <is>
          <t>vasicinone</t>
        </is>
      </c>
      <c r="C428" s="181" t="inlineStr">
        <is>
          <t>adhatoda-vasica; sida-cordifolia</t>
        </is>
      </c>
      <c r="D428" s="181" t="inlineStr">
        <is>
          <t>adhatoda vasica; sida cordifolia</t>
        </is>
      </c>
      <c r="E428" s="181" t="n">
        <v>2</v>
      </c>
      <c r="F428" s="181" t="inlineStr">
        <is>
          <t>general or unknown targets</t>
        </is>
      </c>
      <c r="G428" s="181" t="inlineStr">
        <is>
          <t>multi-target signaling modulation</t>
        </is>
      </c>
      <c r="H428" s="181" t="inlineStr">
        <is>
          <t>inferred_plus_trusted_gov; trusted_gov_added</t>
        </is>
      </c>
      <c r="I428" s="181" t="inlineStr">
        <is>
          <t>Integrated from cleaned high-signal dataset</t>
        </is>
      </c>
    </row>
    <row r="429">
      <c r="A429" s="181" t="inlineStr">
        <is>
          <t>verbascoside</t>
        </is>
      </c>
      <c r="B429" s="181" t="inlineStr">
        <is>
          <t>verbascoside</t>
        </is>
      </c>
      <c r="C429" s="181" t="inlineStr">
        <is>
          <t>stachytarpheta-cayennensis</t>
        </is>
      </c>
      <c r="D429" s="181" t="inlineStr">
        <is>
          <t>stachytarpheta cayennensis</t>
        </is>
      </c>
      <c r="E429" s="181" t="n">
        <v>1</v>
      </c>
      <c r="F429" s="181" t="inlineStr">
        <is>
          <t>general or unknown targets</t>
        </is>
      </c>
      <c r="G429" s="181" t="inlineStr">
        <is>
          <t>multi-target signaling modulation</t>
        </is>
      </c>
      <c r="H429" s="181" t="inlineStr">
        <is>
          <t>inferred_plus_trusted_gov</t>
        </is>
      </c>
      <c r="I429" s="181" t="inlineStr">
        <is>
          <t>Integrated from cleaned high-signal dataset</t>
        </is>
      </c>
    </row>
    <row r="430">
      <c r="A430" s="181" t="inlineStr">
        <is>
          <t>vicine</t>
        </is>
      </c>
      <c r="B430" s="181" t="inlineStr">
        <is>
          <t>vicine</t>
        </is>
      </c>
      <c r="C430" s="181" t="inlineStr">
        <is>
          <t>momordica-charantia</t>
        </is>
      </c>
      <c r="D430" s="181" t="inlineStr">
        <is>
          <t>momordica charantia</t>
        </is>
      </c>
      <c r="E430" s="181" t="n">
        <v>1</v>
      </c>
      <c r="F430" s="181" t="inlineStr">
        <is>
          <t>general or unknown targets</t>
        </is>
      </c>
      <c r="G430" s="181" t="inlineStr">
        <is>
          <t>multi-target signaling modulation</t>
        </is>
      </c>
      <c r="H430" s="181" t="inlineStr">
        <is>
          <t>inferred_plus_trusted_gov</t>
        </is>
      </c>
      <c r="I430" s="181" t="inlineStr">
        <is>
          <t>Integrated from cleaned high-signal dataset</t>
        </is>
      </c>
    </row>
    <row r="431">
      <c r="A431" s="181" t="inlineStr">
        <is>
          <t>vincamine</t>
        </is>
      </c>
      <c r="B431" s="181" t="inlineStr">
        <is>
          <t>vincamine</t>
        </is>
      </c>
      <c r="C431" s="181" t="inlineStr">
        <is>
          <t>vinca-minor</t>
        </is>
      </c>
      <c r="D431" s="181" t="inlineStr">
        <is>
          <t>vinca minor</t>
        </is>
      </c>
      <c r="E431" s="181" t="n">
        <v>1</v>
      </c>
      <c r="F431" s="181" t="inlineStr">
        <is>
          <t>general or unknown targets</t>
        </is>
      </c>
      <c r="G431" s="181" t="inlineStr">
        <is>
          <t>multi-target signaling modulation</t>
        </is>
      </c>
      <c r="H431" s="181" t="inlineStr">
        <is>
          <t>inferred_plus_trusted_gov</t>
        </is>
      </c>
      <c r="I431" s="181" t="inlineStr">
        <is>
          <t>Integrated from cleaned high-signal dataset</t>
        </is>
      </c>
    </row>
    <row r="432">
      <c r="A432" s="181" t="inlineStr">
        <is>
          <t>viscotoxin</t>
        </is>
      </c>
      <c r="B432" s="181" t="inlineStr">
        <is>
          <t>viscotoxin</t>
        </is>
      </c>
      <c r="C432" s="181" t="inlineStr">
        <is>
          <t>viscum-album</t>
        </is>
      </c>
      <c r="D432" s="181" t="inlineStr">
        <is>
          <t>mistletoe</t>
        </is>
      </c>
      <c r="E432" s="181" t="n">
        <v>1</v>
      </c>
      <c r="F432" s="181" t="inlineStr">
        <is>
          <t>general or unknown targets</t>
        </is>
      </c>
      <c r="G432" s="181" t="inlineStr">
        <is>
          <t>multi-target signaling modulation</t>
        </is>
      </c>
      <c r="H432" s="181" t="inlineStr">
        <is>
          <t>citation_or_url_present</t>
        </is>
      </c>
      <c r="I432" s="181" t="inlineStr">
        <is>
          <t>Integrated from cleaned high-signal dataset</t>
        </is>
      </c>
    </row>
    <row r="433">
      <c r="A433" s="181" t="inlineStr">
        <is>
          <t>vitamin c</t>
        </is>
      </c>
      <c r="B433" s="181" t="inlineStr">
        <is>
          <t>vitamin c</t>
        </is>
      </c>
      <c r="C433" s="181" t="inlineStr">
        <is>
          <t>rosa-canina</t>
        </is>
      </c>
      <c r="D433" s="181" t="inlineStr">
        <is>
          <t>rosa canina</t>
        </is>
      </c>
      <c r="E433" s="181" t="n">
        <v>1</v>
      </c>
      <c r="F433" s="181" t="inlineStr">
        <is>
          <t>general or unknown targets</t>
        </is>
      </c>
      <c r="G433" s="181" t="inlineStr">
        <is>
          <t>multi-target signaling modulation</t>
        </is>
      </c>
      <c r="H433" s="181" t="inlineStr">
        <is>
          <t>inferred_plus_trusted_gov</t>
        </is>
      </c>
      <c r="I433" s="181" t="inlineStr">
        <is>
          <t>Integrated from cleaned high-signal dataset</t>
        </is>
      </c>
    </row>
    <row r="434">
      <c r="A434" s="181" t="inlineStr">
        <is>
          <t>vitexin</t>
        </is>
      </c>
      <c r="B434" s="181" t="inlineStr">
        <is>
          <t>vitexin</t>
        </is>
      </c>
      <c r="C434" s="181" t="inlineStr">
        <is>
          <t>amorpha-fruticosa; passiflora-incarnata</t>
        </is>
      </c>
      <c r="D434" s="181" t="inlineStr">
        <is>
          <t>amorpha fruticosa; passionflower</t>
        </is>
      </c>
      <c r="E434" s="181" t="n">
        <v>2</v>
      </c>
      <c r="F434" s="181" t="inlineStr">
        <is>
          <t>cholinergic_modulation; gabaergic_modulation; monoamine_oxidase_inhibition</t>
        </is>
      </c>
      <c r="G434" s="181" t="inlineStr">
        <is>
          <t>multi-target signaling modulation; muscarinic receptor interaction</t>
        </is>
      </c>
      <c r="H434" s="181" t="inlineStr">
        <is>
          <t>trusted_gov_added</t>
        </is>
      </c>
      <c r="I434" s="181" t="inlineStr">
        <is>
          <t>Integrated from cleaned high-signal dataset</t>
        </is>
      </c>
    </row>
    <row r="435">
      <c r="A435" s="181" t="inlineStr">
        <is>
          <t>voacangine</t>
        </is>
      </c>
      <c r="B435" s="181" t="inlineStr">
        <is>
          <t>voacangine</t>
        </is>
      </c>
      <c r="C435" s="181" t="inlineStr">
        <is>
          <t>tabernaemontana-divaricata</t>
        </is>
      </c>
      <c r="D435" s="181" t="inlineStr">
        <is>
          <t>tabernaemontana divaricata</t>
        </is>
      </c>
      <c r="E435" s="181" t="n">
        <v>1</v>
      </c>
      <c r="F435" s="181" t="inlineStr">
        <is>
          <t>general or unknown targets</t>
        </is>
      </c>
      <c r="G435" s="181" t="inlineStr">
        <is>
          <t>multi-target signaling modulation</t>
        </is>
      </c>
      <c r="H435" s="181" t="inlineStr">
        <is>
          <t>inferred_plus_trusted_gov</t>
        </is>
      </c>
      <c r="I435" s="181" t="inlineStr">
        <is>
          <t>Integrated from cleaned high-signal dataset</t>
        </is>
      </c>
    </row>
    <row r="436">
      <c r="A436" s="181" t="inlineStr">
        <is>
          <t>withanolide d</t>
        </is>
      </c>
      <c r="B436" s="181" t="inlineStr">
        <is>
          <t>withanolide d)</t>
        </is>
      </c>
      <c r="C436" s="181" t="inlineStr">
        <is>
          <t>withania-somnifera; withania-somnifera-ashwagandha</t>
        </is>
      </c>
      <c r="D436" s="181" t="inlineStr">
        <is>
          <t>ashwagandha; withania somnifera (ashwagandha)</t>
        </is>
      </c>
      <c r="E436" s="181" t="n">
        <v>2</v>
      </c>
      <c r="F436" s="181" t="inlineStr">
        <is>
          <t>gabaergic_modulation; inflammatory_pathway_modulation</t>
        </is>
      </c>
      <c r="G436" s="181" t="inlineStr">
        <is>
          <t>COX/NF-kB inhibition; GABAergic modulation</t>
        </is>
      </c>
      <c r="H436" s="181" t="inlineStr">
        <is>
          <t>trusted_gov_added</t>
        </is>
      </c>
      <c r="I436" s="181" t="inlineStr">
        <is>
          <t>Integrated from cleaned high-signal dataset</t>
        </is>
      </c>
    </row>
    <row r="437">
      <c r="A437" s="181" t="inlineStr">
        <is>
          <t>withanolides withaferin a</t>
        </is>
      </c>
      <c r="B437" s="181" t="inlineStr">
        <is>
          <t>withanolides (withaferin a</t>
        </is>
      </c>
      <c r="C437" s="181" t="inlineStr">
        <is>
          <t>withania-somnifera; withania-somnifera-ashwagandha</t>
        </is>
      </c>
      <c r="D437" s="181" t="inlineStr">
        <is>
          <t>ashwagandha; withania somnifera (ashwagandha)</t>
        </is>
      </c>
      <c r="E437" s="181" t="n">
        <v>2</v>
      </c>
      <c r="F437" s="181" t="inlineStr">
        <is>
          <t>gabaergic_modulation; inflammatory_pathway_modulation</t>
        </is>
      </c>
      <c r="G437" s="181" t="inlineStr">
        <is>
          <t>COX/NF-kB inhibition; GABAergic modulation</t>
        </is>
      </c>
      <c r="H437" s="181" t="inlineStr">
        <is>
          <t>trusted_gov_added</t>
        </is>
      </c>
      <c r="I437" s="181" t="inlineStr">
        <is>
          <t>Integrated from cleaned high-signal dataset</t>
        </is>
      </c>
    </row>
    <row r="438">
      <c r="A438" s="181" t="inlineStr">
        <is>
          <t>wogonin</t>
        </is>
      </c>
      <c r="B438" s="181" t="inlineStr">
        <is>
          <t>wogonin</t>
        </is>
      </c>
      <c r="C438" s="181" t="inlineStr">
        <is>
          <t>scutellaria-baicalensis; scutellaria-lateriflora</t>
        </is>
      </c>
      <c r="D438" s="181" t="inlineStr">
        <is>
          <t>scutellaria baicalensis; scutellaria lateriflora</t>
        </is>
      </c>
      <c r="E438" s="181" t="n">
        <v>2</v>
      </c>
      <c r="F438" s="181" t="inlineStr">
        <is>
          <t>gabaergic_modulation; general or unknown targets</t>
        </is>
      </c>
      <c r="G438" s="181" t="inlineStr">
        <is>
          <t>GABAergic modulation; multi-target signaling modulation</t>
        </is>
      </c>
      <c r="H438" s="181" t="inlineStr">
        <is>
          <t>inferred_plus_trusted_gov; trusted_gov_added</t>
        </is>
      </c>
      <c r="I438" s="181" t="inlineStr">
        <is>
          <t>Integrated from cleaned high-signal dataset</t>
        </is>
      </c>
    </row>
    <row r="439">
      <c r="A439" s="181" t="inlineStr">
        <is>
          <t>xanthohumol</t>
        </is>
      </c>
      <c r="B439" s="181" t="inlineStr">
        <is>
          <t>xanthohumol</t>
        </is>
      </c>
      <c r="C439" s="181" t="inlineStr">
        <is>
          <t>humulus-lupulus</t>
        </is>
      </c>
      <c r="D439" s="181" t="inlineStr">
        <is>
          <t>humulus lupulus</t>
        </is>
      </c>
      <c r="E439" s="181" t="n">
        <v>1</v>
      </c>
      <c r="F439" s="181" t="inlineStr">
        <is>
          <t>general or unknown targets</t>
        </is>
      </c>
      <c r="G439" s="181" t="inlineStr">
        <is>
          <t>multi-target signaling modulation</t>
        </is>
      </c>
      <c r="H439" s="181" t="inlineStr">
        <is>
          <t>inferred_plus_trusted_gov</t>
        </is>
      </c>
      <c r="I439" s="181" t="inlineStr">
        <is>
          <t>Integrated from cleaned high-signal dataset</t>
        </is>
      </c>
    </row>
    <row r="440">
      <c r="A440" s="181" t="inlineStr">
        <is>
          <t>xanthotoxol</t>
        </is>
      </c>
      <c r="B440" s="181" t="inlineStr">
        <is>
          <t>xanthotoxol</t>
        </is>
      </c>
      <c r="C440" s="181" t="inlineStr">
        <is>
          <t>casimiroa-edulis</t>
        </is>
      </c>
      <c r="D440" s="181" t="inlineStr">
        <is>
          <t>casimiroa edulis</t>
        </is>
      </c>
      <c r="E440" s="181" t="n">
        <v>1</v>
      </c>
      <c r="F440" s="181" t="inlineStr">
        <is>
          <t>general or unknown targets</t>
        </is>
      </c>
      <c r="G440" s="181" t="inlineStr">
        <is>
          <t>multi-target signaling modulation</t>
        </is>
      </c>
      <c r="H440" s="181" t="inlineStr">
        <is>
          <t>trusted_gov_added</t>
        </is>
      </c>
      <c r="I440" s="181" t="inlineStr">
        <is>
          <t>Integrated from cleaned high-signal dataset</t>
        </is>
      </c>
    </row>
    <row r="441">
      <c r="A441" s="181" t="inlineStr">
        <is>
          <t>xanthumin</t>
        </is>
      </c>
      <c r="B441" s="181" t="inlineStr">
        <is>
          <t>xanthumin</t>
        </is>
      </c>
      <c r="C441" s="181" t="inlineStr">
        <is>
          <t>xanthium-strumarium</t>
        </is>
      </c>
      <c r="D441" s="181" t="inlineStr">
        <is>
          <t>xanthium strumarium</t>
        </is>
      </c>
      <c r="E441" s="181" t="n">
        <v>1</v>
      </c>
      <c r="F441" s="181" t="inlineStr">
        <is>
          <t>general or unknown targets</t>
        </is>
      </c>
      <c r="G441" s="181" t="inlineStr">
        <is>
          <t>multi-target signaling modulation</t>
        </is>
      </c>
      <c r="H441" s="181" t="inlineStr">
        <is>
          <t>inferred_plus_trusted_gov</t>
        </is>
      </c>
      <c r="I441" s="181" t="inlineStr">
        <is>
          <t>Integrated from cleaned high-signal dataset</t>
        </is>
      </c>
    </row>
    <row r="442">
      <c r="A442" s="181" t="inlineStr">
        <is>
          <t>yangonin</t>
        </is>
      </c>
      <c r="B442" s="181" t="inlineStr">
        <is>
          <t>yangonin</t>
        </is>
      </c>
      <c r="C442" s="181" t="inlineStr">
        <is>
          <t>kava; piper-methysticum</t>
        </is>
      </c>
      <c r="D442" s="181" t="inlineStr">
        <is>
          <t>kava; piper methysticum</t>
        </is>
      </c>
      <c r="E442" s="181" t="n">
        <v>2</v>
      </c>
      <c r="F442" s="181" t="inlineStr">
        <is>
          <t>dopaminergic_modulation; gabaergic_modulation</t>
        </is>
      </c>
      <c r="G442" s="181" t="inlineStr">
        <is>
          <t>GABAergic modulation; multi-target signaling modulation</t>
        </is>
      </c>
      <c r="H442" s="181" t="inlineStr">
        <is>
          <t>trusted_gov_added</t>
        </is>
      </c>
      <c r="I442" s="181" t="inlineStr">
        <is>
          <t>Integrated from cleaned high-signal dataset</t>
        </is>
      </c>
    </row>
    <row r="443">
      <c r="A443" s="181" t="inlineStr">
        <is>
          <t>zerumbone</t>
        </is>
      </c>
      <c r="B443" s="181" t="inlineStr">
        <is>
          <t>zerumbone</t>
        </is>
      </c>
      <c r="C443" s="181" t="inlineStr">
        <is>
          <t>zingiber-zerumbet</t>
        </is>
      </c>
      <c r="D443" s="181" t="inlineStr">
        <is>
          <t>shampoo ginger</t>
        </is>
      </c>
      <c r="E443" s="181" t="n">
        <v>1</v>
      </c>
      <c r="F443" s="181" t="inlineStr">
        <is>
          <t>inflammatory_pathway_modulation</t>
        </is>
      </c>
      <c r="G443" s="181" t="inlineStr">
        <is>
          <t>COX/NF-kB inhibition</t>
        </is>
      </c>
      <c r="H443" s="181" t="inlineStr">
        <is>
          <t>trusted_gov_added</t>
        </is>
      </c>
      <c r="I443" s="181" t="inlineStr">
        <is>
          <t>Integrated from cleaned high-signal dataset</t>
        </is>
      </c>
    </row>
    <row r="444">
      <c r="A444" s="181" t="inlineStr">
        <is>
          <t>zingerone</t>
        </is>
      </c>
      <c r="B444" s="181" t="inlineStr">
        <is>
          <t>zingerone</t>
        </is>
      </c>
      <c r="C444" s="181" t="inlineStr">
        <is>
          <t>zingiber-officinale</t>
        </is>
      </c>
      <c r="D444" s="181" t="inlineStr">
        <is>
          <t>ginger</t>
        </is>
      </c>
      <c r="E444" s="181" t="n">
        <v>1</v>
      </c>
      <c r="F444" s="181" t="inlineStr">
        <is>
          <t>inflammatory_pathway_modulation</t>
        </is>
      </c>
      <c r="G444" s="181" t="inlineStr">
        <is>
          <t>COX/NF-kB inhibition</t>
        </is>
      </c>
      <c r="H444" s="181" t="inlineStr">
        <is>
          <t>trusted_gov_added</t>
        </is>
      </c>
      <c r="I444" s="181" t="inlineStr">
        <is>
          <t>Integrated from cleaned high-signal dataset</t>
        </is>
      </c>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H656"/>
  <sheetViews>
    <sheetView workbookViewId="0">
      <selection activeCell="A1" sqref="A1"/>
    </sheetView>
  </sheetViews>
  <sheetFormatPr baseColWidth="8" defaultRowHeight="15"/>
  <cols>
    <col width="30" customWidth="1" style="76" min="1" max="1"/>
    <col width="22" customWidth="1" style="76" min="2" max="2"/>
    <col width="18" customWidth="1" style="76" min="3" max="3"/>
    <col width="20" customWidth="1" style="76" min="4" max="4"/>
    <col width="24" customWidth="1" style="76" min="5" max="5"/>
    <col width="10" customWidth="1" style="76" min="6" max="6"/>
    <col width="22" customWidth="1" style="76" min="7" max="7"/>
    <col width="16" customWidth="1" style="76" min="8" max="8"/>
  </cols>
  <sheetData>
    <row r="1" ht="24" customHeight="1" s="76">
      <c r="A1" s="122" t="inlineStr">
        <is>
          <t>pathwayTarget</t>
        </is>
      </c>
      <c r="B1" s="122" t="inlineStr">
        <is>
          <t>canonicalCompoundId</t>
        </is>
      </c>
      <c r="C1" s="122" t="inlineStr">
        <is>
          <t>compoundName</t>
        </is>
      </c>
      <c r="D1" s="122" t="inlineStr">
        <is>
          <t>herbSlugs</t>
        </is>
      </c>
      <c r="E1" s="122" t="inlineStr">
        <is>
          <t>herbNames</t>
        </is>
      </c>
      <c r="F1" s="122" t="inlineStr">
        <is>
          <t>herbCount</t>
        </is>
      </c>
      <c r="G1" s="122" t="inlineStr">
        <is>
          <t>mechanismTags</t>
        </is>
      </c>
      <c r="H1" s="122" t="inlineStr">
        <is>
          <t>sourceQuality</t>
        </is>
      </c>
    </row>
    <row r="2">
      <c r="A2" s="181" t="inlineStr">
        <is>
          <t>AMPK activation</t>
        </is>
      </c>
      <c r="B2" s="181" t="inlineStr">
        <is>
          <t>berberine</t>
        </is>
      </c>
      <c r="C2" s="181" t="inlineStr">
        <is>
          <t>berberine</t>
        </is>
      </c>
      <c r="D2" s="181" t="inlineStr">
        <is>
          <t>argemone-mexicana; berberis-vulgaris; chelidonium-majus; coptis-chinensis; hydrastis-canadensis; phellodendron-amurense</t>
        </is>
      </c>
      <c r="E2" s="181" t="inlineStr">
        <is>
          <t>argemone mexicana; berberis vulgaris; chelidonium majus; coptis chinensis; hydrastis canadensis; phellodendron amurense</t>
        </is>
      </c>
      <c r="F2" s="181" t="n">
        <v>6</v>
      </c>
      <c r="G2" s="181" t="inlineStr">
        <is>
          <t>multi-target signaling modulation</t>
        </is>
      </c>
      <c r="H2" s="181" t="inlineStr">
        <is>
          <t>inferred_plus_trusted_gov; trusted_gov_added</t>
        </is>
      </c>
    </row>
    <row r="3">
      <c r="A3" s="181" t="inlineStr">
        <is>
          <t>NF-kB pathway inhibition</t>
        </is>
      </c>
      <c r="B3" s="181" t="inlineStr">
        <is>
          <t>berberine</t>
        </is>
      </c>
      <c r="C3" s="181" t="inlineStr">
        <is>
          <t>berberine</t>
        </is>
      </c>
      <c r="D3" s="181" t="inlineStr">
        <is>
          <t>argemone-mexicana; berberis-vulgaris; chelidonium-majus; coptis-chinensis; hydrastis-canadensis; phellodendron-amurense</t>
        </is>
      </c>
      <c r="E3" s="181" t="inlineStr">
        <is>
          <t>argemone mexicana; berberis vulgaris; chelidonium majus; coptis chinensis; hydrastis canadensis; phellodendron amurense</t>
        </is>
      </c>
      <c r="F3" s="181" t="n">
        <v>6</v>
      </c>
      <c r="G3" s="181" t="inlineStr">
        <is>
          <t>multi-target signaling modulation</t>
        </is>
      </c>
      <c r="H3" s="181" t="inlineStr">
        <is>
          <t>inferred_plus_trusted_gov; trusted_gov_added</t>
        </is>
      </c>
    </row>
    <row r="4">
      <c r="A4" s="181" t="inlineStr">
        <is>
          <t>general or unknown targets</t>
        </is>
      </c>
      <c r="B4" s="181" t="inlineStr">
        <is>
          <t>berberine</t>
        </is>
      </c>
      <c r="C4" s="181" t="inlineStr">
        <is>
          <t>berberine</t>
        </is>
      </c>
      <c r="D4" s="181" t="inlineStr">
        <is>
          <t>argemone-mexicana; berberis-vulgaris; chelidonium-majus; coptis-chinensis; hydrastis-canadensis; phellodendron-amurense</t>
        </is>
      </c>
      <c r="E4" s="181" t="inlineStr">
        <is>
          <t>argemone mexicana; berberis vulgaris; chelidonium majus; coptis chinensis; hydrastis canadensis; phellodendron amurense</t>
        </is>
      </c>
      <c r="F4" s="181" t="n">
        <v>6</v>
      </c>
      <c r="G4" s="181" t="inlineStr">
        <is>
          <t>multi-target signaling modulation</t>
        </is>
      </c>
      <c r="H4" s="181" t="inlineStr">
        <is>
          <t>inferred_plus_trusted_gov; trusted_gov_added</t>
        </is>
      </c>
    </row>
    <row r="5">
      <c r="A5" s="181" t="inlineStr">
        <is>
          <t>mitochondrial complex I inhibition</t>
        </is>
      </c>
      <c r="B5" s="181" t="inlineStr">
        <is>
          <t>berberine</t>
        </is>
      </c>
      <c r="C5" s="181" t="inlineStr">
        <is>
          <t>berberine</t>
        </is>
      </c>
      <c r="D5" s="181" t="inlineStr">
        <is>
          <t>argemone-mexicana; berberis-vulgaris; chelidonium-majus; coptis-chinensis; hydrastis-canadensis; phellodendron-amurense</t>
        </is>
      </c>
      <c r="E5" s="181" t="inlineStr">
        <is>
          <t>argemone mexicana; berberis vulgaris; chelidonium majus; coptis chinensis; hydrastis canadensis; phellodendron amurense</t>
        </is>
      </c>
      <c r="F5" s="181" t="n">
        <v>6</v>
      </c>
      <c r="G5" s="181" t="inlineStr">
        <is>
          <t>multi-target signaling modulation</t>
        </is>
      </c>
      <c r="H5" s="181" t="inlineStr">
        <is>
          <t>inferred_plus_trusted_gov; trusted_gov_added</t>
        </is>
      </c>
    </row>
    <row r="6">
      <c r="A6" s="181" t="inlineStr">
        <is>
          <t>NF-kB pathway inhibition</t>
        </is>
      </c>
      <c r="B6" s="181" t="inlineStr">
        <is>
          <t>eugenol</t>
        </is>
      </c>
      <c r="C6" s="181" t="inlineStr">
        <is>
          <t>eugenol</t>
        </is>
      </c>
      <c r="D6" s="181" t="inlineStr">
        <is>
          <t>acorus-calamus; cinnamomum-verum; laurus-nobilis; ocimum-sanctum; pimenta-racemosa; syzygium-aromaticum; tulsi</t>
        </is>
      </c>
      <c r="E6" s="181" t="inlineStr">
        <is>
          <t>acorus calamus; cinnamomum verum; holy basil; laurus nobilis; ocimum sanctum; pimenta racemosa; syzygium aromaticum; tulsi</t>
        </is>
      </c>
      <c r="F6" s="181" t="n">
        <v>7</v>
      </c>
      <c r="G6" s="181" t="inlineStr">
        <is>
          <t>COX/NF-kB inhibition; GABAergic modulation; multi-target signaling modulation</t>
        </is>
      </c>
      <c r="H6" s="181" t="inlineStr">
        <is>
          <t>inferred_plus_trusted_gov; trusted_gov_added</t>
        </is>
      </c>
    </row>
    <row r="7">
      <c r="A7" s="181" t="inlineStr">
        <is>
          <t>PLCγ2-PKC pathway inhibition</t>
        </is>
      </c>
      <c r="B7" s="181" t="inlineStr">
        <is>
          <t>eugenol</t>
        </is>
      </c>
      <c r="C7" s="181" t="inlineStr">
        <is>
          <t>eugenol</t>
        </is>
      </c>
      <c r="D7" s="181" t="inlineStr">
        <is>
          <t>acorus-calamus; cinnamomum-verum; laurus-nobilis; ocimum-sanctum; pimenta-racemosa; syzygium-aromaticum; tulsi</t>
        </is>
      </c>
      <c r="E7" s="181" t="inlineStr">
        <is>
          <t>acorus calamus; cinnamomum verum; holy basil; laurus nobilis; ocimum sanctum; pimenta racemosa; syzygium aromaticum; tulsi</t>
        </is>
      </c>
      <c r="F7" s="181" t="n">
        <v>7</v>
      </c>
      <c r="G7" s="181" t="inlineStr">
        <is>
          <t>COX/NF-kB inhibition; GABAergic modulation; multi-target signaling modulation</t>
        </is>
      </c>
      <c r="H7" s="181" t="inlineStr">
        <is>
          <t>inferred_plus_trusted_gov; trusted_gov_added</t>
        </is>
      </c>
    </row>
    <row r="8">
      <c r="A8" s="181" t="inlineStr">
        <is>
          <t>TRPV1 activation</t>
        </is>
      </c>
      <c r="B8" s="181" t="inlineStr">
        <is>
          <t>eugenol</t>
        </is>
      </c>
      <c r="C8" s="181" t="inlineStr">
        <is>
          <t>eugenol</t>
        </is>
      </c>
      <c r="D8" s="181" t="inlineStr">
        <is>
          <t>acorus-calamus; cinnamomum-verum; laurus-nobilis; ocimum-sanctum; pimenta-racemosa; syzygium-aromaticum; tulsi</t>
        </is>
      </c>
      <c r="E8" s="181" t="inlineStr">
        <is>
          <t>acorus calamus; cinnamomum verum; holy basil; laurus nobilis; ocimum sanctum; pimenta racemosa; syzygium aromaticum; tulsi</t>
        </is>
      </c>
      <c r="F8" s="181" t="n">
        <v>7</v>
      </c>
      <c r="G8" s="181" t="inlineStr">
        <is>
          <t>COX/NF-kB inhibition; GABAergic modulation; multi-target signaling modulation</t>
        </is>
      </c>
      <c r="H8" s="181" t="inlineStr">
        <is>
          <t>inferred_plus_trusted_gov; trusted_gov_added</t>
        </is>
      </c>
    </row>
    <row r="9">
      <c r="A9" s="181" t="inlineStr">
        <is>
          <t>cPLA2-TxA2 pathway inhibition</t>
        </is>
      </c>
      <c r="B9" s="181" t="inlineStr">
        <is>
          <t>eugenol</t>
        </is>
      </c>
      <c r="C9" s="181" t="inlineStr">
        <is>
          <t>eugenol</t>
        </is>
      </c>
      <c r="D9" s="181" t="inlineStr">
        <is>
          <t>acorus-calamus; cinnamomum-verum; laurus-nobilis; ocimum-sanctum; pimenta-racemosa; syzygium-aromaticum; tulsi</t>
        </is>
      </c>
      <c r="E9" s="181" t="inlineStr">
        <is>
          <t>acorus calamus; cinnamomum verum; holy basil; laurus nobilis; ocimum sanctum; pimenta racemosa; syzygium aromaticum; tulsi</t>
        </is>
      </c>
      <c r="F9" s="181" t="n">
        <v>7</v>
      </c>
      <c r="G9" s="181" t="inlineStr">
        <is>
          <t>COX/NF-kB inhibition; GABAergic modulation; multi-target signaling modulation</t>
        </is>
      </c>
      <c r="H9" s="181" t="inlineStr">
        <is>
          <t>inferred_plus_trusted_gov; trusted_gov_added</t>
        </is>
      </c>
    </row>
    <row r="10">
      <c r="A10" s="181" t="inlineStr">
        <is>
          <t>gabaergic_modulation</t>
        </is>
      </c>
      <c r="B10" s="181" t="inlineStr">
        <is>
          <t>eugenol</t>
        </is>
      </c>
      <c r="C10" s="181" t="inlineStr">
        <is>
          <t>eugenol</t>
        </is>
      </c>
      <c r="D10" s="181" t="inlineStr">
        <is>
          <t>acorus-calamus; cinnamomum-verum; laurus-nobilis; ocimum-sanctum; pimenta-racemosa; syzygium-aromaticum; tulsi</t>
        </is>
      </c>
      <c r="E10" s="181" t="inlineStr">
        <is>
          <t>acorus calamus; cinnamomum verum; holy basil; laurus nobilis; ocimum sanctum; pimenta racemosa; syzygium aromaticum; tulsi</t>
        </is>
      </c>
      <c r="F10" s="181" t="n">
        <v>7</v>
      </c>
      <c r="G10" s="181" t="inlineStr">
        <is>
          <t>COX/NF-kB inhibition; GABAergic modulation; multi-target signaling modulation</t>
        </is>
      </c>
      <c r="H10" s="181" t="inlineStr">
        <is>
          <t>inferred_plus_trusted_gov; trusted_gov_added</t>
        </is>
      </c>
    </row>
    <row r="11">
      <c r="A11" s="181" t="inlineStr">
        <is>
          <t>general or unknown targets</t>
        </is>
      </c>
      <c r="B11" s="181" t="inlineStr">
        <is>
          <t>eugenol</t>
        </is>
      </c>
      <c r="C11" s="181" t="inlineStr">
        <is>
          <t>eugenol</t>
        </is>
      </c>
      <c r="D11" s="181" t="inlineStr">
        <is>
          <t>acorus-calamus; cinnamomum-verum; laurus-nobilis; ocimum-sanctum; pimenta-racemosa; syzygium-aromaticum; tulsi</t>
        </is>
      </c>
      <c r="E11" s="181" t="inlineStr">
        <is>
          <t>acorus calamus; cinnamomum verum; holy basil; laurus nobilis; ocimum sanctum; pimenta racemosa; syzygium aromaticum; tulsi</t>
        </is>
      </c>
      <c r="F11" s="181" t="n">
        <v>7</v>
      </c>
      <c r="G11" s="181" t="inlineStr">
        <is>
          <t>COX/NF-kB inhibition; GABAergic modulation; multi-target signaling modulation</t>
        </is>
      </c>
      <c r="H11" s="181" t="inlineStr">
        <is>
          <t>inferred_plus_trusted_gov; trusted_gov_added</t>
        </is>
      </c>
    </row>
    <row r="12">
      <c r="A12" s="181" t="inlineStr">
        <is>
          <t>inflammatory_pathway_modulation</t>
        </is>
      </c>
      <c r="B12" s="181" t="inlineStr">
        <is>
          <t>eugenol</t>
        </is>
      </c>
      <c r="C12" s="181" t="inlineStr">
        <is>
          <t>eugenol</t>
        </is>
      </c>
      <c r="D12" s="181" t="inlineStr">
        <is>
          <t>acorus-calamus; cinnamomum-verum; laurus-nobilis; ocimum-sanctum; pimenta-racemosa; syzygium-aromaticum; tulsi</t>
        </is>
      </c>
      <c r="E12" s="181" t="inlineStr">
        <is>
          <t>acorus calamus; cinnamomum verum; holy basil; laurus nobilis; ocimum sanctum; pimenta racemosa; syzygium aromaticum; tulsi</t>
        </is>
      </c>
      <c r="F12" s="181" t="n">
        <v>7</v>
      </c>
      <c r="G12" s="181" t="inlineStr">
        <is>
          <t>COX/NF-kB inhibition; GABAergic modulation; multi-target signaling modulation</t>
        </is>
      </c>
      <c r="H12" s="181" t="inlineStr">
        <is>
          <t>inferred_plus_trusted_gov; trusted_gov_added</t>
        </is>
      </c>
    </row>
    <row r="13">
      <c r="A13" s="181" t="inlineStr">
        <is>
          <t>voltage-gated sodium channel inhibition</t>
        </is>
      </c>
      <c r="B13" s="181" t="inlineStr">
        <is>
          <t>eugenol</t>
        </is>
      </c>
      <c r="C13" s="181" t="inlineStr">
        <is>
          <t>eugenol</t>
        </is>
      </c>
      <c r="D13" s="181" t="inlineStr">
        <is>
          <t>acorus-calamus; cinnamomum-verum; laurus-nobilis; ocimum-sanctum; pimenta-racemosa; syzygium-aromaticum; tulsi</t>
        </is>
      </c>
      <c r="E13" s="181" t="inlineStr">
        <is>
          <t>acorus calamus; cinnamomum verum; holy basil; laurus nobilis; ocimum sanctum; pimenta racemosa; syzygium aromaticum; tulsi</t>
        </is>
      </c>
      <c r="F13" s="181" t="n">
        <v>7</v>
      </c>
      <c r="G13" s="181" t="inlineStr">
        <is>
          <t>COX/NF-kB inhibition; GABAergic modulation; multi-target signaling modulation</t>
        </is>
      </c>
      <c r="H13" s="181" t="inlineStr">
        <is>
          <t>inferred_plus_trusted_gov; trusted_gov_added</t>
        </is>
      </c>
    </row>
    <row r="14">
      <c r="A14" s="181" t="inlineStr">
        <is>
          <t>NF-kB pathway modulation</t>
        </is>
      </c>
      <c r="B14" s="181" t="inlineStr">
        <is>
          <t>carvacrol</t>
        </is>
      </c>
      <c r="C14" s="181" t="inlineStr">
        <is>
          <t>carvacrol</t>
        </is>
      </c>
      <c r="D14" s="181" t="inlineStr">
        <is>
          <t>monarda-fistulosa; origanum-vulgare; thymus-vulgaris</t>
        </is>
      </c>
      <c r="E14" s="181" t="inlineStr">
        <is>
          <t>monarda fistulosa; origanum vulgare; thymus vulgaris</t>
        </is>
      </c>
      <c r="F14" s="181" t="n">
        <v>3</v>
      </c>
      <c r="G14" s="181" t="inlineStr">
        <is>
          <t>multi-target signaling modulation</t>
        </is>
      </c>
      <c r="H14" s="181" t="inlineStr">
        <is>
          <t>inferred_plus_trusted_gov; trusted_gov_added</t>
        </is>
      </c>
    </row>
    <row r="15">
      <c r="A15" s="181" t="inlineStr">
        <is>
          <t>TRPA1 activation</t>
        </is>
      </c>
      <c r="B15" s="181" t="inlineStr">
        <is>
          <t>carvacrol</t>
        </is>
      </c>
      <c r="C15" s="181" t="inlineStr">
        <is>
          <t>carvacrol</t>
        </is>
      </c>
      <c r="D15" s="181" t="inlineStr">
        <is>
          <t>monarda-fistulosa; origanum-vulgare; thymus-vulgaris</t>
        </is>
      </c>
      <c r="E15" s="181" t="inlineStr">
        <is>
          <t>monarda fistulosa; origanum vulgare; thymus vulgaris</t>
        </is>
      </c>
      <c r="F15" s="181" t="n">
        <v>3</v>
      </c>
      <c r="G15" s="181" t="inlineStr">
        <is>
          <t>multi-target signaling modulation</t>
        </is>
      </c>
      <c r="H15" s="181" t="inlineStr">
        <is>
          <t>inferred_plus_trusted_gov; trusted_gov_added</t>
        </is>
      </c>
    </row>
    <row r="16">
      <c r="A16" s="181" t="inlineStr">
        <is>
          <t>TRPV3 activation</t>
        </is>
      </c>
      <c r="B16" s="181" t="inlineStr">
        <is>
          <t>carvacrol</t>
        </is>
      </c>
      <c r="C16" s="181" t="inlineStr">
        <is>
          <t>carvacrol</t>
        </is>
      </c>
      <c r="D16" s="181" t="inlineStr">
        <is>
          <t>monarda-fistulosa; origanum-vulgare; thymus-vulgaris</t>
        </is>
      </c>
      <c r="E16" s="181" t="inlineStr">
        <is>
          <t>monarda fistulosa; origanum vulgare; thymus vulgaris</t>
        </is>
      </c>
      <c r="F16" s="181" t="n">
        <v>3</v>
      </c>
      <c r="G16" s="181" t="inlineStr">
        <is>
          <t>multi-target signaling modulation</t>
        </is>
      </c>
      <c r="H16" s="181" t="inlineStr">
        <is>
          <t>inferred_plus_trusted_gov; trusted_gov_added</t>
        </is>
      </c>
    </row>
    <row r="17">
      <c r="A17" s="181" t="inlineStr">
        <is>
          <t>general or unknown targets</t>
        </is>
      </c>
      <c r="B17" s="181" t="inlineStr">
        <is>
          <t>carvacrol</t>
        </is>
      </c>
      <c r="C17" s="181" t="inlineStr">
        <is>
          <t>carvacrol</t>
        </is>
      </c>
      <c r="D17" s="181" t="inlineStr">
        <is>
          <t>monarda-fistulosa; origanum-vulgare; thymus-vulgaris</t>
        </is>
      </c>
      <c r="E17" s="181" t="inlineStr">
        <is>
          <t>monarda fistulosa; origanum vulgare; thymus vulgaris</t>
        </is>
      </c>
      <c r="F17" s="181" t="n">
        <v>3</v>
      </c>
      <c r="G17" s="181" t="inlineStr">
        <is>
          <t>multi-target signaling modulation</t>
        </is>
      </c>
      <c r="H17" s="181" t="inlineStr">
        <is>
          <t>inferred_plus_trusted_gov; trusted_gov_added</t>
        </is>
      </c>
    </row>
    <row r="18">
      <c r="A18" s="181" t="inlineStr">
        <is>
          <t>TNF-a reduction</t>
        </is>
      </c>
      <c r="B18" s="181" t="inlineStr">
        <is>
          <t>citral</t>
        </is>
      </c>
      <c r="C18" s="181" t="inlineStr">
        <is>
          <t>citral</t>
        </is>
      </c>
      <c r="D18" s="181" t="inlineStr">
        <is>
          <t>cymbopogon-citratus; lippia-alba; melissa-officinalis; melissa-officinalis-lemon-balm</t>
        </is>
      </c>
      <c r="E18" s="181" t="inlineStr">
        <is>
          <t>cymbopogon citratus; lemon balm; lippia alba; melissa officinalis (lemon balm)</t>
        </is>
      </c>
      <c r="F18" s="181" t="n">
        <v>4</v>
      </c>
      <c r="G18" s="181" t="inlineStr">
        <is>
          <t>GABAergic modulation; multi-target signaling modulation</t>
        </is>
      </c>
      <c r="H18" s="181" t="inlineStr">
        <is>
          <t>inferred_plus_trusted_gov; trusted_gov_added</t>
        </is>
      </c>
    </row>
    <row r="19">
      <c r="A19" s="181" t="inlineStr">
        <is>
          <t>TRPM3 modulation</t>
        </is>
      </c>
      <c r="B19" s="181" t="inlineStr">
        <is>
          <t>citral</t>
        </is>
      </c>
      <c r="C19" s="181" t="inlineStr">
        <is>
          <t>citral</t>
        </is>
      </c>
      <c r="D19" s="181" t="inlineStr">
        <is>
          <t>cymbopogon-citratus; lippia-alba; melissa-officinalis; melissa-officinalis-lemon-balm</t>
        </is>
      </c>
      <c r="E19" s="181" t="inlineStr">
        <is>
          <t>cymbopogon citratus; lemon balm; lippia alba; melissa officinalis (lemon balm)</t>
        </is>
      </c>
      <c r="F19" s="181" t="n">
        <v>4</v>
      </c>
      <c r="G19" s="181" t="inlineStr">
        <is>
          <t>GABAergic modulation; multi-target signaling modulation</t>
        </is>
      </c>
      <c r="H19" s="181" t="inlineStr">
        <is>
          <t>inferred_plus_trusted_gov; trusted_gov_added</t>
        </is>
      </c>
    </row>
    <row r="20">
      <c r="A20" s="181" t="inlineStr">
        <is>
          <t>TRPM8 modulation</t>
        </is>
      </c>
      <c r="B20" s="181" t="inlineStr">
        <is>
          <t>citral</t>
        </is>
      </c>
      <c r="C20" s="181" t="inlineStr">
        <is>
          <t>citral</t>
        </is>
      </c>
      <c r="D20" s="181" t="inlineStr">
        <is>
          <t>cymbopogon-citratus; lippia-alba; melissa-officinalis; melissa-officinalis-lemon-balm</t>
        </is>
      </c>
      <c r="E20" s="181" t="inlineStr">
        <is>
          <t>cymbopogon citratus; lemon balm; lippia alba; melissa officinalis (lemon balm)</t>
        </is>
      </c>
      <c r="F20" s="181" t="n">
        <v>4</v>
      </c>
      <c r="G20" s="181" t="inlineStr">
        <is>
          <t>GABAergic modulation; multi-target signaling modulation</t>
        </is>
      </c>
      <c r="H20" s="181" t="inlineStr">
        <is>
          <t>inferred_plus_trusted_gov; trusted_gov_added</t>
        </is>
      </c>
    </row>
    <row r="21">
      <c r="A21" s="181" t="inlineStr">
        <is>
          <t>TRPV1 modulation</t>
        </is>
      </c>
      <c r="B21" s="181" t="inlineStr">
        <is>
          <t>citral</t>
        </is>
      </c>
      <c r="C21" s="181" t="inlineStr">
        <is>
          <t>citral</t>
        </is>
      </c>
      <c r="D21" s="181" t="inlineStr">
        <is>
          <t>cymbopogon-citratus; lippia-alba; melissa-officinalis; melissa-officinalis-lemon-balm</t>
        </is>
      </c>
      <c r="E21" s="181" t="inlineStr">
        <is>
          <t>cymbopogon citratus; lemon balm; lippia alba; melissa officinalis (lemon balm)</t>
        </is>
      </c>
      <c r="F21" s="181" t="n">
        <v>4</v>
      </c>
      <c r="G21" s="181" t="inlineStr">
        <is>
          <t>GABAergic modulation; multi-target signaling modulation</t>
        </is>
      </c>
      <c r="H21" s="181" t="inlineStr">
        <is>
          <t>inferred_plus_trusted_gov; trusted_gov_added</t>
        </is>
      </c>
    </row>
    <row r="22">
      <c r="A22" s="181" t="inlineStr">
        <is>
          <t>gabaergic_modulation</t>
        </is>
      </c>
      <c r="B22" s="181" t="inlineStr">
        <is>
          <t>citral</t>
        </is>
      </c>
      <c r="C22" s="181" t="inlineStr">
        <is>
          <t>citral</t>
        </is>
      </c>
      <c r="D22" s="181" t="inlineStr">
        <is>
          <t>cymbopogon-citratus; lippia-alba; melissa-officinalis; melissa-officinalis-lemon-balm</t>
        </is>
      </c>
      <c r="E22" s="181" t="inlineStr">
        <is>
          <t>cymbopogon citratus; lemon balm; lippia alba; melissa officinalis (lemon balm)</t>
        </is>
      </c>
      <c r="F22" s="181" t="n">
        <v>4</v>
      </c>
      <c r="G22" s="181" t="inlineStr">
        <is>
          <t>GABAergic modulation; multi-target signaling modulation</t>
        </is>
      </c>
      <c r="H22" s="181" t="inlineStr">
        <is>
          <t>inferred_plus_trusted_gov; trusted_gov_added</t>
        </is>
      </c>
    </row>
    <row r="23">
      <c r="A23" s="181" t="inlineStr">
        <is>
          <t>general or unknown targets</t>
        </is>
      </c>
      <c r="B23" s="181" t="inlineStr">
        <is>
          <t>citral</t>
        </is>
      </c>
      <c r="C23" s="181" t="inlineStr">
        <is>
          <t>citral</t>
        </is>
      </c>
      <c r="D23" s="181" t="inlineStr">
        <is>
          <t>cymbopogon-citratus; lippia-alba; melissa-officinalis; melissa-officinalis-lemon-balm</t>
        </is>
      </c>
      <c r="E23" s="181" t="inlineStr">
        <is>
          <t>cymbopogon citratus; lemon balm; lippia alba; melissa officinalis (lemon balm)</t>
        </is>
      </c>
      <c r="F23" s="181" t="n">
        <v>4</v>
      </c>
      <c r="G23" s="181" t="inlineStr">
        <is>
          <t>GABAergic modulation; multi-target signaling modulation</t>
        </is>
      </c>
      <c r="H23" s="181" t="inlineStr">
        <is>
          <t>inferred_plus_trusted_gov; trusted_gov_added</t>
        </is>
      </c>
    </row>
    <row r="24">
      <c r="A24" s="181" t="inlineStr">
        <is>
          <t>TRPM8 agonism</t>
        </is>
      </c>
      <c r="B24" s="181" t="inlineStr">
        <is>
          <t>menthol</t>
        </is>
      </c>
      <c r="C24" s="181" t="inlineStr">
        <is>
          <t>menthol</t>
        </is>
      </c>
      <c r="D24" s="181" t="inlineStr">
        <is>
          <t>mentha-piperita</t>
        </is>
      </c>
      <c r="E24" s="181" t="inlineStr">
        <is>
          <t>mentha piperita; peppermint</t>
        </is>
      </c>
      <c r="F24" s="181" t="n">
        <v>1</v>
      </c>
      <c r="G24" s="181" t="inlineStr">
        <is>
          <t>multi-target signaling modulation</t>
        </is>
      </c>
      <c r="H24" s="181" t="inlineStr">
        <is>
          <t>inferred_plus_trusted_gov; trusted_gov_added</t>
        </is>
      </c>
    </row>
    <row r="25">
      <c r="A25" s="181" t="inlineStr">
        <is>
          <t>general or unknown targets</t>
        </is>
      </c>
      <c r="B25" s="181" t="inlineStr">
        <is>
          <t>menthol</t>
        </is>
      </c>
      <c r="C25" s="181" t="inlineStr">
        <is>
          <t>menthol</t>
        </is>
      </c>
      <c r="D25" s="181" t="inlineStr">
        <is>
          <t>mentha-piperita</t>
        </is>
      </c>
      <c r="E25" s="181" t="inlineStr">
        <is>
          <t>mentha piperita; peppermint</t>
        </is>
      </c>
      <c r="F25" s="181" t="n">
        <v>1</v>
      </c>
      <c r="G25" s="181" t="inlineStr">
        <is>
          <t>multi-target signaling modulation</t>
        </is>
      </c>
      <c r="H25" s="181" t="inlineStr">
        <is>
          <t>inferred_plus_trusted_gov; trusted_gov_added</t>
        </is>
      </c>
    </row>
    <row r="26">
      <c r="A26" s="181" t="inlineStr">
        <is>
          <t>NF-kB pathway inhibition</t>
        </is>
      </c>
      <c r="B26" s="181" t="inlineStr">
        <is>
          <t>emodin</t>
        </is>
      </c>
      <c r="C26" s="181" t="inlineStr">
        <is>
          <t>emodin</t>
        </is>
      </c>
      <c r="D26" s="181" t="inlineStr">
        <is>
          <t>cassia-occidentalis; polygonum-multiflorum; rheum-palmatum</t>
        </is>
      </c>
      <c r="E26" s="181" t="inlineStr">
        <is>
          <t>cassia occidentalis; polygonum multiflorum; rheum palmatum</t>
        </is>
      </c>
      <c r="F26" s="181" t="n">
        <v>3</v>
      </c>
      <c r="G26" s="181" t="inlineStr">
        <is>
          <t>multi-target signaling modulation</t>
        </is>
      </c>
      <c r="H26" s="181" t="inlineStr">
        <is>
          <t>inferred_plus_trusted_gov</t>
        </is>
      </c>
    </row>
    <row r="27">
      <c r="A27" s="181" t="inlineStr">
        <is>
          <t>apoptosis/caspase signaling modulation</t>
        </is>
      </c>
      <c r="B27" s="181" t="inlineStr">
        <is>
          <t>emodin</t>
        </is>
      </c>
      <c r="C27" s="181" t="inlineStr">
        <is>
          <t>emodin</t>
        </is>
      </c>
      <c r="D27" s="181" t="inlineStr">
        <is>
          <t>cassia-occidentalis; polygonum-multiflorum; rheum-palmatum</t>
        </is>
      </c>
      <c r="E27" s="181" t="inlineStr">
        <is>
          <t>cassia occidentalis; polygonum multiflorum; rheum palmatum</t>
        </is>
      </c>
      <c r="F27" s="181" t="n">
        <v>3</v>
      </c>
      <c r="G27" s="181" t="inlineStr">
        <is>
          <t>multi-target signaling modulation</t>
        </is>
      </c>
      <c r="H27" s="181" t="inlineStr">
        <is>
          <t>inferred_plus_trusted_gov</t>
        </is>
      </c>
    </row>
    <row r="28">
      <c r="A28" s="181" t="inlineStr">
        <is>
          <t>general or unknown targets</t>
        </is>
      </c>
      <c r="B28" s="181" t="inlineStr">
        <is>
          <t>emodin</t>
        </is>
      </c>
      <c r="C28" s="181" t="inlineStr">
        <is>
          <t>emodin</t>
        </is>
      </c>
      <c r="D28" s="181" t="inlineStr">
        <is>
          <t>cassia-occidentalis; polygonum-multiflorum; rheum-palmatum</t>
        </is>
      </c>
      <c r="E28" s="181" t="inlineStr">
        <is>
          <t>cassia occidentalis; polygonum multiflorum; rheum palmatum</t>
        </is>
      </c>
      <c r="F28" s="181" t="n">
        <v>3</v>
      </c>
      <c r="G28" s="181" t="inlineStr">
        <is>
          <t>multi-target signaling modulation</t>
        </is>
      </c>
      <c r="H28" s="181" t="inlineStr">
        <is>
          <t>inferred_plus_trusted_gov</t>
        </is>
      </c>
    </row>
    <row r="29">
      <c r="A29" s="181" t="inlineStr">
        <is>
          <t>tyrosine-kinase-related signaling</t>
        </is>
      </c>
      <c r="B29" s="181" t="inlineStr">
        <is>
          <t>emodin</t>
        </is>
      </c>
      <c r="C29" s="181" t="inlineStr">
        <is>
          <t>emodin</t>
        </is>
      </c>
      <c r="D29" s="181" t="inlineStr">
        <is>
          <t>cassia-occidentalis; polygonum-multiflorum; rheum-palmatum</t>
        </is>
      </c>
      <c r="E29" s="181" t="inlineStr">
        <is>
          <t>cassia occidentalis; polygonum multiflorum; rheum palmatum</t>
        </is>
      </c>
      <c r="F29" s="181" t="n">
        <v>3</v>
      </c>
      <c r="G29" s="181" t="inlineStr">
        <is>
          <t>multi-target signaling modulation</t>
        </is>
      </c>
      <c r="H29" s="181" t="inlineStr">
        <is>
          <t>inferred_plus_trusted_gov</t>
        </is>
      </c>
    </row>
    <row r="30">
      <c r="A30" s="181" t="inlineStr">
        <is>
          <t>AMPK activation</t>
        </is>
      </c>
      <c r="B30" s="181" t="inlineStr">
        <is>
          <t>salidroside</t>
        </is>
      </c>
      <c r="C30" s="181" t="inlineStr">
        <is>
          <t>salidroside</t>
        </is>
      </c>
      <c r="D30" s="181" t="inlineStr">
        <is>
          <t>rhodiola; rhodiola-rosea</t>
        </is>
      </c>
      <c r="E30" s="181" t="inlineStr">
        <is>
          <t>rhodiola; rhodiola rosea</t>
        </is>
      </c>
      <c r="F30" s="181" t="n">
        <v>2</v>
      </c>
      <c r="G30" s="181" t="inlineStr">
        <is>
          <t>multi-target signaling modulation</t>
        </is>
      </c>
      <c r="H30" s="181" t="inlineStr">
        <is>
          <t>inferred_plus_trusted_gov; trusted_gov_added</t>
        </is>
      </c>
    </row>
    <row r="31">
      <c r="A31" s="181" t="inlineStr">
        <is>
          <t>Nrf2/ARE pathway activation</t>
        </is>
      </c>
      <c r="B31" s="181" t="inlineStr">
        <is>
          <t>salidroside</t>
        </is>
      </c>
      <c r="C31" s="181" t="inlineStr">
        <is>
          <t>salidroside</t>
        </is>
      </c>
      <c r="D31" s="181" t="inlineStr">
        <is>
          <t>rhodiola; rhodiola-rosea</t>
        </is>
      </c>
      <c r="E31" s="181" t="inlineStr">
        <is>
          <t>rhodiola; rhodiola rosea</t>
        </is>
      </c>
      <c r="F31" s="181" t="n">
        <v>2</v>
      </c>
      <c r="G31" s="181" t="inlineStr">
        <is>
          <t>multi-target signaling modulation</t>
        </is>
      </c>
      <c r="H31" s="181" t="inlineStr">
        <is>
          <t>inferred_plus_trusted_gov; trusted_gov_added</t>
        </is>
      </c>
    </row>
    <row r="32">
      <c r="A32" s="181" t="inlineStr">
        <is>
          <t>PI3K/Akt pathway modulation</t>
        </is>
      </c>
      <c r="B32" s="181" t="inlineStr">
        <is>
          <t>salidroside</t>
        </is>
      </c>
      <c r="C32" s="181" t="inlineStr">
        <is>
          <t>salidroside</t>
        </is>
      </c>
      <c r="D32" s="181" t="inlineStr">
        <is>
          <t>rhodiola; rhodiola-rosea</t>
        </is>
      </c>
      <c r="E32" s="181" t="inlineStr">
        <is>
          <t>rhodiola; rhodiola rosea</t>
        </is>
      </c>
      <c r="F32" s="181" t="n">
        <v>2</v>
      </c>
      <c r="G32" s="181" t="inlineStr">
        <is>
          <t>multi-target signaling modulation</t>
        </is>
      </c>
      <c r="H32" s="181" t="inlineStr">
        <is>
          <t>inferred_plus_trusted_gov; trusted_gov_added</t>
        </is>
      </c>
    </row>
    <row r="33">
      <c r="A33" s="181" t="inlineStr">
        <is>
          <t>general or unknown targets</t>
        </is>
      </c>
      <c r="B33" s="181" t="inlineStr">
        <is>
          <t>salidroside</t>
        </is>
      </c>
      <c r="C33" s="181" t="inlineStr">
        <is>
          <t>salidroside</t>
        </is>
      </c>
      <c r="D33" s="181" t="inlineStr">
        <is>
          <t>rhodiola; rhodiola-rosea</t>
        </is>
      </c>
      <c r="E33" s="181" t="inlineStr">
        <is>
          <t>rhodiola; rhodiola rosea</t>
        </is>
      </c>
      <c r="F33" s="181" t="n">
        <v>2</v>
      </c>
      <c r="G33" s="181" t="inlineStr">
        <is>
          <t>multi-target signaling modulation</t>
        </is>
      </c>
      <c r="H33" s="181" t="inlineStr">
        <is>
          <t>inferred_plus_trusted_gov; trusted_gov_added</t>
        </is>
      </c>
    </row>
    <row r="34">
      <c r="A34" s="181" t="inlineStr">
        <is>
          <t>NF-kB pathway inhibition</t>
        </is>
      </c>
      <c r="B34" s="181" t="inlineStr">
        <is>
          <t>quercetin</t>
        </is>
      </c>
      <c r="C34" s="181" t="inlineStr">
        <is>
          <t>quercetin</t>
        </is>
      </c>
      <c r="D34" s="181" t="inlineStr">
        <is>
          <t>amorpha-fruticosa; annona-muricata; hibiscus-sabdariffa; moringa-oleifera</t>
        </is>
      </c>
      <c r="E34" s="181" t="inlineStr">
        <is>
          <t>amorpha fruticosa; annona muricata; hibiscus sabdariffa; moringa oleifera</t>
        </is>
      </c>
      <c r="F34" s="181" t="n">
        <v>4</v>
      </c>
      <c r="G34" s="181" t="inlineStr">
        <is>
          <t>multi-target signaling modulation; muscarinic receptor interaction</t>
        </is>
      </c>
      <c r="H34" s="181" t="inlineStr">
        <is>
          <t>inferred_plus_trusted_gov; trusted_gov_added</t>
        </is>
      </c>
    </row>
    <row r="35">
      <c r="A35" s="181" t="inlineStr">
        <is>
          <t>Nrf2 pathway activation</t>
        </is>
      </c>
      <c r="B35" s="181" t="inlineStr">
        <is>
          <t>quercetin</t>
        </is>
      </c>
      <c r="C35" s="181" t="inlineStr">
        <is>
          <t>quercetin</t>
        </is>
      </c>
      <c r="D35" s="181" t="inlineStr">
        <is>
          <t>amorpha-fruticosa; annona-muricata; hibiscus-sabdariffa; moringa-oleifera</t>
        </is>
      </c>
      <c r="E35" s="181" t="inlineStr">
        <is>
          <t>amorpha fruticosa; annona muricata; hibiscus sabdariffa; moringa oleifera</t>
        </is>
      </c>
      <c r="F35" s="181" t="n">
        <v>4</v>
      </c>
      <c r="G35" s="181" t="inlineStr">
        <is>
          <t>multi-target signaling modulation; muscarinic receptor interaction</t>
        </is>
      </c>
      <c r="H35" s="181" t="inlineStr">
        <is>
          <t>inferred_plus_trusted_gov; trusted_gov_added</t>
        </is>
      </c>
    </row>
    <row r="36">
      <c r="A36" s="181" t="inlineStr">
        <is>
          <t>cholinergic_modulation</t>
        </is>
      </c>
      <c r="B36" s="181" t="inlineStr">
        <is>
          <t>quercetin</t>
        </is>
      </c>
      <c r="C36" s="181" t="inlineStr">
        <is>
          <t>quercetin</t>
        </is>
      </c>
      <c r="D36" s="181" t="inlineStr">
        <is>
          <t>amorpha-fruticosa; annona-muricata; hibiscus-sabdariffa; moringa-oleifera</t>
        </is>
      </c>
      <c r="E36" s="181" t="inlineStr">
        <is>
          <t>amorpha fruticosa; annona muricata; hibiscus sabdariffa; moringa oleifera</t>
        </is>
      </c>
      <c r="F36" s="181" t="n">
        <v>4</v>
      </c>
      <c r="G36" s="181" t="inlineStr">
        <is>
          <t>multi-target signaling modulation; muscarinic receptor interaction</t>
        </is>
      </c>
      <c r="H36" s="181" t="inlineStr">
        <is>
          <t>inferred_plus_trusted_gov; trusted_gov_added</t>
        </is>
      </c>
    </row>
    <row r="37">
      <c r="A37" s="181" t="inlineStr">
        <is>
          <t>general or unknown targets</t>
        </is>
      </c>
      <c r="B37" s="181" t="inlineStr">
        <is>
          <t>quercetin</t>
        </is>
      </c>
      <c r="C37" s="181" t="inlineStr">
        <is>
          <t>quercetin</t>
        </is>
      </c>
      <c r="D37" s="181" t="inlineStr">
        <is>
          <t>amorpha-fruticosa; annona-muricata; hibiscus-sabdariffa; moringa-oleifera</t>
        </is>
      </c>
      <c r="E37" s="181" t="inlineStr">
        <is>
          <t>amorpha fruticosa; annona muricata; hibiscus sabdariffa; moringa oleifera</t>
        </is>
      </c>
      <c r="F37" s="181" t="n">
        <v>4</v>
      </c>
      <c r="G37" s="181" t="inlineStr">
        <is>
          <t>multi-target signaling modulation; muscarinic receptor interaction</t>
        </is>
      </c>
      <c r="H37" s="181" t="inlineStr">
        <is>
          <t>inferred_plus_trusted_gov; trusted_gov_added</t>
        </is>
      </c>
    </row>
    <row r="38">
      <c r="A38" s="181" t="inlineStr">
        <is>
          <t>xanthine oxidase inhibition</t>
        </is>
      </c>
      <c r="B38" s="181" t="inlineStr">
        <is>
          <t>quercetin</t>
        </is>
      </c>
      <c r="C38" s="181" t="inlineStr">
        <is>
          <t>quercetin</t>
        </is>
      </c>
      <c r="D38" s="181" t="inlineStr">
        <is>
          <t>amorpha-fruticosa; annona-muricata; hibiscus-sabdariffa; moringa-oleifera</t>
        </is>
      </c>
      <c r="E38" s="181" t="inlineStr">
        <is>
          <t>amorpha fruticosa; annona muricata; hibiscus sabdariffa; moringa oleifera</t>
        </is>
      </c>
      <c r="F38" s="181" t="n">
        <v>4</v>
      </c>
      <c r="G38" s="181" t="inlineStr">
        <is>
          <t>multi-target signaling modulation; muscarinic receptor interaction</t>
        </is>
      </c>
      <c r="H38" s="181" t="inlineStr">
        <is>
          <t>inferred_plus_trusted_gov; trusted_gov_added</t>
        </is>
      </c>
    </row>
    <row r="39">
      <c r="A39" s="181" t="inlineStr">
        <is>
          <t>AMPK activation</t>
        </is>
      </c>
      <c r="B39" s="181" t="inlineStr">
        <is>
          <t>resveratrol</t>
        </is>
      </c>
      <c r="C39" s="181" t="inlineStr">
        <is>
          <t>resveratrol</t>
        </is>
      </c>
      <c r="D39" s="181" t="str"/>
      <c r="E39" s="181" t="str"/>
      <c r="F39" s="181" t="n">
        <v>0</v>
      </c>
      <c r="G39" s="181" t="str"/>
      <c r="H39" s="181" t="str"/>
    </row>
    <row r="40">
      <c r="A40" s="181" t="inlineStr">
        <is>
          <t>NF-kB pathway inhibition</t>
        </is>
      </c>
      <c r="B40" s="181" t="inlineStr">
        <is>
          <t>resveratrol</t>
        </is>
      </c>
      <c r="C40" s="181" t="inlineStr">
        <is>
          <t>resveratrol</t>
        </is>
      </c>
      <c r="D40" s="181" t="str"/>
      <c r="E40" s="181" t="str"/>
      <c r="F40" s="181" t="n">
        <v>0</v>
      </c>
      <c r="G40" s="181" t="str"/>
      <c r="H40" s="181" t="str"/>
    </row>
    <row r="41">
      <c r="A41" s="181" t="inlineStr">
        <is>
          <t>SIRT1 activation</t>
        </is>
      </c>
      <c r="B41" s="181" t="inlineStr">
        <is>
          <t>resveratrol</t>
        </is>
      </c>
      <c r="C41" s="181" t="inlineStr">
        <is>
          <t>resveratrol</t>
        </is>
      </c>
      <c r="D41" s="181" t="str"/>
      <c r="E41" s="181" t="str"/>
      <c r="F41" s="181" t="n">
        <v>0</v>
      </c>
      <c r="G41" s="181" t="str"/>
      <c r="H41" s="181" t="str"/>
    </row>
    <row r="42">
      <c r="A42" s="181" t="inlineStr">
        <is>
          <t>MT1 receptor agonism</t>
        </is>
      </c>
      <c r="B42" s="181" t="inlineStr">
        <is>
          <t>melatonin</t>
        </is>
      </c>
      <c r="C42" s="181" t="inlineStr">
        <is>
          <t>melatonin</t>
        </is>
      </c>
      <c r="D42" s="181" t="str"/>
      <c r="E42" s="181" t="str"/>
      <c r="F42" s="181" t="n">
        <v>0</v>
      </c>
      <c r="G42" s="181" t="str"/>
      <c r="H42" s="181" t="str"/>
    </row>
    <row r="43">
      <c r="A43" s="181" t="inlineStr">
        <is>
          <t>MT2 receptor agonism</t>
        </is>
      </c>
      <c r="B43" s="181" t="inlineStr">
        <is>
          <t>melatonin</t>
        </is>
      </c>
      <c r="C43" s="181" t="inlineStr">
        <is>
          <t>melatonin</t>
        </is>
      </c>
      <c r="D43" s="181" t="str"/>
      <c r="E43" s="181" t="str"/>
      <c r="F43" s="181" t="n">
        <v>0</v>
      </c>
      <c r="G43" s="181" t="str"/>
      <c r="H43" s="181" t="str"/>
    </row>
    <row r="44">
      <c r="A44" s="181" t="inlineStr">
        <is>
          <t>Glutamatergic modulation</t>
        </is>
      </c>
      <c r="B44" s="181" t="inlineStr">
        <is>
          <t>l-theanine</t>
        </is>
      </c>
      <c r="C44" s="181" t="inlineStr">
        <is>
          <t>L-theanine</t>
        </is>
      </c>
      <c r="D44" s="181" t="str"/>
      <c r="E44" s="181" t="str"/>
      <c r="F44" s="181" t="n">
        <v>0</v>
      </c>
      <c r="G44" s="181" t="str"/>
      <c r="H44" s="181" t="str"/>
    </row>
    <row r="45">
      <c r="A45" s="181" t="inlineStr">
        <is>
          <t>alpha-wave/stress-response modulation</t>
        </is>
      </c>
      <c r="B45" s="181" t="inlineStr">
        <is>
          <t>l-theanine</t>
        </is>
      </c>
      <c r="C45" s="181" t="inlineStr">
        <is>
          <t>L-theanine</t>
        </is>
      </c>
      <c r="D45" s="181" t="str"/>
      <c r="E45" s="181" t="str"/>
      <c r="F45" s="181" t="n">
        <v>0</v>
      </c>
      <c r="G45" s="181" t="str"/>
      <c r="H45" s="181" t="str"/>
    </row>
    <row r="46">
      <c r="A46" s="181" t="inlineStr">
        <is>
          <t>COX-2 pathway modulation</t>
        </is>
      </c>
      <c r="B46" s="181" t="inlineStr">
        <is>
          <t>curcumin</t>
        </is>
      </c>
      <c r="C46" s="181" t="inlineStr">
        <is>
          <t>curcumin</t>
        </is>
      </c>
      <c r="D46" s="181" t="inlineStr">
        <is>
          <t>curcuma-longa</t>
        </is>
      </c>
      <c r="E46" s="181" t="inlineStr">
        <is>
          <t>curcuma longa</t>
        </is>
      </c>
      <c r="F46" s="181" t="n">
        <v>1</v>
      </c>
      <c r="G46" s="181" t="inlineStr">
        <is>
          <t>nf-kb inhibition</t>
        </is>
      </c>
      <c r="H46" s="181" t="inlineStr">
        <is>
          <t>inferred_plus_trusted_gov</t>
        </is>
      </c>
    </row>
    <row r="47">
      <c r="A47" s="181" t="inlineStr">
        <is>
          <t>NF-kB pathway inhibition</t>
        </is>
      </c>
      <c r="B47" s="181" t="inlineStr">
        <is>
          <t>curcumin</t>
        </is>
      </c>
      <c r="C47" s="181" t="inlineStr">
        <is>
          <t>curcumin</t>
        </is>
      </c>
      <c r="D47" s="181" t="inlineStr">
        <is>
          <t>curcuma-longa</t>
        </is>
      </c>
      <c r="E47" s="181" t="inlineStr">
        <is>
          <t>curcuma longa</t>
        </is>
      </c>
      <c r="F47" s="181" t="n">
        <v>1</v>
      </c>
      <c r="G47" s="181" t="inlineStr">
        <is>
          <t>nf-kb inhibition</t>
        </is>
      </c>
      <c r="H47" s="181" t="inlineStr">
        <is>
          <t>inferred_plus_trusted_gov</t>
        </is>
      </c>
    </row>
    <row r="48">
      <c r="A48" s="181" t="inlineStr">
        <is>
          <t>NFKB1 pathway</t>
        </is>
      </c>
      <c r="B48" s="181" t="inlineStr">
        <is>
          <t>curcumin</t>
        </is>
      </c>
      <c r="C48" s="181" t="inlineStr">
        <is>
          <t>curcumin</t>
        </is>
      </c>
      <c r="D48" s="181" t="inlineStr">
        <is>
          <t>curcuma-longa</t>
        </is>
      </c>
      <c r="E48" s="181" t="inlineStr">
        <is>
          <t>curcuma longa</t>
        </is>
      </c>
      <c r="F48" s="181" t="n">
        <v>1</v>
      </c>
      <c r="G48" s="181" t="inlineStr">
        <is>
          <t>nf-kb inhibition</t>
        </is>
      </c>
      <c r="H48" s="181" t="inlineStr">
        <is>
          <t>inferred_plus_trusted_gov</t>
        </is>
      </c>
    </row>
    <row r="49">
      <c r="A49" s="181" t="inlineStr">
        <is>
          <t>Nrf2 pathway activation</t>
        </is>
      </c>
      <c r="B49" s="181" t="inlineStr">
        <is>
          <t>curcumin</t>
        </is>
      </c>
      <c r="C49" s="181" t="inlineStr">
        <is>
          <t>curcumin</t>
        </is>
      </c>
      <c r="D49" s="181" t="inlineStr">
        <is>
          <t>curcuma-longa</t>
        </is>
      </c>
      <c r="E49" s="181" t="inlineStr">
        <is>
          <t>curcuma longa</t>
        </is>
      </c>
      <c r="F49" s="181" t="n">
        <v>1</v>
      </c>
      <c r="G49" s="181" t="inlineStr">
        <is>
          <t>nf-kb inhibition</t>
        </is>
      </c>
      <c r="H49" s="181" t="inlineStr">
        <is>
          <t>inferred_plus_trusted_gov</t>
        </is>
      </c>
    </row>
    <row r="50">
      <c r="A50" s="181" t="inlineStr">
        <is>
          <t>Methylation pathways</t>
        </is>
      </c>
      <c r="B50" s="181" t="inlineStr">
        <is>
          <t>s-adenosyl-l-methionine</t>
        </is>
      </c>
      <c r="C50" s="181" t="inlineStr">
        <is>
          <t>s-adenosyl-l-methionine (same)</t>
        </is>
      </c>
      <c r="D50" s="181" t="str"/>
      <c r="E50" s="181" t="str"/>
      <c r="F50" s="181" t="n">
        <v>0</v>
      </c>
      <c r="G50" s="181" t="str"/>
      <c r="H50" s="181" t="str"/>
    </row>
    <row r="51">
      <c r="A51" s="181" t="inlineStr">
        <is>
          <t>polyamine biosynthesis</t>
        </is>
      </c>
      <c r="B51" s="181" t="inlineStr">
        <is>
          <t>s-adenosyl-l-methionine</t>
        </is>
      </c>
      <c r="C51" s="181" t="inlineStr">
        <is>
          <t>s-adenosyl-l-methionine (same)</t>
        </is>
      </c>
      <c r="D51" s="181" t="str"/>
      <c r="E51" s="181" t="str"/>
      <c r="F51" s="181" t="n">
        <v>0</v>
      </c>
      <c r="G51" s="181" t="str"/>
      <c r="H51" s="181" t="str"/>
    </row>
    <row r="52">
      <c r="A52" s="181" t="inlineStr">
        <is>
          <t>transsulfuration pathway</t>
        </is>
      </c>
      <c r="B52" s="181" t="inlineStr">
        <is>
          <t>s-adenosyl-l-methionine</t>
        </is>
      </c>
      <c r="C52" s="181" t="inlineStr">
        <is>
          <t>s-adenosyl-l-methionine (same)</t>
        </is>
      </c>
      <c r="D52" s="181" t="str"/>
      <c r="E52" s="181" t="str"/>
      <c r="F52" s="181" t="n">
        <v>0</v>
      </c>
      <c r="G52" s="181" t="str"/>
      <c r="H52" s="181" t="str"/>
    </row>
    <row r="53">
      <c r="A53" s="181" t="inlineStr">
        <is>
          <t>Eicosanoid pathway modulation</t>
        </is>
      </c>
      <c r="B53" s="181" t="inlineStr">
        <is>
          <t>omega-3 fatty acids</t>
        </is>
      </c>
      <c r="C53" s="181" t="inlineStr">
        <is>
          <t>omega-3 fatty acids</t>
        </is>
      </c>
      <c r="D53" s="181" t="str"/>
      <c r="E53" s="181" t="str"/>
      <c r="F53" s="181" t="n">
        <v>0</v>
      </c>
      <c r="G53" s="181" t="str"/>
      <c r="H53" s="181" t="str"/>
    </row>
    <row r="54">
      <c r="A54" s="181" t="inlineStr">
        <is>
          <t>specialized pro-resolving mediator pathways</t>
        </is>
      </c>
      <c r="B54" s="181" t="inlineStr">
        <is>
          <t>omega-3 fatty acids</t>
        </is>
      </c>
      <c r="C54" s="181" t="inlineStr">
        <is>
          <t>omega-3 fatty acids</t>
        </is>
      </c>
      <c r="D54" s="181" t="str"/>
      <c r="E54" s="181" t="str"/>
      <c r="F54" s="181" t="n">
        <v>0</v>
      </c>
      <c r="G54" s="181" t="str"/>
      <c r="H54" s="181" t="str"/>
    </row>
    <row r="55">
      <c r="A55" s="181" t="inlineStr">
        <is>
          <t>triglyceride synthesis reduction</t>
        </is>
      </c>
      <c r="B55" s="181" t="inlineStr">
        <is>
          <t>omega-3 fatty acids</t>
        </is>
      </c>
      <c r="C55" s="181" t="inlineStr">
        <is>
          <t>omega-3 fatty acids</t>
        </is>
      </c>
      <c r="D55" s="181" t="str"/>
      <c r="E55" s="181" t="str"/>
      <c r="F55" s="181" t="n">
        <v>0</v>
      </c>
      <c r="G55" s="181" t="str"/>
      <c r="H55" s="181" t="str"/>
    </row>
    <row r="56">
      <c r="A56" s="181" t="inlineStr">
        <is>
          <t>Gut barrier integrity</t>
        </is>
      </c>
      <c r="B56" s="181" t="inlineStr">
        <is>
          <t>probiotics</t>
        </is>
      </c>
      <c r="C56" s="181" t="inlineStr">
        <is>
          <t>probiotics</t>
        </is>
      </c>
      <c r="D56" s="181" t="str"/>
      <c r="E56" s="181" t="str"/>
      <c r="F56" s="181" t="n">
        <v>0</v>
      </c>
      <c r="G56" s="181" t="str"/>
      <c r="H56" s="181" t="str"/>
    </row>
    <row r="57">
      <c r="A57" s="181" t="inlineStr">
        <is>
          <t>colonization resistance</t>
        </is>
      </c>
      <c r="B57" s="181" t="inlineStr">
        <is>
          <t>probiotics</t>
        </is>
      </c>
      <c r="C57" s="181" t="inlineStr">
        <is>
          <t>probiotics</t>
        </is>
      </c>
      <c r="D57" s="181" t="str"/>
      <c r="E57" s="181" t="str"/>
      <c r="F57" s="181" t="n">
        <v>0</v>
      </c>
      <c r="G57" s="181" t="str"/>
      <c r="H57" s="181" t="str"/>
    </row>
    <row r="58">
      <c r="A58" s="181" t="inlineStr">
        <is>
          <t>immune modulation</t>
        </is>
      </c>
      <c r="B58" s="181" t="inlineStr">
        <is>
          <t>probiotics</t>
        </is>
      </c>
      <c r="C58" s="181" t="inlineStr">
        <is>
          <t>probiotics</t>
        </is>
      </c>
      <c r="D58" s="181" t="str"/>
      <c r="E58" s="181" t="str"/>
      <c r="F58" s="181" t="n">
        <v>0</v>
      </c>
      <c r="G58" s="181" t="str"/>
      <c r="H58" s="181" t="str"/>
    </row>
    <row r="59">
      <c r="A59" s="181" t="inlineStr">
        <is>
          <t>short-chain fatty acid production</t>
        </is>
      </c>
      <c r="B59" s="181" t="inlineStr">
        <is>
          <t>probiotics</t>
        </is>
      </c>
      <c r="C59" s="181" t="inlineStr">
        <is>
          <t>probiotics</t>
        </is>
      </c>
      <c r="D59" s="181" t="str"/>
      <c r="E59" s="181" t="str"/>
      <c r="F59" s="181" t="n">
        <v>0</v>
      </c>
      <c r="G59" s="181" t="str"/>
      <c r="H59" s="181" t="str"/>
    </row>
    <row r="60">
      <c r="A60" s="181" t="inlineStr">
        <is>
          <t>Vitamin D receptor agonism</t>
        </is>
      </c>
      <c r="B60" s="181" t="inlineStr">
        <is>
          <t>vitamin d</t>
        </is>
      </c>
      <c r="C60" s="181" t="inlineStr">
        <is>
          <t>vitamin d</t>
        </is>
      </c>
      <c r="D60" s="181" t="str"/>
      <c r="E60" s="181" t="str"/>
      <c r="F60" s="181" t="n">
        <v>0</v>
      </c>
      <c r="G60" s="181" t="str"/>
      <c r="H60" s="181" t="str"/>
    </row>
    <row r="61">
      <c r="A61" s="181" t="inlineStr">
        <is>
          <t>bone mineralization signaling</t>
        </is>
      </c>
      <c r="B61" s="181" t="inlineStr">
        <is>
          <t>vitamin d</t>
        </is>
      </c>
      <c r="C61" s="181" t="inlineStr">
        <is>
          <t>vitamin d</t>
        </is>
      </c>
      <c r="D61" s="181" t="str"/>
      <c r="E61" s="181" t="str"/>
      <c r="F61" s="181" t="n">
        <v>0</v>
      </c>
      <c r="G61" s="181" t="str"/>
      <c r="H61" s="181" t="str"/>
    </row>
    <row r="62">
      <c r="A62" s="181" t="inlineStr">
        <is>
          <t>calcium absorption regulation</t>
        </is>
      </c>
      <c r="B62" s="181" t="inlineStr">
        <is>
          <t>vitamin d</t>
        </is>
      </c>
      <c r="C62" s="181" t="inlineStr">
        <is>
          <t>vitamin d</t>
        </is>
      </c>
      <c r="D62" s="181" t="str"/>
      <c r="E62" s="181" t="str"/>
      <c r="F62" s="181" t="n">
        <v>0</v>
      </c>
      <c r="G62" s="181" t="str"/>
      <c r="H62" s="181" t="str"/>
    </row>
    <row r="63">
      <c r="A63" s="181" t="inlineStr">
        <is>
          <t>Glutathione replenishment</t>
        </is>
      </c>
      <c r="B63" s="181" t="inlineStr">
        <is>
          <t>n-acetylcysteine</t>
        </is>
      </c>
      <c r="C63" s="181" t="inlineStr">
        <is>
          <t>n-acetylcysteine (nac)</t>
        </is>
      </c>
      <c r="D63" s="181" t="str"/>
      <c r="E63" s="181" t="str"/>
      <c r="F63" s="181" t="n">
        <v>0</v>
      </c>
      <c r="G63" s="181" t="str"/>
      <c r="H63" s="181" t="str"/>
    </row>
    <row r="64">
      <c r="A64" s="181" t="inlineStr">
        <is>
          <t>mucolytic disulfide-bond reduction</t>
        </is>
      </c>
      <c r="B64" s="181" t="inlineStr">
        <is>
          <t>n-acetylcysteine</t>
        </is>
      </c>
      <c r="C64" s="181" t="inlineStr">
        <is>
          <t>n-acetylcysteine (nac)</t>
        </is>
      </c>
      <c r="D64" s="181" t="str"/>
      <c r="E64" s="181" t="str"/>
      <c r="F64" s="181" t="n">
        <v>0</v>
      </c>
      <c r="G64" s="181" t="str"/>
      <c r="H64" s="181" t="str"/>
    </row>
    <row r="65">
      <c r="A65" s="181" t="inlineStr">
        <is>
          <t>redox signaling modulation</t>
        </is>
      </c>
      <c r="B65" s="181" t="inlineStr">
        <is>
          <t>n-acetylcysteine</t>
        </is>
      </c>
      <c r="C65" s="181" t="inlineStr">
        <is>
          <t>n-acetylcysteine (nac)</t>
        </is>
      </c>
      <c r="D65" s="181" t="str"/>
      <c r="E65" s="181" t="str"/>
      <c r="F65" s="181" t="n">
        <v>0</v>
      </c>
      <c r="G65" s="181" t="str"/>
      <c r="H65" s="181" t="str"/>
    </row>
    <row r="66">
      <c r="A66" s="181" t="inlineStr">
        <is>
          <t>ATP-dependent enzymatic reactions</t>
        </is>
      </c>
      <c r="B66" s="181" t="inlineStr">
        <is>
          <t>magnesium</t>
        </is>
      </c>
      <c r="C66" s="181" t="inlineStr">
        <is>
          <t>magnesium</t>
        </is>
      </c>
      <c r="D66" s="181" t="str"/>
      <c r="E66" s="181" t="str"/>
      <c r="F66" s="181" t="n">
        <v>0</v>
      </c>
      <c r="G66" s="181" t="str"/>
      <c r="H66" s="181" t="str"/>
    </row>
    <row r="67">
      <c r="A67" s="181" t="inlineStr">
        <is>
          <t>calcium/potassium ion transport</t>
        </is>
      </c>
      <c r="B67" s="181" t="inlineStr">
        <is>
          <t>magnesium</t>
        </is>
      </c>
      <c r="C67" s="181" t="inlineStr">
        <is>
          <t>magnesium</t>
        </is>
      </c>
      <c r="D67" s="181" t="str"/>
      <c r="E67" s="181" t="str"/>
      <c r="F67" s="181" t="n">
        <v>0</v>
      </c>
      <c r="G67" s="181" t="str"/>
      <c r="H67" s="181" t="str"/>
    </row>
    <row r="68">
      <c r="A68" s="181" t="inlineStr">
        <is>
          <t>glycolysis</t>
        </is>
      </c>
      <c r="B68" s="181" t="inlineStr">
        <is>
          <t>magnesium</t>
        </is>
      </c>
      <c r="C68" s="181" t="inlineStr">
        <is>
          <t>magnesium</t>
        </is>
      </c>
      <c r="D68" s="181" t="str"/>
      <c r="E68" s="181" t="str"/>
      <c r="F68" s="181" t="n">
        <v>0</v>
      </c>
      <c r="G68" s="181" t="str"/>
      <c r="H68" s="181" t="str"/>
    </row>
    <row r="69">
      <c r="A69" s="181" t="inlineStr">
        <is>
          <t>oxidative phosphorylation</t>
        </is>
      </c>
      <c r="B69" s="181" t="inlineStr">
        <is>
          <t>magnesium</t>
        </is>
      </c>
      <c r="C69" s="181" t="inlineStr">
        <is>
          <t>magnesium</t>
        </is>
      </c>
      <c r="D69" s="181" t="str"/>
      <c r="E69" s="181" t="str"/>
      <c r="F69" s="181" t="n">
        <v>0</v>
      </c>
      <c r="G69" s="181" t="str"/>
      <c r="H69" s="181" t="str"/>
    </row>
    <row r="70">
      <c r="A70" s="181" t="inlineStr">
        <is>
          <t>ATP production</t>
        </is>
      </c>
      <c r="B70" s="181" t="inlineStr">
        <is>
          <t>niacin</t>
        </is>
      </c>
      <c r="C70" s="181" t="inlineStr">
        <is>
          <t>niacin</t>
        </is>
      </c>
      <c r="D70" s="181" t="str"/>
      <c r="E70" s="181" t="str"/>
      <c r="F70" s="181" t="n">
        <v>0</v>
      </c>
      <c r="G70" s="181" t="str"/>
      <c r="H70" s="181" t="str"/>
    </row>
    <row r="71">
      <c r="A71" s="181" t="inlineStr">
        <is>
          <t>NAD/NADP-dependent redox metabolism</t>
        </is>
      </c>
      <c r="B71" s="181" t="inlineStr">
        <is>
          <t>niacin</t>
        </is>
      </c>
      <c r="C71" s="181" t="inlineStr">
        <is>
          <t>niacin</t>
        </is>
      </c>
      <c r="D71" s="181" t="str"/>
      <c r="E71" s="181" t="str"/>
      <c r="F71" s="181" t="n">
        <v>0</v>
      </c>
      <c r="G71" s="181" t="str"/>
      <c r="H71" s="181" t="str"/>
    </row>
    <row r="72">
      <c r="A72" s="181" t="inlineStr">
        <is>
          <t>tryptophan-to-niacin pathway</t>
        </is>
      </c>
      <c r="B72" s="181" t="inlineStr">
        <is>
          <t>niacin</t>
        </is>
      </c>
      <c r="C72" s="181" t="inlineStr">
        <is>
          <t>niacin</t>
        </is>
      </c>
      <c r="D72" s="181" t="str"/>
      <c r="E72" s="181" t="str"/>
      <c r="F72" s="181" t="n">
        <v>0</v>
      </c>
      <c r="G72" s="181" t="str"/>
      <c r="H72" s="181" t="str"/>
    </row>
    <row r="73">
      <c r="A73" s="181" t="inlineStr">
        <is>
          <t>FMN/FAD-dependent redox enzymes</t>
        </is>
      </c>
      <c r="B73" s="181" t="inlineStr">
        <is>
          <t>riboflavin</t>
        </is>
      </c>
      <c r="C73" s="181" t="inlineStr">
        <is>
          <t>riboflavin</t>
        </is>
      </c>
      <c r="D73" s="181" t="str"/>
      <c r="E73" s="181" t="str"/>
      <c r="F73" s="181" t="n">
        <v>0</v>
      </c>
      <c r="G73" s="181" t="str"/>
      <c r="H73" s="181" t="str"/>
    </row>
    <row r="74">
      <c r="A74" s="181" t="inlineStr">
        <is>
          <t>energy production</t>
        </is>
      </c>
      <c r="B74" s="181" t="inlineStr">
        <is>
          <t>riboflavin</t>
        </is>
      </c>
      <c r="C74" s="181" t="inlineStr">
        <is>
          <t>riboflavin</t>
        </is>
      </c>
      <c r="D74" s="181" t="str"/>
      <c r="E74" s="181" t="str"/>
      <c r="F74" s="181" t="n">
        <v>0</v>
      </c>
      <c r="G74" s="181" t="str"/>
      <c r="H74" s="181" t="str"/>
    </row>
    <row r="75">
      <c r="A75" s="181" t="inlineStr">
        <is>
          <t>tryptophan-to-niacin conversion</t>
        </is>
      </c>
      <c r="B75" s="181" t="inlineStr">
        <is>
          <t>riboflavin</t>
        </is>
      </c>
      <c r="C75" s="181" t="inlineStr">
        <is>
          <t>riboflavin</t>
        </is>
      </c>
      <c r="D75" s="181" t="str"/>
      <c r="E75" s="181" t="str"/>
      <c r="F75" s="181" t="n">
        <v>0</v>
      </c>
      <c r="G75" s="181" t="str"/>
      <c r="H75" s="181" t="str"/>
    </row>
    <row r="76">
      <c r="A76" s="181" t="inlineStr">
        <is>
          <t>vitamin B6 activation</t>
        </is>
      </c>
      <c r="B76" s="181" t="inlineStr">
        <is>
          <t>riboflavin</t>
        </is>
      </c>
      <c r="C76" s="181" t="inlineStr">
        <is>
          <t>riboflavin</t>
        </is>
      </c>
      <c r="D76" s="181" t="str"/>
      <c r="E76" s="181" t="str"/>
      <c r="F76" s="181" t="n">
        <v>0</v>
      </c>
      <c r="G76" s="181" t="str"/>
      <c r="H76" s="181" t="str"/>
    </row>
    <row r="77">
      <c r="A77" s="181" t="inlineStr">
        <is>
          <t>PLP/PMP-dependent amino-acid metabolism</t>
        </is>
      </c>
      <c r="B77" s="181" t="inlineStr">
        <is>
          <t>pyridoxine</t>
        </is>
      </c>
      <c r="C77" s="181" t="inlineStr">
        <is>
          <t>pyridoxine</t>
        </is>
      </c>
      <c r="D77" s="181" t="str"/>
      <c r="E77" s="181" t="str"/>
      <c r="F77" s="181" t="n">
        <v>0</v>
      </c>
      <c r="G77" s="181" t="str"/>
      <c r="H77" s="181" t="str"/>
    </row>
    <row r="78">
      <c r="A78" s="181" t="inlineStr">
        <is>
          <t>glycogenolysis</t>
        </is>
      </c>
      <c r="B78" s="181" t="inlineStr">
        <is>
          <t>pyridoxine</t>
        </is>
      </c>
      <c r="C78" s="181" t="inlineStr">
        <is>
          <t>pyridoxine</t>
        </is>
      </c>
      <c r="D78" s="181" t="str"/>
      <c r="E78" s="181" t="str"/>
      <c r="F78" s="181" t="n">
        <v>0</v>
      </c>
      <c r="G78" s="181" t="str"/>
      <c r="H78" s="181" t="str"/>
    </row>
    <row r="79">
      <c r="A79" s="181" t="inlineStr">
        <is>
          <t>neurotransmitter biosynthesis</t>
        </is>
      </c>
      <c r="B79" s="181" t="inlineStr">
        <is>
          <t>pyridoxine</t>
        </is>
      </c>
      <c r="C79" s="181" t="inlineStr">
        <is>
          <t>pyridoxine</t>
        </is>
      </c>
      <c r="D79" s="181" t="str"/>
      <c r="E79" s="181" t="str"/>
      <c r="F79" s="181" t="n">
        <v>0</v>
      </c>
      <c r="G79" s="181" t="str"/>
      <c r="H79" s="181" t="str"/>
    </row>
    <row r="80">
      <c r="A80" s="181" t="inlineStr">
        <is>
          <t>one-carbon metabolism</t>
        </is>
      </c>
      <c r="B80" s="181" t="inlineStr">
        <is>
          <t>pyridoxine</t>
        </is>
      </c>
      <c r="C80" s="181" t="inlineStr">
        <is>
          <t>pyridoxine</t>
        </is>
      </c>
      <c r="D80" s="181" t="str"/>
      <c r="E80" s="181" t="str"/>
      <c r="F80" s="181" t="n">
        <v>0</v>
      </c>
      <c r="G80" s="181" t="str"/>
      <c r="H80" s="181" t="str"/>
    </row>
    <row r="81">
      <c r="A81" s="181" t="inlineStr">
        <is>
          <t>Glutathione peroxidase systems</t>
        </is>
      </c>
      <c r="B81" s="181" t="inlineStr">
        <is>
          <t>selenium</t>
        </is>
      </c>
      <c r="C81" s="181" t="inlineStr">
        <is>
          <t>selenium</t>
        </is>
      </c>
      <c r="D81" s="181" t="str"/>
      <c r="E81" s="181" t="str"/>
      <c r="F81" s="181" t="n">
        <v>0</v>
      </c>
      <c r="G81" s="181" t="str"/>
      <c r="H81" s="181" t="str"/>
    </row>
    <row r="82">
      <c r="A82" s="181" t="inlineStr">
        <is>
          <t>selenoprotein P</t>
        </is>
      </c>
      <c r="B82" s="181" t="inlineStr">
        <is>
          <t>selenium</t>
        </is>
      </c>
      <c r="C82" s="181" t="inlineStr">
        <is>
          <t>selenium</t>
        </is>
      </c>
      <c r="D82" s="181" t="str"/>
      <c r="E82" s="181" t="str"/>
      <c r="F82" s="181" t="n">
        <v>0</v>
      </c>
      <c r="G82" s="181" t="str"/>
      <c r="H82" s="181" t="str"/>
    </row>
    <row r="83">
      <c r="A83" s="181" t="inlineStr">
        <is>
          <t>thioredoxin reductase systems</t>
        </is>
      </c>
      <c r="B83" s="181" t="inlineStr">
        <is>
          <t>selenium</t>
        </is>
      </c>
      <c r="C83" s="181" t="inlineStr">
        <is>
          <t>selenium</t>
        </is>
      </c>
      <c r="D83" s="181" t="str"/>
      <c r="E83" s="181" t="str"/>
      <c r="F83" s="181" t="n">
        <v>0</v>
      </c>
      <c r="G83" s="181" t="str"/>
      <c r="H83" s="181" t="str"/>
    </row>
    <row r="84">
      <c r="A84" s="181" t="inlineStr">
        <is>
          <t>thyroid hormone T4-to-T3 conversion</t>
        </is>
      </c>
      <c r="B84" s="181" t="inlineStr">
        <is>
          <t>selenium</t>
        </is>
      </c>
      <c r="C84" s="181" t="inlineStr">
        <is>
          <t>selenium</t>
        </is>
      </c>
      <c r="D84" s="181" t="str"/>
      <c r="E84" s="181" t="str"/>
      <c r="F84" s="181" t="n">
        <v>0</v>
      </c>
      <c r="G84" s="181" t="str"/>
      <c r="H84" s="181" t="str"/>
    </row>
    <row r="85">
      <c r="A85" s="181" t="inlineStr">
        <is>
          <t>GABA-A modulation</t>
        </is>
      </c>
      <c r="B85" s="181" t="inlineStr">
        <is>
          <t>ashwagandha withanolides</t>
        </is>
      </c>
      <c r="C85" s="181" t="inlineStr">
        <is>
          <t>ashwagandha (withanolides)</t>
        </is>
      </c>
      <c r="D85" s="181" t="str"/>
      <c r="E85" s="181" t="str"/>
      <c r="F85" s="181" t="n">
        <v>0</v>
      </c>
      <c r="G85" s="181" t="str"/>
      <c r="H85" s="181" t="str"/>
    </row>
    <row r="86">
      <c r="A86" s="181" t="inlineStr">
        <is>
          <t>cortisol regulation</t>
        </is>
      </c>
      <c r="B86" s="181" t="inlineStr">
        <is>
          <t>ashwagandha withanolides</t>
        </is>
      </c>
      <c r="C86" s="181" t="inlineStr">
        <is>
          <t>ashwagandha (withanolides)</t>
        </is>
      </c>
      <c r="D86" s="181" t="str"/>
      <c r="E86" s="181" t="str"/>
      <c r="F86" s="181" t="n">
        <v>0</v>
      </c>
      <c r="G86" s="181" t="str"/>
      <c r="H86" s="181" t="str"/>
    </row>
    <row r="87">
      <c r="A87" s="181" t="inlineStr">
        <is>
          <t>AMPK activation</t>
        </is>
      </c>
      <c r="B87" s="181" t="inlineStr">
        <is>
          <t>rhodiola salidroside rosavin</t>
        </is>
      </c>
      <c r="C87" s="181" t="inlineStr">
        <is>
          <t>rhodiola (salidroside/rosavin)</t>
        </is>
      </c>
      <c r="D87" s="181" t="str"/>
      <c r="E87" s="181" t="str"/>
      <c r="F87" s="181" t="n">
        <v>0</v>
      </c>
      <c r="G87" s="181" t="str"/>
      <c r="H87" s="181" t="str"/>
    </row>
    <row r="88">
      <c r="A88" s="181" t="inlineStr">
        <is>
          <t>HPA-axis modulation</t>
        </is>
      </c>
      <c r="B88" s="181" t="inlineStr">
        <is>
          <t>rhodiola salidroside rosavin</t>
        </is>
      </c>
      <c r="C88" s="181" t="inlineStr">
        <is>
          <t>rhodiola (salidroside/rosavin)</t>
        </is>
      </c>
      <c r="D88" s="181" t="str"/>
      <c r="E88" s="181" t="str"/>
      <c r="F88" s="181" t="n">
        <v>0</v>
      </c>
      <c r="G88" s="181" t="str"/>
      <c r="H88" s="181" t="str"/>
    </row>
    <row r="89">
      <c r="A89" s="181" t="inlineStr">
        <is>
          <t>PAF receptor antagonism</t>
        </is>
      </c>
      <c r="B89" s="181" t="inlineStr">
        <is>
          <t>ginkgo biloba ginkgolides</t>
        </is>
      </c>
      <c r="C89" s="181" t="inlineStr">
        <is>
          <t>ginkgo biloba (ginkgolides)</t>
        </is>
      </c>
      <c r="D89" s="181" t="str"/>
      <c r="E89" s="181" t="str"/>
      <c r="F89" s="181" t="n">
        <v>0</v>
      </c>
      <c r="G89" s="181" t="str"/>
      <c r="H89" s="181" t="str"/>
    </row>
    <row r="90">
      <c r="A90" s="181" t="inlineStr">
        <is>
          <t>GABA-A modulation</t>
        </is>
      </c>
      <c r="B90" s="181" t="inlineStr">
        <is>
          <t>kava kavalactones</t>
        </is>
      </c>
      <c r="C90" s="181" t="inlineStr">
        <is>
          <t>kava (kavalactones)</t>
        </is>
      </c>
      <c r="D90" s="181" t="str"/>
      <c r="E90" s="181" t="str"/>
      <c r="F90" s="181" t="n">
        <v>0</v>
      </c>
      <c r="G90" s="181" t="str"/>
      <c r="H90" s="181" t="str"/>
    </row>
    <row r="91">
      <c r="A91" s="181" t="inlineStr">
        <is>
          <t>GABA-A modulation</t>
        </is>
      </c>
      <c r="B91" s="181" t="inlineStr">
        <is>
          <t>valerian valerenic acid</t>
        </is>
      </c>
      <c r="C91" s="181" t="inlineStr">
        <is>
          <t>valerian (valerenic acid)</t>
        </is>
      </c>
      <c r="D91" s="181" t="str"/>
      <c r="E91" s="181" t="str"/>
      <c r="F91" s="181" t="n">
        <v>0</v>
      </c>
      <c r="G91" s="181" t="str"/>
      <c r="H91" s="181" t="str"/>
    </row>
    <row r="92">
      <c r="A92" s="181" t="inlineStr">
        <is>
          <t>COX-2 inhibition</t>
        </is>
      </c>
      <c r="B92" s="181" t="inlineStr">
        <is>
          <t>curcuminoids</t>
        </is>
      </c>
      <c r="C92" s="181" t="inlineStr">
        <is>
          <t>curcuminoids</t>
        </is>
      </c>
      <c r="D92" s="181" t="str"/>
      <c r="E92" s="181" t="str"/>
      <c r="F92" s="181" t="n">
        <v>0</v>
      </c>
      <c r="G92" s="181" t="str"/>
      <c r="H92" s="181" t="str"/>
    </row>
    <row r="93">
      <c r="A93" s="181" t="inlineStr">
        <is>
          <t>NF-kB inhibition</t>
        </is>
      </c>
      <c r="B93" s="181" t="inlineStr">
        <is>
          <t>curcuminoids</t>
        </is>
      </c>
      <c r="C93" s="181" t="inlineStr">
        <is>
          <t>curcuminoids</t>
        </is>
      </c>
      <c r="D93" s="181" t="str"/>
      <c r="E93" s="181" t="str"/>
      <c r="F93" s="181" t="n">
        <v>0</v>
      </c>
      <c r="G93" s="181" t="str"/>
      <c r="H93" s="181" t="str"/>
    </row>
    <row r="94">
      <c r="A94" s="181" t="inlineStr">
        <is>
          <t>MAPK pathway</t>
        </is>
      </c>
      <c r="B94" s="181" t="inlineStr">
        <is>
          <t>aloe-emodin</t>
        </is>
      </c>
      <c r="C94" s="181" t="inlineStr">
        <is>
          <t>aloe-emodin</t>
        </is>
      </c>
      <c r="D94" s="181" t="inlineStr">
        <is>
          <t>cassia-alata; cassia-occidentalis</t>
        </is>
      </c>
      <c r="E94" s="181" t="inlineStr">
        <is>
          <t>cassia alata; cassia occidentalis</t>
        </is>
      </c>
      <c r="F94" s="181" t="n">
        <v>2</v>
      </c>
      <c r="G94" s="181" t="inlineStr">
        <is>
          <t>multi-target signaling modulation</t>
        </is>
      </c>
      <c r="H94" s="181" t="inlineStr">
        <is>
          <t>inferred_plus_trusted_gov</t>
        </is>
      </c>
    </row>
    <row r="95">
      <c r="A95" s="181" t="inlineStr">
        <is>
          <t>NF-kB inhibition</t>
        </is>
      </c>
      <c r="B95" s="181" t="inlineStr">
        <is>
          <t>aloe-emodin</t>
        </is>
      </c>
      <c r="C95" s="181" t="inlineStr">
        <is>
          <t>aloe-emodin</t>
        </is>
      </c>
      <c r="D95" s="181" t="inlineStr">
        <is>
          <t>cassia-alata; cassia-occidentalis</t>
        </is>
      </c>
      <c r="E95" s="181" t="inlineStr">
        <is>
          <t>cassia alata; cassia occidentalis</t>
        </is>
      </c>
      <c r="F95" s="181" t="n">
        <v>2</v>
      </c>
      <c r="G95" s="181" t="inlineStr">
        <is>
          <t>multi-target signaling modulation</t>
        </is>
      </c>
      <c r="H95" s="181" t="inlineStr">
        <is>
          <t>inferred_plus_trusted_gov</t>
        </is>
      </c>
    </row>
    <row r="96">
      <c r="A96" s="181" t="inlineStr">
        <is>
          <t>general or unknown targets</t>
        </is>
      </c>
      <c r="B96" s="181" t="inlineStr">
        <is>
          <t>aloe-emodin</t>
        </is>
      </c>
      <c r="C96" s="181" t="inlineStr">
        <is>
          <t>aloe-emodin</t>
        </is>
      </c>
      <c r="D96" s="181" t="inlineStr">
        <is>
          <t>cassia-alata; cassia-occidentalis</t>
        </is>
      </c>
      <c r="E96" s="181" t="inlineStr">
        <is>
          <t>cassia alata; cassia occidentalis</t>
        </is>
      </c>
      <c r="F96" s="181" t="n">
        <v>2</v>
      </c>
      <c r="G96" s="181" t="inlineStr">
        <is>
          <t>multi-target signaling modulation</t>
        </is>
      </c>
      <c r="H96" s="181" t="inlineStr">
        <is>
          <t>inferred_plus_trusted_gov</t>
        </is>
      </c>
    </row>
    <row r="97">
      <c r="A97" s="181" t="inlineStr">
        <is>
          <t>TRPV1 activation</t>
        </is>
      </c>
      <c r="B97" s="181" t="inlineStr">
        <is>
          <t>capsaicin</t>
        </is>
      </c>
      <c r="C97" s="181" t="inlineStr">
        <is>
          <t>capsaicin</t>
        </is>
      </c>
      <c r="D97" s="181" t="inlineStr">
        <is>
          <t>capsicum-annuum</t>
        </is>
      </c>
      <c r="E97" s="181" t="inlineStr">
        <is>
          <t>capsicum annuum</t>
        </is>
      </c>
      <c r="F97" s="181" t="n">
        <v>1</v>
      </c>
      <c r="G97" s="181" t="inlineStr">
        <is>
          <t>multi-target signaling modulation</t>
        </is>
      </c>
      <c r="H97" s="181" t="inlineStr">
        <is>
          <t>trusted_gov_added</t>
        </is>
      </c>
    </row>
    <row r="98">
      <c r="A98" s="181" t="inlineStr">
        <is>
          <t>general or unknown targets</t>
        </is>
      </c>
      <c r="B98" s="181" t="inlineStr">
        <is>
          <t>capsaicin</t>
        </is>
      </c>
      <c r="C98" s="181" t="inlineStr">
        <is>
          <t>capsaicin</t>
        </is>
      </c>
      <c r="D98" s="181" t="inlineStr">
        <is>
          <t>capsicum-annuum</t>
        </is>
      </c>
      <c r="E98" s="181" t="inlineStr">
        <is>
          <t>capsicum annuum</t>
        </is>
      </c>
      <c r="F98" s="181" t="n">
        <v>1</v>
      </c>
      <c r="G98" s="181" t="inlineStr">
        <is>
          <t>multi-target signaling modulation</t>
        </is>
      </c>
      <c r="H98" s="181" t="inlineStr">
        <is>
          <t>trusted_gov_added</t>
        </is>
      </c>
    </row>
    <row r="99">
      <c r="A99" s="181" t="inlineStr">
        <is>
          <t>LOX inhibition</t>
        </is>
      </c>
      <c r="B99" s="181" t="inlineStr">
        <is>
          <t>baicalein</t>
        </is>
      </c>
      <c r="C99" s="181" t="inlineStr">
        <is>
          <t>baicalein</t>
        </is>
      </c>
      <c r="D99" s="181" t="inlineStr">
        <is>
          <t>scutellaria-baicalensis; scutellaria-lateriflora</t>
        </is>
      </c>
      <c r="E99" s="181" t="inlineStr">
        <is>
          <t>scutellaria baicalensis; scutellaria lateriflora</t>
        </is>
      </c>
      <c r="F99" s="181" t="n">
        <v>2</v>
      </c>
      <c r="G99" s="181" t="inlineStr">
        <is>
          <t>GABAergic modulation; multi-target signaling modulation</t>
        </is>
      </c>
      <c r="H99" s="181" t="inlineStr">
        <is>
          <t>inferred_plus_trusted_gov; trusted_gov_added</t>
        </is>
      </c>
    </row>
    <row r="100">
      <c r="A100" s="181" t="inlineStr">
        <is>
          <t>NF-kB inhibition</t>
        </is>
      </c>
      <c r="B100" s="181" t="inlineStr">
        <is>
          <t>baicalein</t>
        </is>
      </c>
      <c r="C100" s="181" t="inlineStr">
        <is>
          <t>baicalein</t>
        </is>
      </c>
      <c r="D100" s="181" t="inlineStr">
        <is>
          <t>scutellaria-baicalensis; scutellaria-lateriflora</t>
        </is>
      </c>
      <c r="E100" s="181" t="inlineStr">
        <is>
          <t>scutellaria baicalensis; scutellaria lateriflora</t>
        </is>
      </c>
      <c r="F100" s="181" t="n">
        <v>2</v>
      </c>
      <c r="G100" s="181" t="inlineStr">
        <is>
          <t>GABAergic modulation; multi-target signaling modulation</t>
        </is>
      </c>
      <c r="H100" s="181" t="inlineStr">
        <is>
          <t>inferred_plus_trusted_gov; trusted_gov_added</t>
        </is>
      </c>
    </row>
    <row r="101">
      <c r="A101" s="181" t="inlineStr">
        <is>
          <t>gabaergic_modulation</t>
        </is>
      </c>
      <c r="B101" s="181" t="inlineStr">
        <is>
          <t>baicalein</t>
        </is>
      </c>
      <c r="C101" s="181" t="inlineStr">
        <is>
          <t>baicalein</t>
        </is>
      </c>
      <c r="D101" s="181" t="inlineStr">
        <is>
          <t>scutellaria-baicalensis; scutellaria-lateriflora</t>
        </is>
      </c>
      <c r="E101" s="181" t="inlineStr">
        <is>
          <t>scutellaria baicalensis; scutellaria lateriflora</t>
        </is>
      </c>
      <c r="F101" s="181" t="n">
        <v>2</v>
      </c>
      <c r="G101" s="181" t="inlineStr">
        <is>
          <t>GABAergic modulation; multi-target signaling modulation</t>
        </is>
      </c>
      <c r="H101" s="181" t="inlineStr">
        <is>
          <t>inferred_plus_trusted_gov; trusted_gov_added</t>
        </is>
      </c>
    </row>
    <row r="102">
      <c r="A102" s="181" t="inlineStr">
        <is>
          <t>general or unknown targets</t>
        </is>
      </c>
      <c r="B102" s="181" t="inlineStr">
        <is>
          <t>baicalein</t>
        </is>
      </c>
      <c r="C102" s="181" t="inlineStr">
        <is>
          <t>baicalein</t>
        </is>
      </c>
      <c r="D102" s="181" t="inlineStr">
        <is>
          <t>scutellaria-baicalensis; scutellaria-lateriflora</t>
        </is>
      </c>
      <c r="E102" s="181" t="inlineStr">
        <is>
          <t>scutellaria baicalensis; scutellaria lateriflora</t>
        </is>
      </c>
      <c r="F102" s="181" t="n">
        <v>2</v>
      </c>
      <c r="G102" s="181" t="inlineStr">
        <is>
          <t>GABAergic modulation; multi-target signaling modulation</t>
        </is>
      </c>
      <c r="H102" s="181" t="inlineStr">
        <is>
          <t>inferred_plus_trusted_gov; trusted_gov_added</t>
        </is>
      </c>
    </row>
    <row r="103">
      <c r="A103" s="181" t="inlineStr">
        <is>
          <t>NF-kB modulation</t>
        </is>
      </c>
      <c r="B103" s="181" t="inlineStr">
        <is>
          <t>hesperidin</t>
        </is>
      </c>
      <c r="C103" s="181" t="inlineStr">
        <is>
          <t>hesperidin</t>
        </is>
      </c>
      <c r="D103" s="181" t="str"/>
      <c r="E103" s="181" t="str"/>
      <c r="F103" s="181" t="n">
        <v>0</v>
      </c>
      <c r="G103" s="181" t="str"/>
      <c r="H103" s="181" t="str"/>
    </row>
    <row r="104">
      <c r="A104" s="181" t="inlineStr">
        <is>
          <t>cytokine suppression</t>
        </is>
      </c>
      <c r="B104" s="181" t="inlineStr">
        <is>
          <t>hesperidin</t>
        </is>
      </c>
      <c r="C104" s="181" t="inlineStr">
        <is>
          <t>hesperidin</t>
        </is>
      </c>
      <c r="D104" s="181" t="str"/>
      <c r="E104" s="181" t="str"/>
      <c r="F104" s="181" t="n">
        <v>0</v>
      </c>
      <c r="G104" s="181" t="str"/>
      <c r="H104" s="181" t="str"/>
    </row>
    <row r="105">
      <c r="A105" s="181" t="inlineStr">
        <is>
          <t>MTF-1</t>
        </is>
      </c>
      <c r="B105" s="181" t="inlineStr">
        <is>
          <t>zinc</t>
        </is>
      </c>
      <c r="C105" s="181" t="inlineStr">
        <is>
          <t>zinc</t>
        </is>
      </c>
      <c r="D105" s="181" t="str"/>
      <c r="E105" s="181" t="str"/>
      <c r="F105" s="181" t="n">
        <v>0</v>
      </c>
      <c r="G105" s="181" t="str"/>
      <c r="H105" s="181" t="str"/>
    </row>
    <row r="106">
      <c r="A106" s="181" t="inlineStr">
        <is>
          <t>Metallothionein</t>
        </is>
      </c>
      <c r="B106" s="181" t="inlineStr">
        <is>
          <t>zinc</t>
        </is>
      </c>
      <c r="C106" s="181" t="inlineStr">
        <is>
          <t>zinc</t>
        </is>
      </c>
      <c r="D106" s="181" t="str"/>
      <c r="E106" s="181" t="str"/>
      <c r="F106" s="181" t="n">
        <v>0</v>
      </c>
      <c r="G106" s="181" t="str"/>
      <c r="H106" s="181" t="str"/>
    </row>
    <row r="107">
      <c r="A107" s="181" t="inlineStr">
        <is>
          <t>ZIP</t>
        </is>
      </c>
      <c r="B107" s="181" t="inlineStr">
        <is>
          <t>zinc</t>
        </is>
      </c>
      <c r="C107" s="181" t="inlineStr">
        <is>
          <t>zinc</t>
        </is>
      </c>
      <c r="D107" s="181" t="str"/>
      <c r="E107" s="181" t="str"/>
      <c r="F107" s="181" t="n">
        <v>0</v>
      </c>
      <c r="G107" s="181" t="str"/>
      <c r="H107" s="181" t="str"/>
    </row>
    <row r="108">
      <c r="A108" s="181" t="inlineStr">
        <is>
          <t>ZnT</t>
        </is>
      </c>
      <c r="B108" s="181" t="inlineStr">
        <is>
          <t>zinc</t>
        </is>
      </c>
      <c r="C108" s="181" t="inlineStr">
        <is>
          <t>zinc</t>
        </is>
      </c>
      <c r="D108" s="181" t="str"/>
      <c r="E108" s="181" t="str"/>
      <c r="F108" s="181" t="n">
        <v>0</v>
      </c>
      <c r="G108" s="181" t="str"/>
      <c r="H108" s="181" t="str"/>
    </row>
    <row r="109">
      <c r="A109" s="181" t="inlineStr">
        <is>
          <t>MAPK pathway inhibition</t>
        </is>
      </c>
      <c r="B109" s="181" t="inlineStr">
        <is>
          <t>luteolin</t>
        </is>
      </c>
      <c r="C109" s="181" t="inlineStr">
        <is>
          <t>luteolin</t>
        </is>
      </c>
      <c r="D109" s="181" t="inlineStr">
        <is>
          <t>lonicera-japonica</t>
        </is>
      </c>
      <c r="E109" s="181" t="inlineStr">
        <is>
          <t>lonicera japonica</t>
        </is>
      </c>
      <c r="F109" s="181" t="n">
        <v>1</v>
      </c>
      <c r="G109" s="181" t="inlineStr">
        <is>
          <t>multi-target signaling modulation</t>
        </is>
      </c>
      <c r="H109" s="181" t="inlineStr">
        <is>
          <t>inferred_plus_trusted_gov</t>
        </is>
      </c>
    </row>
    <row r="110">
      <c r="A110" s="181" t="inlineStr">
        <is>
          <t>NF-kB inhibition</t>
        </is>
      </c>
      <c r="B110" s="181" t="inlineStr">
        <is>
          <t>luteolin</t>
        </is>
      </c>
      <c r="C110" s="181" t="inlineStr">
        <is>
          <t>luteolin</t>
        </is>
      </c>
      <c r="D110" s="181" t="inlineStr">
        <is>
          <t>lonicera-japonica</t>
        </is>
      </c>
      <c r="E110" s="181" t="inlineStr">
        <is>
          <t>lonicera japonica</t>
        </is>
      </c>
      <c r="F110" s="181" t="n">
        <v>1</v>
      </c>
      <c r="G110" s="181" t="inlineStr">
        <is>
          <t>multi-target signaling modulation</t>
        </is>
      </c>
      <c r="H110" s="181" t="inlineStr">
        <is>
          <t>inferred_plus_trusted_gov</t>
        </is>
      </c>
    </row>
    <row r="111">
      <c r="A111" s="181" t="inlineStr">
        <is>
          <t>general or unknown targets</t>
        </is>
      </c>
      <c r="B111" s="181" t="inlineStr">
        <is>
          <t>luteolin</t>
        </is>
      </c>
      <c r="C111" s="181" t="inlineStr">
        <is>
          <t>luteolin</t>
        </is>
      </c>
      <c r="D111" s="181" t="inlineStr">
        <is>
          <t>lonicera-japonica</t>
        </is>
      </c>
      <c r="E111" s="181" t="inlineStr">
        <is>
          <t>lonicera japonica</t>
        </is>
      </c>
      <c r="F111" s="181" t="n">
        <v>1</v>
      </c>
      <c r="G111" s="181" t="inlineStr">
        <is>
          <t>multi-target signaling modulation</t>
        </is>
      </c>
      <c r="H111" s="181" t="inlineStr">
        <is>
          <t>inferred_plus_trusted_gov</t>
        </is>
      </c>
    </row>
    <row r="112">
      <c r="A112" s="181" t="inlineStr">
        <is>
          <t>ER modulation</t>
        </is>
      </c>
      <c r="B112" s="181" t="inlineStr">
        <is>
          <t>genistein</t>
        </is>
      </c>
      <c r="C112" s="181" t="inlineStr">
        <is>
          <t>genistein</t>
        </is>
      </c>
      <c r="D112" s="181" t="str"/>
      <c r="E112" s="181" t="str"/>
      <c r="F112" s="181" t="n">
        <v>0</v>
      </c>
      <c r="G112" s="181" t="str"/>
      <c r="H112" s="181" t="str"/>
    </row>
    <row r="113">
      <c r="A113" s="181" t="inlineStr">
        <is>
          <t>Tyrosine kinase inhibition</t>
        </is>
      </c>
      <c r="B113" s="181" t="inlineStr">
        <is>
          <t>genistein</t>
        </is>
      </c>
      <c r="C113" s="181" t="inlineStr">
        <is>
          <t>genistein</t>
        </is>
      </c>
      <c r="D113" s="181" t="str"/>
      <c r="E113" s="181" t="str"/>
      <c r="F113" s="181" t="n">
        <v>0</v>
      </c>
      <c r="G113" s="181" t="str"/>
      <c r="H113" s="181" t="str"/>
    </row>
    <row r="114">
      <c r="A114" s="181" t="inlineStr">
        <is>
          <t>Nrf2 activation</t>
        </is>
      </c>
      <c r="B114" s="181" t="inlineStr">
        <is>
          <t>sulforaphane</t>
        </is>
      </c>
      <c r="C114" s="181" t="inlineStr">
        <is>
          <t>sulforaphane</t>
        </is>
      </c>
      <c r="D114" s="181" t="str"/>
      <c r="E114" s="181" t="str"/>
      <c r="F114" s="181" t="n">
        <v>0</v>
      </c>
      <c r="G114" s="181" t="str"/>
      <c r="H114" s="181" t="str"/>
    </row>
    <row r="115">
      <c r="A115" s="181" t="inlineStr">
        <is>
          <t>phase II enzyme induction</t>
        </is>
      </c>
      <c r="B115" s="181" t="inlineStr">
        <is>
          <t>sulforaphane</t>
        </is>
      </c>
      <c r="C115" s="181" t="inlineStr">
        <is>
          <t>sulforaphane</t>
        </is>
      </c>
      <c r="D115" s="181" t="str"/>
      <c r="E115" s="181" t="str"/>
      <c r="F115" s="181" t="n">
        <v>0</v>
      </c>
      <c r="G115" s="181" t="str"/>
      <c r="H115" s="181" t="str"/>
    </row>
    <row r="116">
      <c r="A116" s="181" t="inlineStr">
        <is>
          <t>CYP3A4 inhibition</t>
        </is>
      </c>
      <c r="B116" s="181" t="inlineStr">
        <is>
          <t>piperine</t>
        </is>
      </c>
      <c r="C116" s="181" t="inlineStr">
        <is>
          <t>piperine</t>
        </is>
      </c>
      <c r="D116" s="181" t="str"/>
      <c r="E116" s="181" t="str"/>
      <c r="F116" s="181" t="n">
        <v>0</v>
      </c>
      <c r="G116" s="181" t="str"/>
      <c r="H116" s="181" t="str"/>
    </row>
    <row r="117">
      <c r="A117" s="181" t="inlineStr">
        <is>
          <t>P-gp inhibition</t>
        </is>
      </c>
      <c r="B117" s="181" t="inlineStr">
        <is>
          <t>piperine</t>
        </is>
      </c>
      <c r="C117" s="181" t="inlineStr">
        <is>
          <t>piperine</t>
        </is>
      </c>
      <c r="D117" s="181" t="str"/>
      <c r="E117" s="181" t="str"/>
      <c r="F117" s="181" t="n">
        <v>0</v>
      </c>
      <c r="G117" s="181" t="str"/>
      <c r="H117" s="181" t="str"/>
    </row>
    <row r="118">
      <c r="A118" s="181" t="inlineStr">
        <is>
          <t>NF-kB modulation</t>
        </is>
      </c>
      <c r="B118" s="181" t="inlineStr">
        <is>
          <t>ellagic acid</t>
        </is>
      </c>
      <c r="C118" s="181" t="inlineStr">
        <is>
          <t>ellagic acid</t>
        </is>
      </c>
      <c r="D118" s="181" t="inlineStr">
        <is>
          <t>punica-granatum; vachellia-nilotica</t>
        </is>
      </c>
      <c r="E118" s="181" t="inlineStr">
        <is>
          <t>acacia nilotica; punica granatum</t>
        </is>
      </c>
      <c r="F118" s="181" t="n">
        <v>2</v>
      </c>
      <c r="G118" s="181" t="inlineStr">
        <is>
          <t>multi-target signaling modulation</t>
        </is>
      </c>
      <c r="H118" s="181" t="inlineStr">
        <is>
          <t>inferred_plus_trusted_gov; trusted_gov_added</t>
        </is>
      </c>
    </row>
    <row r="119">
      <c r="A119" s="181" t="inlineStr">
        <is>
          <t>general or unknown targets</t>
        </is>
      </c>
      <c r="B119" s="181" t="inlineStr">
        <is>
          <t>ellagic acid</t>
        </is>
      </c>
      <c r="C119" s="181" t="inlineStr">
        <is>
          <t>ellagic acid</t>
        </is>
      </c>
      <c r="D119" s="181" t="inlineStr">
        <is>
          <t>punica-granatum; vachellia-nilotica</t>
        </is>
      </c>
      <c r="E119" s="181" t="inlineStr">
        <is>
          <t>acacia nilotica; punica granatum</t>
        </is>
      </c>
      <c r="F119" s="181" t="n">
        <v>2</v>
      </c>
      <c r="G119" s="181" t="inlineStr">
        <is>
          <t>multi-target signaling modulation</t>
        </is>
      </c>
      <c r="H119" s="181" t="inlineStr">
        <is>
          <t>inferred_plus_trusted_gov; trusted_gov_added</t>
        </is>
      </c>
    </row>
    <row r="120">
      <c r="A120" s="181" t="inlineStr">
        <is>
          <t>oxidative stress pathways</t>
        </is>
      </c>
      <c r="B120" s="181" t="inlineStr">
        <is>
          <t>ellagic acid</t>
        </is>
      </c>
      <c r="C120" s="181" t="inlineStr">
        <is>
          <t>ellagic acid</t>
        </is>
      </c>
      <c r="D120" s="181" t="inlineStr">
        <is>
          <t>punica-granatum; vachellia-nilotica</t>
        </is>
      </c>
      <c r="E120" s="181" t="inlineStr">
        <is>
          <t>acacia nilotica; punica granatum</t>
        </is>
      </c>
      <c r="F120" s="181" t="n">
        <v>2</v>
      </c>
      <c r="G120" s="181" t="inlineStr">
        <is>
          <t>multi-target signaling modulation</t>
        </is>
      </c>
      <c r="H120" s="181" t="inlineStr">
        <is>
          <t>inferred_plus_trusted_gov; trusted_gov_added</t>
        </is>
      </c>
    </row>
    <row r="121">
      <c r="A121" s="181" t="inlineStr">
        <is>
          <t>GABA-A receptor activation</t>
        </is>
      </c>
      <c r="B121" s="181" t="inlineStr">
        <is>
          <t>gamma-aminobutyric acid</t>
        </is>
      </c>
      <c r="C121" s="181" t="inlineStr">
        <is>
          <t>gamma-aminobutyric acid (GABA)</t>
        </is>
      </c>
      <c r="D121" s="181" t="inlineStr">
        <is>
          <t>casimiroa-edulis</t>
        </is>
      </c>
      <c r="E121" s="181" t="inlineStr">
        <is>
          <t>casimiroa edulis</t>
        </is>
      </c>
      <c r="F121" s="181" t="n">
        <v>1</v>
      </c>
      <c r="G121" s="181" t="inlineStr">
        <is>
          <t>multi-target signaling modulation</t>
        </is>
      </c>
      <c r="H121" s="181" t="inlineStr">
        <is>
          <t>trusted_gov_added</t>
        </is>
      </c>
    </row>
    <row r="122">
      <c r="A122" s="181" t="inlineStr">
        <is>
          <t>GABA-B receptor activation</t>
        </is>
      </c>
      <c r="B122" s="181" t="inlineStr">
        <is>
          <t>gamma-aminobutyric acid</t>
        </is>
      </c>
      <c r="C122" s="181" t="inlineStr">
        <is>
          <t>gamma-aminobutyric acid (GABA)</t>
        </is>
      </c>
      <c r="D122" s="181" t="inlineStr">
        <is>
          <t>casimiroa-edulis</t>
        </is>
      </c>
      <c r="E122" s="181" t="inlineStr">
        <is>
          <t>casimiroa edulis</t>
        </is>
      </c>
      <c r="F122" s="181" t="n">
        <v>1</v>
      </c>
      <c r="G122" s="181" t="inlineStr">
        <is>
          <t>multi-target signaling modulation</t>
        </is>
      </c>
      <c r="H122" s="181" t="inlineStr">
        <is>
          <t>trusted_gov_added</t>
        </is>
      </c>
    </row>
    <row r="123">
      <c r="A123" s="181" t="inlineStr">
        <is>
          <t>general or unknown targets</t>
        </is>
      </c>
      <c r="B123" s="181" t="inlineStr">
        <is>
          <t>gamma-aminobutyric acid</t>
        </is>
      </c>
      <c r="C123" s="181" t="inlineStr">
        <is>
          <t>gamma-aminobutyric acid (GABA)</t>
        </is>
      </c>
      <c r="D123" s="181" t="inlineStr">
        <is>
          <t>casimiroa-edulis</t>
        </is>
      </c>
      <c r="E123" s="181" t="inlineStr">
        <is>
          <t>casimiroa edulis</t>
        </is>
      </c>
      <c r="F123" s="181" t="n">
        <v>1</v>
      </c>
      <c r="G123" s="181" t="inlineStr">
        <is>
          <t>multi-target signaling modulation</t>
        </is>
      </c>
      <c r="H123" s="181" t="inlineStr">
        <is>
          <t>trusted_gov_added</t>
        </is>
      </c>
    </row>
    <row r="124">
      <c r="A124" s="181" t="inlineStr">
        <is>
          <t>GABA receptor modulation</t>
        </is>
      </c>
      <c r="B124" s="181" t="inlineStr">
        <is>
          <t>taurine</t>
        </is>
      </c>
      <c r="C124" s="181" t="inlineStr">
        <is>
          <t>taurine</t>
        </is>
      </c>
      <c r="D124" s="181" t="str"/>
      <c r="E124" s="181" t="str"/>
      <c r="F124" s="181" t="n">
        <v>0</v>
      </c>
      <c r="G124" s="181" t="str"/>
      <c r="H124" s="181" t="str"/>
    </row>
    <row r="125">
      <c r="A125" s="181" t="inlineStr">
        <is>
          <t>Glycine receptor modulation</t>
        </is>
      </c>
      <c r="B125" s="181" t="inlineStr">
        <is>
          <t>taurine</t>
        </is>
      </c>
      <c r="C125" s="181" t="inlineStr">
        <is>
          <t>taurine</t>
        </is>
      </c>
      <c r="D125" s="181" t="str"/>
      <c r="E125" s="181" t="str"/>
      <c r="F125" s="181" t="n">
        <v>0</v>
      </c>
      <c r="G125" s="181" t="str"/>
      <c r="H125" s="181" t="str"/>
    </row>
    <row r="126">
      <c r="A126" s="181" t="inlineStr">
        <is>
          <t>Osmoregulation pathways</t>
        </is>
      </c>
      <c r="B126" s="181" t="inlineStr">
        <is>
          <t>taurine</t>
        </is>
      </c>
      <c r="C126" s="181" t="inlineStr">
        <is>
          <t>taurine</t>
        </is>
      </c>
      <c r="D126" s="181" t="str"/>
      <c r="E126" s="181" t="str"/>
      <c r="F126" s="181" t="n">
        <v>0</v>
      </c>
      <c r="G126" s="181" t="str"/>
      <c r="H126" s="181" t="str"/>
    </row>
    <row r="127">
      <c r="A127" s="181" t="inlineStr">
        <is>
          <t>Carnitine shuttle system</t>
        </is>
      </c>
      <c r="B127" s="181" t="inlineStr">
        <is>
          <t>acetyl-l-carnitine</t>
        </is>
      </c>
      <c r="C127" s="181" t="inlineStr">
        <is>
          <t>acetyl-L-carnitine</t>
        </is>
      </c>
      <c r="D127" s="181" t="str"/>
      <c r="E127" s="181" t="str"/>
      <c r="F127" s="181" t="n">
        <v>0</v>
      </c>
      <c r="G127" s="181" t="str"/>
      <c r="H127" s="181" t="str"/>
    </row>
    <row r="128">
      <c r="A128" s="181" t="inlineStr">
        <is>
          <t>Mitochondrial beta-oxidation</t>
        </is>
      </c>
      <c r="B128" s="181" t="inlineStr">
        <is>
          <t>acetyl-l-carnitine</t>
        </is>
      </c>
      <c r="C128" s="181" t="inlineStr">
        <is>
          <t>acetyl-L-carnitine</t>
        </is>
      </c>
      <c r="D128" s="181" t="str"/>
      <c r="E128" s="181" t="str"/>
      <c r="F128" s="181" t="n">
        <v>0</v>
      </c>
      <c r="G128" s="181" t="str"/>
      <c r="H128" s="181" t="str"/>
    </row>
    <row r="129">
      <c r="A129" s="181" t="inlineStr">
        <is>
          <t>Acetylcholine synthesis pathway</t>
        </is>
      </c>
      <c r="B129" s="181" t="inlineStr">
        <is>
          <t>choline</t>
        </is>
      </c>
      <c r="C129" s="181" t="inlineStr">
        <is>
          <t>choline</t>
        </is>
      </c>
      <c r="D129" s="181" t="inlineStr">
        <is>
          <t>capsella-bursa-pastoris</t>
        </is>
      </c>
      <c r="E129" s="181" t="inlineStr">
        <is>
          <t>capsella bursa-pastoris</t>
        </is>
      </c>
      <c r="F129" s="181" t="n">
        <v>1</v>
      </c>
      <c r="G129" s="181" t="inlineStr">
        <is>
          <t>multi-target signaling modulation</t>
        </is>
      </c>
      <c r="H129" s="181" t="inlineStr">
        <is>
          <t>inferred_plus_trusted_gov</t>
        </is>
      </c>
    </row>
    <row r="130">
      <c r="A130" s="181" t="inlineStr">
        <is>
          <t>Methylation pathways</t>
        </is>
      </c>
      <c r="B130" s="181" t="inlineStr">
        <is>
          <t>choline</t>
        </is>
      </c>
      <c r="C130" s="181" t="inlineStr">
        <is>
          <t>choline</t>
        </is>
      </c>
      <c r="D130" s="181" t="inlineStr">
        <is>
          <t>capsella-bursa-pastoris</t>
        </is>
      </c>
      <c r="E130" s="181" t="inlineStr">
        <is>
          <t>capsella bursa-pastoris</t>
        </is>
      </c>
      <c r="F130" s="181" t="n">
        <v>1</v>
      </c>
      <c r="G130" s="181" t="inlineStr">
        <is>
          <t>multi-target signaling modulation</t>
        </is>
      </c>
      <c r="H130" s="181" t="inlineStr">
        <is>
          <t>inferred_plus_trusted_gov</t>
        </is>
      </c>
    </row>
    <row r="131">
      <c r="A131" s="181" t="inlineStr">
        <is>
          <t>Phospholipid metabolism</t>
        </is>
      </c>
      <c r="B131" s="181" t="inlineStr">
        <is>
          <t>choline</t>
        </is>
      </c>
      <c r="C131" s="181" t="inlineStr">
        <is>
          <t>choline</t>
        </is>
      </c>
      <c r="D131" s="181" t="inlineStr">
        <is>
          <t>capsella-bursa-pastoris</t>
        </is>
      </c>
      <c r="E131" s="181" t="inlineStr">
        <is>
          <t>capsella bursa-pastoris</t>
        </is>
      </c>
      <c r="F131" s="181" t="n">
        <v>1</v>
      </c>
      <c r="G131" s="181" t="inlineStr">
        <is>
          <t>multi-target signaling modulation</t>
        </is>
      </c>
      <c r="H131" s="181" t="inlineStr">
        <is>
          <t>inferred_plus_trusted_gov</t>
        </is>
      </c>
    </row>
    <row r="132">
      <c r="A132" s="181" t="inlineStr">
        <is>
          <t>general or unknown targets</t>
        </is>
      </c>
      <c r="B132" s="181" t="inlineStr">
        <is>
          <t>choline</t>
        </is>
      </c>
      <c r="C132" s="181" t="inlineStr">
        <is>
          <t>choline</t>
        </is>
      </c>
      <c r="D132" s="181" t="inlineStr">
        <is>
          <t>capsella-bursa-pastoris</t>
        </is>
      </c>
      <c r="E132" s="181" t="inlineStr">
        <is>
          <t>capsella bursa-pastoris</t>
        </is>
      </c>
      <c r="F132" s="181" t="n">
        <v>1</v>
      </c>
      <c r="G132" s="181" t="inlineStr">
        <is>
          <t>multi-target signaling modulation</t>
        </is>
      </c>
      <c r="H132" s="181" t="inlineStr">
        <is>
          <t>inferred_plus_trusted_gov</t>
        </is>
      </c>
    </row>
    <row r="133">
      <c r="A133" s="181" t="inlineStr">
        <is>
          <t>Inositol phosphate signaling</t>
        </is>
      </c>
      <c r="B133" s="181" t="inlineStr">
        <is>
          <t>myo-inositol</t>
        </is>
      </c>
      <c r="C133" s="181" t="inlineStr">
        <is>
          <t>myo-inositol</t>
        </is>
      </c>
      <c r="D133" s="181" t="str"/>
      <c r="E133" s="181" t="str"/>
      <c r="F133" s="181" t="n">
        <v>0</v>
      </c>
      <c r="G133" s="181" t="str"/>
      <c r="H133" s="181" t="str"/>
    </row>
    <row r="134">
      <c r="A134" s="181" t="inlineStr">
        <is>
          <t>PI3K signaling pathway</t>
        </is>
      </c>
      <c r="B134" s="181" t="inlineStr">
        <is>
          <t>myo-inositol</t>
        </is>
      </c>
      <c r="C134" s="181" t="inlineStr">
        <is>
          <t>myo-inositol</t>
        </is>
      </c>
      <c r="D134" s="181" t="str"/>
      <c r="E134" s="181" t="str"/>
      <c r="F134" s="181" t="n">
        <v>0</v>
      </c>
      <c r="G134" s="181" t="str"/>
      <c r="H134" s="181" t="str"/>
    </row>
    <row r="135">
      <c r="A135" s="181" t="inlineStr">
        <is>
          <t>Tyrosine pool replenishment</t>
        </is>
      </c>
      <c r="B135" s="181" t="inlineStr">
        <is>
          <t>n-acetyl-l-tyrosine</t>
        </is>
      </c>
      <c r="C135" s="181" t="inlineStr">
        <is>
          <t>N-acetyl-L-tyrosine</t>
        </is>
      </c>
      <c r="D135" s="181" t="str"/>
      <c r="E135" s="181" t="str"/>
      <c r="F135" s="181" t="n">
        <v>0</v>
      </c>
      <c r="G135" s="181" t="str"/>
      <c r="H135" s="181" t="str"/>
    </row>
    <row r="136">
      <c r="A136" s="181" t="inlineStr">
        <is>
          <t>catecholamine biosynthesis support</t>
        </is>
      </c>
      <c r="B136" s="181" t="inlineStr">
        <is>
          <t>n-acetyl-l-tyrosine</t>
        </is>
      </c>
      <c r="C136" s="181" t="inlineStr">
        <is>
          <t>N-acetyl-L-tyrosine</t>
        </is>
      </c>
      <c r="D136" s="181" t="str"/>
      <c r="E136" s="181" t="str"/>
      <c r="F136" s="181" t="n">
        <v>0</v>
      </c>
      <c r="G136" s="181" t="str"/>
      <c r="H136" s="181" t="str"/>
    </row>
    <row r="137">
      <c r="A137" s="181" t="inlineStr">
        <is>
          <t>thyroid hormone precursor biology</t>
        </is>
      </c>
      <c r="B137" s="181" t="inlineStr">
        <is>
          <t>n-acetyl-l-tyrosine</t>
        </is>
      </c>
      <c r="C137" s="181" t="inlineStr">
        <is>
          <t>N-acetyl-L-tyrosine</t>
        </is>
      </c>
      <c r="D137" s="181" t="str"/>
      <c r="E137" s="181" t="str"/>
      <c r="F137" s="181" t="n">
        <v>0</v>
      </c>
      <c r="G137" s="181" t="str"/>
      <c r="H137" s="181" t="str"/>
    </row>
    <row r="138">
      <c r="A138" s="181" t="inlineStr">
        <is>
          <t>Phenylalanine hydroxylase pathway</t>
        </is>
      </c>
      <c r="B138" s="181" t="inlineStr">
        <is>
          <t>l-phenylalanine</t>
        </is>
      </c>
      <c r="C138" s="181" t="inlineStr">
        <is>
          <t>L-phenylalanine</t>
        </is>
      </c>
      <c r="D138" s="181" t="str"/>
      <c r="E138" s="181" t="str"/>
      <c r="F138" s="181" t="n">
        <v>0</v>
      </c>
      <c r="G138" s="181" t="str"/>
      <c r="H138" s="181" t="str"/>
    </row>
    <row r="139">
      <c r="A139" s="181" t="inlineStr">
        <is>
          <t>catecholamine precursor biology</t>
        </is>
      </c>
      <c r="B139" s="181" t="inlineStr">
        <is>
          <t>l-phenylalanine</t>
        </is>
      </c>
      <c r="C139" s="181" t="inlineStr">
        <is>
          <t>L-phenylalanine</t>
        </is>
      </c>
      <c r="D139" s="181" t="str"/>
      <c r="E139" s="181" t="str"/>
      <c r="F139" s="181" t="n">
        <v>0</v>
      </c>
      <c r="G139" s="181" t="str"/>
      <c r="H139" s="181" t="str"/>
    </row>
    <row r="140">
      <c r="A140" s="181" t="inlineStr">
        <is>
          <t>tyrosine biosynthesis</t>
        </is>
      </c>
      <c r="B140" s="181" t="inlineStr">
        <is>
          <t>l-phenylalanine</t>
        </is>
      </c>
      <c r="C140" s="181" t="inlineStr">
        <is>
          <t>L-phenylalanine</t>
        </is>
      </c>
      <c r="D140" s="181" t="str"/>
      <c r="E140" s="181" t="str"/>
      <c r="F140" s="181" t="n">
        <v>0</v>
      </c>
      <c r="G140" s="181" t="str"/>
      <c r="H140" s="181" t="str"/>
    </row>
    <row r="141">
      <c r="A141" s="181" t="inlineStr">
        <is>
          <t>Tryptophan hydroxylase pathway</t>
        </is>
      </c>
      <c r="B141" s="181" t="inlineStr">
        <is>
          <t>l-tryptophan</t>
        </is>
      </c>
      <c r="C141" s="181" t="inlineStr">
        <is>
          <t>L-tryptophan</t>
        </is>
      </c>
      <c r="D141" s="181" t="str"/>
      <c r="E141" s="181" t="str"/>
      <c r="F141" s="181" t="n">
        <v>0</v>
      </c>
      <c r="G141" s="181" t="str"/>
      <c r="H141" s="181" t="str"/>
    </row>
    <row r="142">
      <c r="A142" s="181" t="inlineStr">
        <is>
          <t>kynurenine pathway</t>
        </is>
      </c>
      <c r="B142" s="181" t="inlineStr">
        <is>
          <t>l-tryptophan</t>
        </is>
      </c>
      <c r="C142" s="181" t="inlineStr">
        <is>
          <t>L-tryptophan</t>
        </is>
      </c>
      <c r="D142" s="181" t="str"/>
      <c r="E142" s="181" t="str"/>
      <c r="F142" s="181" t="n">
        <v>0</v>
      </c>
      <c r="G142" s="181" t="str"/>
      <c r="H142" s="181" t="str"/>
    </row>
    <row r="143">
      <c r="A143" s="181" t="inlineStr">
        <is>
          <t>serotonin biosynthesis</t>
        </is>
      </c>
      <c r="B143" s="181" t="inlineStr">
        <is>
          <t>l-tryptophan</t>
        </is>
      </c>
      <c r="C143" s="181" t="inlineStr">
        <is>
          <t>L-tryptophan</t>
        </is>
      </c>
      <c r="D143" s="181" t="str"/>
      <c r="E143" s="181" t="str"/>
      <c r="F143" s="181" t="n">
        <v>0</v>
      </c>
      <c r="G143" s="181" t="str"/>
      <c r="H143" s="181" t="str"/>
    </row>
    <row r="144">
      <c r="A144" s="181" t="inlineStr">
        <is>
          <t>Aromatic L-amino-acid decarboxylase pathway</t>
        </is>
      </c>
      <c r="B144" s="181" t="inlineStr">
        <is>
          <t>5-hydroxytryptophan</t>
        </is>
      </c>
      <c r="C144" s="181" t="inlineStr">
        <is>
          <t>5-hydroxytryptophan (5-HTP)</t>
        </is>
      </c>
      <c r="D144" s="181" t="inlineStr">
        <is>
          <t>griffonia-simplicifolia</t>
        </is>
      </c>
      <c r="E144" s="181" t="inlineStr">
        <is>
          <t>griffonia simplicifolia</t>
        </is>
      </c>
      <c r="F144" s="181" t="n">
        <v>1</v>
      </c>
      <c r="G144" s="181" t="inlineStr">
        <is>
          <t>serotonergic modulation</t>
        </is>
      </c>
      <c r="H144" s="181" t="inlineStr">
        <is>
          <t>inferred_plus_trusted_gov</t>
        </is>
      </c>
    </row>
    <row r="145">
      <c r="A145" s="181" t="inlineStr">
        <is>
          <t>HTR1A, HTR2A (serotonin receptors)</t>
        </is>
      </c>
      <c r="B145" s="181" t="inlineStr">
        <is>
          <t>5-hydroxytryptophan</t>
        </is>
      </c>
      <c r="C145" s="181" t="inlineStr">
        <is>
          <t>5-hydroxytryptophan (5-HTP)</t>
        </is>
      </c>
      <c r="D145" s="181" t="inlineStr">
        <is>
          <t>griffonia-simplicifolia</t>
        </is>
      </c>
      <c r="E145" s="181" t="inlineStr">
        <is>
          <t>griffonia simplicifolia</t>
        </is>
      </c>
      <c r="F145" s="181" t="n">
        <v>1</v>
      </c>
      <c r="G145" s="181" t="inlineStr">
        <is>
          <t>serotonergic modulation</t>
        </is>
      </c>
      <c r="H145" s="181" t="inlineStr">
        <is>
          <t>inferred_plus_trusted_gov</t>
        </is>
      </c>
    </row>
    <row r="146">
      <c r="A146" s="181" t="inlineStr">
        <is>
          <t>melatonin precursor biology</t>
        </is>
      </c>
      <c r="B146" s="181" t="inlineStr">
        <is>
          <t>5-hydroxytryptophan</t>
        </is>
      </c>
      <c r="C146" s="181" t="inlineStr">
        <is>
          <t>5-hydroxytryptophan (5-HTP)</t>
        </is>
      </c>
      <c r="D146" s="181" t="inlineStr">
        <is>
          <t>griffonia-simplicifolia</t>
        </is>
      </c>
      <c r="E146" s="181" t="inlineStr">
        <is>
          <t>griffonia simplicifolia</t>
        </is>
      </c>
      <c r="F146" s="181" t="n">
        <v>1</v>
      </c>
      <c r="G146" s="181" t="inlineStr">
        <is>
          <t>serotonergic modulation</t>
        </is>
      </c>
      <c r="H146" s="181" t="inlineStr">
        <is>
          <t>inferred_plus_trusted_gov</t>
        </is>
      </c>
    </row>
    <row r="147">
      <c r="A147" s="181" t="inlineStr">
        <is>
          <t>serotonin biosynthesis</t>
        </is>
      </c>
      <c r="B147" s="181" t="inlineStr">
        <is>
          <t>5-hydroxytryptophan</t>
        </is>
      </c>
      <c r="C147" s="181" t="inlineStr">
        <is>
          <t>5-hydroxytryptophan (5-HTP)</t>
        </is>
      </c>
      <c r="D147" s="181" t="inlineStr">
        <is>
          <t>griffonia-simplicifolia</t>
        </is>
      </c>
      <c r="E147" s="181" t="inlineStr">
        <is>
          <t>griffonia simplicifolia</t>
        </is>
      </c>
      <c r="F147" s="181" t="n">
        <v>1</v>
      </c>
      <c r="G147" s="181" t="inlineStr">
        <is>
          <t>serotonergic modulation</t>
        </is>
      </c>
      <c r="H147" s="181" t="inlineStr">
        <is>
          <t>inferred_plus_trusted_gov</t>
        </is>
      </c>
    </row>
    <row r="148">
      <c r="A148" s="181" t="inlineStr">
        <is>
          <t>Tyrosine hydroxylase pathway</t>
        </is>
      </c>
      <c r="B148" s="181" t="inlineStr">
        <is>
          <t>l-tyrosine</t>
        </is>
      </c>
      <c r="C148" s="181" t="inlineStr">
        <is>
          <t>L-tyrosine</t>
        </is>
      </c>
      <c r="D148" s="181" t="str"/>
      <c r="E148" s="181" t="str"/>
      <c r="F148" s="181" t="n">
        <v>0</v>
      </c>
      <c r="G148" s="181" t="str"/>
      <c r="H148" s="181" t="str"/>
    </row>
    <row r="149">
      <c r="A149" s="181" t="inlineStr">
        <is>
          <t>catecholamine biosynthesis</t>
        </is>
      </c>
      <c r="B149" s="181" t="inlineStr">
        <is>
          <t>l-tyrosine</t>
        </is>
      </c>
      <c r="C149" s="181" t="inlineStr">
        <is>
          <t>L-tyrosine</t>
        </is>
      </c>
      <c r="D149" s="181" t="str"/>
      <c r="E149" s="181" t="str"/>
      <c r="F149" s="181" t="n">
        <v>0</v>
      </c>
      <c r="G149" s="181" t="str"/>
      <c r="H149" s="181" t="str"/>
    </row>
    <row r="150">
      <c r="A150" s="181" t="inlineStr">
        <is>
          <t>melanin synthesis</t>
        </is>
      </c>
      <c r="B150" s="181" t="inlineStr">
        <is>
          <t>l-tyrosine</t>
        </is>
      </c>
      <c r="C150" s="181" t="inlineStr">
        <is>
          <t>L-tyrosine</t>
        </is>
      </c>
      <c r="D150" s="181" t="str"/>
      <c r="E150" s="181" t="str"/>
      <c r="F150" s="181" t="n">
        <v>0</v>
      </c>
      <c r="G150" s="181" t="str"/>
      <c r="H150" s="181" t="str"/>
    </row>
    <row r="151">
      <c r="A151" s="181" t="inlineStr">
        <is>
          <t>Kennedy pathway / phosphatidylcholine biosynthesis</t>
        </is>
      </c>
      <c r="B151" s="181" t="inlineStr">
        <is>
          <t>citicoline cdp-choline</t>
        </is>
      </c>
      <c r="C151" s="181" t="inlineStr">
        <is>
          <t>citicoline (CDP-choline)</t>
        </is>
      </c>
      <c r="D151" s="181" t="str"/>
      <c r="E151" s="181" t="str"/>
      <c r="F151" s="181" t="n">
        <v>0</v>
      </c>
      <c r="G151" s="181" t="str"/>
      <c r="H151" s="181" t="str"/>
    </row>
    <row r="152">
      <c r="A152" s="181" t="inlineStr">
        <is>
          <t>acetylcholine precursor biology</t>
        </is>
      </c>
      <c r="B152" s="181" t="inlineStr">
        <is>
          <t>citicoline cdp-choline</t>
        </is>
      </c>
      <c r="C152" s="181" t="inlineStr">
        <is>
          <t>citicoline (CDP-choline)</t>
        </is>
      </c>
      <c r="D152" s="181" t="str"/>
      <c r="E152" s="181" t="str"/>
      <c r="F152" s="181" t="n">
        <v>0</v>
      </c>
      <c r="G152" s="181" t="str"/>
      <c r="H152" s="181" t="str"/>
    </row>
    <row r="153">
      <c r="A153" s="181" t="inlineStr">
        <is>
          <t>membrane phospholipid turnover</t>
        </is>
      </c>
      <c r="B153" s="181" t="inlineStr">
        <is>
          <t>citicoline cdp-choline</t>
        </is>
      </c>
      <c r="C153" s="181" t="inlineStr">
        <is>
          <t>citicoline (CDP-choline)</t>
        </is>
      </c>
      <c r="D153" s="181" t="str"/>
      <c r="E153" s="181" t="str"/>
      <c r="F153" s="181" t="n">
        <v>0</v>
      </c>
      <c r="G153" s="181" t="str"/>
      <c r="H153" s="181" t="str"/>
    </row>
    <row r="154">
      <c r="A154" s="181" t="inlineStr">
        <is>
          <t>Acetylcholine synthesis pathway</t>
        </is>
      </c>
      <c r="B154" s="181" t="inlineStr">
        <is>
          <t>alpha-gpc l-alpha-glycerylphosphorylcholine</t>
        </is>
      </c>
      <c r="C154" s="181" t="inlineStr">
        <is>
          <t>alpha-GPC (L-alpha-glycerylphosphorylcholine)</t>
        </is>
      </c>
      <c r="D154" s="181" t="str"/>
      <c r="E154" s="181" t="str"/>
      <c r="F154" s="181" t="n">
        <v>0</v>
      </c>
      <c r="G154" s="181" t="str"/>
      <c r="H154" s="181" t="str"/>
    </row>
    <row r="155">
      <c r="A155" s="181" t="inlineStr">
        <is>
          <t>choline pool replenishment</t>
        </is>
      </c>
      <c r="B155" s="181" t="inlineStr">
        <is>
          <t>alpha-gpc l-alpha-glycerylphosphorylcholine</t>
        </is>
      </c>
      <c r="C155" s="181" t="inlineStr">
        <is>
          <t>alpha-GPC (L-alpha-glycerylphosphorylcholine)</t>
        </is>
      </c>
      <c r="D155" s="181" t="str"/>
      <c r="E155" s="181" t="str"/>
      <c r="F155" s="181" t="n">
        <v>0</v>
      </c>
      <c r="G155" s="181" t="str"/>
      <c r="H155" s="181" t="str"/>
    </row>
    <row r="156">
      <c r="A156" s="181" t="inlineStr">
        <is>
          <t>phospholipid metabolism</t>
        </is>
      </c>
      <c r="B156" s="181" t="inlineStr">
        <is>
          <t>alpha-gpc l-alpha-glycerylphosphorylcholine</t>
        </is>
      </c>
      <c r="C156" s="181" t="inlineStr">
        <is>
          <t>alpha-GPC (L-alpha-glycerylphosphorylcholine)</t>
        </is>
      </c>
      <c r="D156" s="181" t="str"/>
      <c r="E156" s="181" t="str"/>
      <c r="F156" s="181" t="n">
        <v>0</v>
      </c>
      <c r="G156" s="181" t="str"/>
      <c r="H156" s="181" t="str"/>
    </row>
    <row r="157">
      <c r="A157" s="181" t="inlineStr">
        <is>
          <t>Cell-membrane phospholipid signaling</t>
        </is>
      </c>
      <c r="B157" s="181" t="inlineStr">
        <is>
          <t>phosphatidylserine</t>
        </is>
      </c>
      <c r="C157" s="181" t="inlineStr">
        <is>
          <t>phosphatidylserine</t>
        </is>
      </c>
      <c r="D157" s="181" t="str"/>
      <c r="E157" s="181" t="str"/>
      <c r="F157" s="181" t="n">
        <v>0</v>
      </c>
      <c r="G157" s="181" t="str"/>
      <c r="H157" s="181" t="str"/>
    </row>
    <row r="158">
      <c r="A158" s="181" t="inlineStr">
        <is>
          <t>apoptotic membrane signaling</t>
        </is>
      </c>
      <c r="B158" s="181" t="inlineStr">
        <is>
          <t>phosphatidylserine</t>
        </is>
      </c>
      <c r="C158" s="181" t="inlineStr">
        <is>
          <t>phosphatidylserine</t>
        </is>
      </c>
      <c r="D158" s="181" t="str"/>
      <c r="E158" s="181" t="str"/>
      <c r="F158" s="181" t="n">
        <v>0</v>
      </c>
      <c r="G158" s="181" t="str"/>
      <c r="H158" s="181" t="str"/>
    </row>
    <row r="159">
      <c r="A159" s="181" t="inlineStr">
        <is>
          <t>cortisol/stress-response modulation</t>
        </is>
      </c>
      <c r="B159" s="181" t="inlineStr">
        <is>
          <t>phosphatidylserine</t>
        </is>
      </c>
      <c r="C159" s="181" t="inlineStr">
        <is>
          <t>phosphatidylserine</t>
        </is>
      </c>
      <c r="D159" s="181" t="str"/>
      <c r="E159" s="181" t="str"/>
      <c r="F159" s="181" t="n">
        <v>0</v>
      </c>
      <c r="G159" s="181" t="str"/>
      <c r="H159" s="181" t="str"/>
    </row>
    <row r="160">
      <c r="A160" s="181" t="inlineStr">
        <is>
          <t>Pyrimidine salvage pathway</t>
        </is>
      </c>
      <c r="B160" s="181" t="inlineStr">
        <is>
          <t>uridine monophosphate</t>
        </is>
      </c>
      <c r="C160" s="181" t="inlineStr">
        <is>
          <t>uridine monophosphate (UMP)</t>
        </is>
      </c>
      <c r="D160" s="181" t="str"/>
      <c r="E160" s="181" t="str"/>
      <c r="F160" s="181" t="n">
        <v>0</v>
      </c>
      <c r="G160" s="181" t="str"/>
      <c r="H160" s="181" t="str"/>
    </row>
    <row r="161">
      <c r="A161" s="181" t="inlineStr">
        <is>
          <t>membrane phosphatide synthesis</t>
        </is>
      </c>
      <c r="B161" s="181" t="inlineStr">
        <is>
          <t>uridine monophosphate</t>
        </is>
      </c>
      <c r="C161" s="181" t="inlineStr">
        <is>
          <t>uridine monophosphate (UMP)</t>
        </is>
      </c>
      <c r="D161" s="181" t="str"/>
      <c r="E161" s="181" t="str"/>
      <c r="F161" s="181" t="n">
        <v>0</v>
      </c>
      <c r="G161" s="181" t="str"/>
      <c r="H161" s="181" t="str"/>
    </row>
    <row r="162">
      <c r="A162" s="181" t="inlineStr">
        <is>
          <t>uridine/cytidine nucleotide metabolism</t>
        </is>
      </c>
      <c r="B162" s="181" t="inlineStr">
        <is>
          <t>uridine monophosphate</t>
        </is>
      </c>
      <c r="C162" s="181" t="inlineStr">
        <is>
          <t>uridine monophosphate (UMP)</t>
        </is>
      </c>
      <c r="D162" s="181" t="str"/>
      <c r="E162" s="181" t="str"/>
      <c r="F162" s="181" t="n">
        <v>0</v>
      </c>
      <c r="G162" s="181" t="str"/>
      <c r="H162" s="181" t="str"/>
    </row>
    <row r="163">
      <c r="A163" s="181" t="inlineStr">
        <is>
          <t>Acetylcholinesterase inhibition</t>
        </is>
      </c>
      <c r="B163" s="181" t="inlineStr">
        <is>
          <t>huperzine a</t>
        </is>
      </c>
      <c r="C163" s="181" t="inlineStr">
        <is>
          <t>huperzine A</t>
        </is>
      </c>
      <c r="D163" s="181" t="inlineStr">
        <is>
          <t>huperzia-serrata</t>
        </is>
      </c>
      <c r="E163" s="181" t="inlineStr">
        <is>
          <t>huperzia serrata</t>
        </is>
      </c>
      <c r="F163" s="181" t="n">
        <v>1</v>
      </c>
      <c r="G163" s="181" t="inlineStr">
        <is>
          <t>muscarinic receptor interaction</t>
        </is>
      </c>
      <c r="H163" s="181" t="inlineStr">
        <is>
          <t>trusted_gov_added</t>
        </is>
      </c>
    </row>
    <row r="164">
      <c r="A164" s="181" t="inlineStr">
        <is>
          <t>cholinergic_modulation</t>
        </is>
      </c>
      <c r="B164" s="181" t="inlineStr">
        <is>
          <t>huperzine a</t>
        </is>
      </c>
      <c r="C164" s="181" t="inlineStr">
        <is>
          <t>huperzine A</t>
        </is>
      </c>
      <c r="D164" s="181" t="inlineStr">
        <is>
          <t>huperzia-serrata</t>
        </is>
      </c>
      <c r="E164" s="181" t="inlineStr">
        <is>
          <t>huperzia serrata</t>
        </is>
      </c>
      <c r="F164" s="181" t="n">
        <v>1</v>
      </c>
      <c r="G164" s="181" t="inlineStr">
        <is>
          <t>muscarinic receptor interaction</t>
        </is>
      </c>
      <c r="H164" s="181" t="inlineStr">
        <is>
          <t>trusted_gov_added</t>
        </is>
      </c>
    </row>
    <row r="165">
      <c r="A165" s="181" t="inlineStr">
        <is>
          <t>synaptic acetylcholine increase</t>
        </is>
      </c>
      <c r="B165" s="181" t="inlineStr">
        <is>
          <t>huperzine a</t>
        </is>
      </c>
      <c r="C165" s="181" t="inlineStr">
        <is>
          <t>huperzine A</t>
        </is>
      </c>
      <c r="D165" s="181" t="inlineStr">
        <is>
          <t>huperzia-serrata</t>
        </is>
      </c>
      <c r="E165" s="181" t="inlineStr">
        <is>
          <t>huperzia serrata</t>
        </is>
      </c>
      <c r="F165" s="181" t="n">
        <v>1</v>
      </c>
      <c r="G165" s="181" t="inlineStr">
        <is>
          <t>muscarinic receptor interaction</t>
        </is>
      </c>
      <c r="H165" s="181" t="inlineStr">
        <is>
          <t>trusted_gov_added</t>
        </is>
      </c>
    </row>
    <row r="166">
      <c r="A166" s="181" t="inlineStr">
        <is>
          <t>serotonergic_5HT2A_agonism</t>
        </is>
      </c>
      <c r="B166" s="181" t="inlineStr">
        <is>
          <t>n-methyltryptamine</t>
        </is>
      </c>
      <c r="C166" s="181" t="inlineStr">
        <is>
          <t>n-methyltryptamine (nmt)</t>
        </is>
      </c>
      <c r="D166" s="181" t="inlineStr">
        <is>
          <t>acacia-confusa</t>
        </is>
      </c>
      <c r="E166" s="181" t="inlineStr">
        <is>
          <t>acacia confusa</t>
        </is>
      </c>
      <c r="F166" s="181" t="n">
        <v>1</v>
      </c>
      <c r="G166" s="181" t="inlineStr">
        <is>
          <t>serotonergic modulation</t>
        </is>
      </c>
      <c r="H166" s="181" t="inlineStr">
        <is>
          <t>trusted_gov_added</t>
        </is>
      </c>
    </row>
    <row r="167">
      <c r="A167" s="181" t="inlineStr">
        <is>
          <t>HTR1A, HTR2A (serotonin receptors)</t>
        </is>
      </c>
      <c r="B167" s="181" t="inlineStr">
        <is>
          <t>tryptamine</t>
        </is>
      </c>
      <c r="C167" s="181" t="inlineStr">
        <is>
          <t>tryptamine</t>
        </is>
      </c>
      <c r="D167" s="181" t="inlineStr">
        <is>
          <t>acacia-confusa; phalaris-arundinacea</t>
        </is>
      </c>
      <c r="E167" s="181" t="inlineStr">
        <is>
          <t>acacia confusa; phalaris arundinacea</t>
        </is>
      </c>
      <c r="F167" s="181" t="n">
        <v>2</v>
      </c>
      <c r="G167" s="181" t="inlineStr">
        <is>
          <t>serotonergic modulation</t>
        </is>
      </c>
      <c r="H167" s="181" t="inlineStr">
        <is>
          <t>inferred_plus_trusted_gov; trusted_gov_added</t>
        </is>
      </c>
    </row>
    <row r="168">
      <c r="A168" s="181" t="inlineStr">
        <is>
          <t>serotonergic_5HT2A_agonism</t>
        </is>
      </c>
      <c r="B168" s="181" t="inlineStr">
        <is>
          <t>tryptamine</t>
        </is>
      </c>
      <c r="C168" s="181" t="inlineStr">
        <is>
          <t>tryptamine</t>
        </is>
      </c>
      <c r="D168" s="181" t="inlineStr">
        <is>
          <t>acacia-confusa; phalaris-arundinacea</t>
        </is>
      </c>
      <c r="E168" s="181" t="inlineStr">
        <is>
          <t>acacia confusa; phalaris arundinacea</t>
        </is>
      </c>
      <c r="F168" s="181" t="n">
        <v>2</v>
      </c>
      <c r="G168" s="181" t="inlineStr">
        <is>
          <t>serotonergic modulation</t>
        </is>
      </c>
      <c r="H168" s="181" t="inlineStr">
        <is>
          <t>inferred_plus_trusted_gov; trusted_gov_added</t>
        </is>
      </c>
    </row>
    <row r="169">
      <c r="A169" s="181" t="inlineStr">
        <is>
          <t>serotonergic_5HT2A_agonism</t>
        </is>
      </c>
      <c r="B169" s="181" t="inlineStr">
        <is>
          <t>n-dimethyltryptamine</t>
        </is>
      </c>
      <c r="C169" s="181" t="inlineStr">
        <is>
          <t>n-dimethyltryptamine (dmt)</t>
        </is>
      </c>
      <c r="D169" s="181" t="inlineStr">
        <is>
          <t>acacia-confusa; acacia-maidenii; acacia-phlebophylla; diplopterys-cabrerana; psychotria-viridis; virola-calophylla; virola-elongata; virola-sebifera</t>
        </is>
      </c>
      <c r="E169" s="181" t="inlineStr">
        <is>
          <t>acacia confusa; acacia maidenii; acacia phlebophylla; chacruna; diplopterys cabrerana; psychotria viridis; virola calophylla; virola elongata; virola sebifera</t>
        </is>
      </c>
      <c r="F169" s="181" t="n">
        <v>8</v>
      </c>
      <c r="G169" s="181" t="inlineStr">
        <is>
          <t>serotonergic modulation</t>
        </is>
      </c>
      <c r="H169" s="181" t="inlineStr">
        <is>
          <t>inferred_plus_trusted_gov; trusted_gov_added</t>
        </is>
      </c>
    </row>
    <row r="170">
      <c r="A170" s="181" t="inlineStr">
        <is>
          <t>general or unknown targets</t>
        </is>
      </c>
      <c r="B170" s="181" t="inlineStr">
        <is>
          <t>gallic acid</t>
        </is>
      </c>
      <c r="C170" s="181" t="inlineStr">
        <is>
          <t>gallic acid</t>
        </is>
      </c>
      <c r="D170" s="181" t="inlineStr">
        <is>
          <t>vachellia-nilotica</t>
        </is>
      </c>
      <c r="E170" s="181" t="inlineStr">
        <is>
          <t>acacia nilotica</t>
        </is>
      </c>
      <c r="F170" s="181" t="n">
        <v>1</v>
      </c>
      <c r="G170" s="181" t="inlineStr">
        <is>
          <t>multi-target signaling modulation</t>
        </is>
      </c>
      <c r="H170" s="181" t="inlineStr">
        <is>
          <t>trusted_gov_added</t>
        </is>
      </c>
    </row>
    <row r="171">
      <c r="A171" s="181" t="inlineStr">
        <is>
          <t>general or unknown targets</t>
        </is>
      </c>
      <c r="B171" s="181" t="inlineStr">
        <is>
          <t>spilanthol</t>
        </is>
      </c>
      <c r="C171" s="181" t="inlineStr">
        <is>
          <t>spilanthol</t>
        </is>
      </c>
      <c r="D171" s="181" t="inlineStr">
        <is>
          <t>acmella-oleracea</t>
        </is>
      </c>
      <c r="E171" s="181" t="inlineStr">
        <is>
          <t>acmella oleracea; toothache plant</t>
        </is>
      </c>
      <c r="F171" s="181" t="n">
        <v>1</v>
      </c>
      <c r="G171" s="181" t="inlineStr">
        <is>
          <t>multi-target signaling modulation</t>
        </is>
      </c>
      <c r="H171" s="181" t="inlineStr">
        <is>
          <t>inferred_plus_trusted_gov; trusted_gov_added</t>
        </is>
      </c>
    </row>
    <row r="172">
      <c r="A172" s="181" t="inlineStr">
        <is>
          <t>general or unknown targets</t>
        </is>
      </c>
      <c r="B172" s="181" t="inlineStr">
        <is>
          <t>hypaconitine</t>
        </is>
      </c>
      <c r="C172" s="181" t="inlineStr">
        <is>
          <t>hypaconitine</t>
        </is>
      </c>
      <c r="D172" s="181" t="inlineStr">
        <is>
          <t>aconitum-ferox; aconitum-napellus</t>
        </is>
      </c>
      <c r="E172" s="181" t="inlineStr">
        <is>
          <t>aconitum ferox; aconitum napellus</t>
        </is>
      </c>
      <c r="F172" s="181" t="n">
        <v>2</v>
      </c>
      <c r="G172" s="181" t="inlineStr">
        <is>
          <t>multi-target signaling modulation</t>
        </is>
      </c>
      <c r="H172" s="181" t="inlineStr">
        <is>
          <t>inferred_plus_trusted_gov</t>
        </is>
      </c>
    </row>
    <row r="173">
      <c r="A173" s="181" t="inlineStr">
        <is>
          <t>general or unknown targets</t>
        </is>
      </c>
      <c r="B173" s="181" t="inlineStr">
        <is>
          <t>mesaconitine</t>
        </is>
      </c>
      <c r="C173" s="181" t="inlineStr">
        <is>
          <t>mesaconitine</t>
        </is>
      </c>
      <c r="D173" s="181" t="inlineStr">
        <is>
          <t>aconitum-ferox; aconitum-napellus</t>
        </is>
      </c>
      <c r="E173" s="181" t="inlineStr">
        <is>
          <t>aconitum ferox; aconitum napellus</t>
        </is>
      </c>
      <c r="F173" s="181" t="n">
        <v>2</v>
      </c>
      <c r="G173" s="181" t="inlineStr">
        <is>
          <t>multi-target signaling modulation</t>
        </is>
      </c>
      <c r="H173" s="181" t="inlineStr">
        <is>
          <t>inferred_plus_trusted_gov</t>
        </is>
      </c>
    </row>
    <row r="174">
      <c r="A174" s="181" t="inlineStr">
        <is>
          <t>general or unknown targets</t>
        </is>
      </c>
      <c r="B174" s="181" t="inlineStr">
        <is>
          <t>aconitine</t>
        </is>
      </c>
      <c r="C174" s="181" t="inlineStr">
        <is>
          <t>aconitine</t>
        </is>
      </c>
      <c r="D174" s="181" t="inlineStr">
        <is>
          <t>aconitum-ferox; aconitum-napellus</t>
        </is>
      </c>
      <c r="E174" s="181" t="inlineStr">
        <is>
          <t>aconitum ferox; aconitum napellus</t>
        </is>
      </c>
      <c r="F174" s="181" t="n">
        <v>2</v>
      </c>
      <c r="G174" s="181" t="inlineStr">
        <is>
          <t>multi-target signaling modulation</t>
        </is>
      </c>
      <c r="H174" s="181" t="inlineStr">
        <is>
          <t>inferred_plus_trusted_gov</t>
        </is>
      </c>
    </row>
    <row r="175">
      <c r="A175" s="181" t="inlineStr">
        <is>
          <t>general or unknown targets</t>
        </is>
      </c>
      <c r="B175" s="181" t="inlineStr">
        <is>
          <t>beta-asarone low levels</t>
        </is>
      </c>
      <c r="C175" s="181" t="inlineStr">
        <is>
          <t>beta-asarone (low levels)</t>
        </is>
      </c>
      <c r="D175" s="181" t="inlineStr">
        <is>
          <t>acorus-americanus</t>
        </is>
      </c>
      <c r="E175" s="181" t="inlineStr">
        <is>
          <t>acorus americanus</t>
        </is>
      </c>
      <c r="F175" s="181" t="n">
        <v>1</v>
      </c>
      <c r="G175" s="181" t="inlineStr">
        <is>
          <t>multi-target signaling modulation</t>
        </is>
      </c>
      <c r="H175" s="181" t="inlineStr">
        <is>
          <t>trusted_gov_added</t>
        </is>
      </c>
    </row>
    <row r="176">
      <c r="A176" s="181" t="inlineStr">
        <is>
          <t>gabaergic_modulation</t>
        </is>
      </c>
      <c r="B176" s="181" t="inlineStr">
        <is>
          <t>alpha-asarone</t>
        </is>
      </c>
      <c r="C176" s="181" t="inlineStr">
        <is>
          <t>alpha-asarone</t>
        </is>
      </c>
      <c r="D176" s="181" t="inlineStr">
        <is>
          <t>acorus-americanus; acorus-calamus; acorus-calamus-angustatus; acorus-tatarinowii</t>
        </is>
      </c>
      <c r="E176" s="181" t="inlineStr">
        <is>
          <t>acorus americanus; acorus calamus; acorus calamus var. angustatus; acorus tatarinowii</t>
        </is>
      </c>
      <c r="F176" s="181" t="n">
        <v>4</v>
      </c>
      <c r="G176" s="181" t="inlineStr">
        <is>
          <t>GABAergic modulation; multi-target signaling modulation</t>
        </is>
      </c>
      <c r="H176" s="181" t="inlineStr">
        <is>
          <t>inferred_plus_trusted_gov; trusted_gov_added</t>
        </is>
      </c>
    </row>
    <row r="177">
      <c r="A177" s="181" t="inlineStr">
        <is>
          <t>general or unknown targets</t>
        </is>
      </c>
      <c r="B177" s="181" t="inlineStr">
        <is>
          <t>alpha-asarone</t>
        </is>
      </c>
      <c r="C177" s="181" t="inlineStr">
        <is>
          <t>alpha-asarone</t>
        </is>
      </c>
      <c r="D177" s="181" t="inlineStr">
        <is>
          <t>acorus-americanus; acorus-calamus; acorus-calamus-angustatus; acorus-tatarinowii</t>
        </is>
      </c>
      <c r="E177" s="181" t="inlineStr">
        <is>
          <t>acorus americanus; acorus calamus; acorus calamus var. angustatus; acorus tatarinowii</t>
        </is>
      </c>
      <c r="F177" s="181" t="n">
        <v>4</v>
      </c>
      <c r="G177" s="181" t="inlineStr">
        <is>
          <t>GABAergic modulation; multi-target signaling modulation</t>
        </is>
      </c>
      <c r="H177" s="181" t="inlineStr">
        <is>
          <t>inferred_plus_trusted_gov; trusted_gov_added</t>
        </is>
      </c>
    </row>
    <row r="178">
      <c r="A178" s="181" t="inlineStr">
        <is>
          <t>gabaergic_modulation</t>
        </is>
      </c>
      <c r="B178" s="181" t="inlineStr">
        <is>
          <t>beta-asarone</t>
        </is>
      </c>
      <c r="C178" s="181" t="inlineStr">
        <is>
          <t>beta-asarone</t>
        </is>
      </c>
      <c r="D178" s="181" t="inlineStr">
        <is>
          <t>acorus-calamus; acorus-calamus-angustatus; acorus-tatarinowii</t>
        </is>
      </c>
      <c r="E178" s="181" t="inlineStr">
        <is>
          <t>acorus calamus; acorus calamus var. angustatus; acorus tatarinowii</t>
        </is>
      </c>
      <c r="F178" s="181" t="n">
        <v>3</v>
      </c>
      <c r="G178" s="181" t="inlineStr">
        <is>
          <t>GABAergic modulation; multi-target signaling modulation</t>
        </is>
      </c>
      <c r="H178" s="181" t="inlineStr">
        <is>
          <t>inferred_plus_trusted_gov; trusted_gov_added</t>
        </is>
      </c>
    </row>
    <row r="179">
      <c r="A179" s="181" t="inlineStr">
        <is>
          <t>general or unknown targets</t>
        </is>
      </c>
      <c r="B179" s="181" t="inlineStr">
        <is>
          <t>beta-asarone</t>
        </is>
      </c>
      <c r="C179" s="181" t="inlineStr">
        <is>
          <t>beta-asarone</t>
        </is>
      </c>
      <c r="D179" s="181" t="inlineStr">
        <is>
          <t>acorus-calamus; acorus-calamus-angustatus; acorus-tatarinowii</t>
        </is>
      </c>
      <c r="E179" s="181" t="inlineStr">
        <is>
          <t>acorus calamus; acorus calamus var. angustatus; acorus tatarinowii</t>
        </is>
      </c>
      <c r="F179" s="181" t="n">
        <v>3</v>
      </c>
      <c r="G179" s="181" t="inlineStr">
        <is>
          <t>GABAergic modulation; multi-target signaling modulation</t>
        </is>
      </c>
      <c r="H179" s="181" t="inlineStr">
        <is>
          <t>inferred_plus_trusted_gov; trusted_gov_added</t>
        </is>
      </c>
    </row>
    <row r="180">
      <c r="A180" s="181" t="inlineStr">
        <is>
          <t>general or unknown targets</t>
        </is>
      </c>
      <c r="B180" s="181" t="inlineStr">
        <is>
          <t>vasicine</t>
        </is>
      </c>
      <c r="C180" s="181" t="inlineStr">
        <is>
          <t>vasicine</t>
        </is>
      </c>
      <c r="D180" s="181" t="inlineStr">
        <is>
          <t>adhatoda-vasica</t>
        </is>
      </c>
      <c r="E180" s="181" t="inlineStr">
        <is>
          <t>adhatoda vasica</t>
        </is>
      </c>
      <c r="F180" s="181" t="n">
        <v>1</v>
      </c>
      <c r="G180" s="181" t="inlineStr">
        <is>
          <t>multi-target signaling modulation</t>
        </is>
      </c>
      <c r="H180" s="181" t="inlineStr">
        <is>
          <t>trusted_gov_added</t>
        </is>
      </c>
    </row>
    <row r="181">
      <c r="A181" s="181" t="inlineStr">
        <is>
          <t>general or unknown targets</t>
        </is>
      </c>
      <c r="B181" s="181" t="inlineStr">
        <is>
          <t>vasicinone</t>
        </is>
      </c>
      <c r="C181" s="181" t="inlineStr">
        <is>
          <t>vasicinone</t>
        </is>
      </c>
      <c r="D181" s="181" t="inlineStr">
        <is>
          <t>adhatoda-vasica; sida-cordifolia</t>
        </is>
      </c>
      <c r="E181" s="181" t="inlineStr">
        <is>
          <t>adhatoda vasica; sida cordifolia</t>
        </is>
      </c>
      <c r="F181" s="181" t="n">
        <v>2</v>
      </c>
      <c r="G181" s="181" t="inlineStr">
        <is>
          <t>multi-target signaling modulation</t>
        </is>
      </c>
      <c r="H181" s="181" t="inlineStr">
        <is>
          <t>inferred_plus_trusted_gov; trusted_gov_added</t>
        </is>
      </c>
    </row>
    <row r="182">
      <c r="A182" s="181" t="inlineStr">
        <is>
          <t>general or unknown targets</t>
        </is>
      </c>
      <c r="B182" s="181" t="inlineStr">
        <is>
          <t>skimmianine</t>
        </is>
      </c>
      <c r="C182" s="181" t="inlineStr">
        <is>
          <t>skimmianine</t>
        </is>
      </c>
      <c r="D182" s="181" t="inlineStr">
        <is>
          <t>aegle-marmelos</t>
        </is>
      </c>
      <c r="E182" s="181" t="inlineStr">
        <is>
          <t>aegle marmelos</t>
        </is>
      </c>
      <c r="F182" s="181" t="n">
        <v>1</v>
      </c>
      <c r="G182" s="181" t="inlineStr">
        <is>
          <t>multi-target signaling modulation</t>
        </is>
      </c>
      <c r="H182" s="181" t="inlineStr">
        <is>
          <t>trusted_gov_added</t>
        </is>
      </c>
    </row>
    <row r="183">
      <c r="A183" s="181" t="inlineStr">
        <is>
          <t>general or unknown targets</t>
        </is>
      </c>
      <c r="B183" s="181" t="inlineStr">
        <is>
          <t>aegeline</t>
        </is>
      </c>
      <c r="C183" s="181" t="inlineStr">
        <is>
          <t>aegeline</t>
        </is>
      </c>
      <c r="D183" s="181" t="inlineStr">
        <is>
          <t>aegle-marmelos</t>
        </is>
      </c>
      <c r="E183" s="181" t="inlineStr">
        <is>
          <t>aegle marmelos</t>
        </is>
      </c>
      <c r="F183" s="181" t="n">
        <v>1</v>
      </c>
      <c r="G183" s="181" t="inlineStr">
        <is>
          <t>multi-target signaling modulation</t>
        </is>
      </c>
      <c r="H183" s="181" t="inlineStr">
        <is>
          <t>trusted_gov_added</t>
        </is>
      </c>
    </row>
    <row r="184">
      <c r="A184" s="181" t="inlineStr">
        <is>
          <t>general or unknown targets</t>
        </is>
      </c>
      <c r="B184" s="181" t="inlineStr">
        <is>
          <t>marmelosin</t>
        </is>
      </c>
      <c r="C184" s="181" t="inlineStr">
        <is>
          <t>marmelosin</t>
        </is>
      </c>
      <c r="D184" s="181" t="inlineStr">
        <is>
          <t>aegle-marmelos</t>
        </is>
      </c>
      <c r="E184" s="181" t="inlineStr">
        <is>
          <t>aegle marmelos</t>
        </is>
      </c>
      <c r="F184" s="181" t="n">
        <v>1</v>
      </c>
      <c r="G184" s="181" t="inlineStr">
        <is>
          <t>multi-target signaling modulation</t>
        </is>
      </c>
      <c r="H184" s="181" t="inlineStr">
        <is>
          <t>trusted_gov_added</t>
        </is>
      </c>
    </row>
    <row r="185">
      <c r="A185" s="181" t="inlineStr">
        <is>
          <t>general or unknown targets</t>
        </is>
      </c>
      <c r="B185" s="181" t="inlineStr">
        <is>
          <t>unresolved herb level entry</t>
        </is>
      </c>
      <c r="C185" s="181" t="inlineStr">
        <is>
          <t>UNRESOLVED_HERB_LEVEL_ENTRY</t>
        </is>
      </c>
      <c r="D185" s="181" t="inlineStr">
        <is>
          <t>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t>
        </is>
      </c>
      <c r="E185" s="181" t="inlineStr">
        <is>
          <t>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t>
        </is>
      </c>
      <c r="F185" s="181" t="n">
        <v>23</v>
      </c>
      <c r="G185" s="181" t="inlineStr">
        <is>
          <t>COX/NF-kB inhibition; multi-target signaling modulation</t>
        </is>
      </c>
      <c r="H185" s="181" t="inlineStr">
        <is>
          <t>inferred_plus_trusted_gov; trusted_gov_added</t>
        </is>
      </c>
    </row>
    <row r="186">
      <c r="A186" s="181" t="inlineStr">
        <is>
          <t>inflammatory_pathway_modulation</t>
        </is>
      </c>
      <c r="B186" s="181" t="inlineStr">
        <is>
          <t>unresolved herb level entry</t>
        </is>
      </c>
      <c r="C186" s="181" t="inlineStr">
        <is>
          <t>UNRESOLVED_HERB_LEVEL_ENTRY</t>
        </is>
      </c>
      <c r="D186" s="181" t="inlineStr">
        <is>
          <t>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t>
        </is>
      </c>
      <c r="E186" s="181" t="inlineStr">
        <is>
          <t>aerva lanata; albizia lebbeck; blue vervain; bobinsana; boldo; bolivian torch; brunfelsia grandiflora; byrsonima crassifolia; caapi; caesalpinia sepiaria; calliandra anomala; calliandra haematocephala; calliandra portoricensis; ceanothus integerrimus; cordyline fruticosa; desmodium gangeticum; dodonaea viscosa; erythrina vespertilio; helinus integrifolius; lobelia tupa; rhizophora mangle; rhizophora stylosa; tetrapleura tetraptera</t>
        </is>
      </c>
      <c r="F186" s="181" t="n">
        <v>23</v>
      </c>
      <c r="G186" s="181" t="inlineStr">
        <is>
          <t>COX/NF-kB inhibition; multi-target signaling modulation</t>
        </is>
      </c>
      <c r="H186" s="181" t="inlineStr">
        <is>
          <t>inferred_plus_trusted_gov; trusted_gov_added</t>
        </is>
      </c>
    </row>
    <row r="187">
      <c r="A187" s="181" t="inlineStr">
        <is>
          <t>general or unknown targets</t>
        </is>
      </c>
      <c r="B187" s="181" t="inlineStr">
        <is>
          <t>aesculin</t>
        </is>
      </c>
      <c r="C187" s="181" t="inlineStr">
        <is>
          <t>aesculin</t>
        </is>
      </c>
      <c r="D187" s="181" t="inlineStr">
        <is>
          <t>aesculus-hippocastanum</t>
        </is>
      </c>
      <c r="E187" s="181" t="inlineStr">
        <is>
          <t>aesculus hippocastanum</t>
        </is>
      </c>
      <c r="F187" s="181" t="n">
        <v>1</v>
      </c>
      <c r="G187" s="181" t="inlineStr">
        <is>
          <t>multi-target signaling modulation</t>
        </is>
      </c>
      <c r="H187" s="181" t="inlineStr">
        <is>
          <t>inferred_plus_trusted_gov</t>
        </is>
      </c>
    </row>
    <row r="188">
      <c r="A188" s="181" t="inlineStr">
        <is>
          <t>general or unknown targets</t>
        </is>
      </c>
      <c r="B188" s="181" t="inlineStr">
        <is>
          <t>aescin</t>
        </is>
      </c>
      <c r="C188" s="181" t="inlineStr">
        <is>
          <t>aescin</t>
        </is>
      </c>
      <c r="D188" s="181" t="inlineStr">
        <is>
          <t>aesculus-hippocastanum</t>
        </is>
      </c>
      <c r="E188" s="181" t="inlineStr">
        <is>
          <t>aesculus hippocastanum</t>
        </is>
      </c>
      <c r="F188" s="181" t="n">
        <v>1</v>
      </c>
      <c r="G188" s="181" t="inlineStr">
        <is>
          <t>multi-target signaling modulation</t>
        </is>
      </c>
      <c r="H188" s="181" t="inlineStr">
        <is>
          <t>inferred_plus_trusted_gov</t>
        </is>
      </c>
    </row>
    <row r="189">
      <c r="A189" s="181" t="inlineStr">
        <is>
          <t>general or unknown targets</t>
        </is>
      </c>
      <c r="B189" s="181" t="inlineStr">
        <is>
          <t>fraxin</t>
        </is>
      </c>
      <c r="C189" s="181" t="inlineStr">
        <is>
          <t>fraxin</t>
        </is>
      </c>
      <c r="D189" s="181" t="inlineStr">
        <is>
          <t>aesculus-hippocastanum</t>
        </is>
      </c>
      <c r="E189" s="181" t="inlineStr">
        <is>
          <t>aesculus hippocastanum</t>
        </is>
      </c>
      <c r="F189" s="181" t="n">
        <v>1</v>
      </c>
      <c r="G189" s="181" t="inlineStr">
        <is>
          <t>multi-target signaling modulation</t>
        </is>
      </c>
      <c r="H189" s="181" t="inlineStr">
        <is>
          <t>inferred_plus_trusted_gov</t>
        </is>
      </c>
    </row>
    <row r="190">
      <c r="A190" s="181" t="inlineStr">
        <is>
          <t>endocannabinoid_modulation</t>
        </is>
      </c>
      <c r="B190" s="181" t="inlineStr">
        <is>
          <t>limonene</t>
        </is>
      </c>
      <c r="C190" s="181" t="inlineStr">
        <is>
          <t>limonene</t>
        </is>
      </c>
      <c r="D190" s="181" t="inlineStr">
        <is>
          <t>agastache-foeniculum; bursera-graveolens; cannabis-sativa; citrus-aurantium; citrus-limon; juniperus-sibirica; lippia-alba</t>
        </is>
      </c>
      <c r="E190" s="181" t="inlineStr">
        <is>
          <t>agastache foeniculum; bursera graveolens; cannabis sativa; citrus aurantium; citrus limon; juniperus sibirica; lippia alba</t>
        </is>
      </c>
      <c r="F190" s="181" t="n">
        <v>7</v>
      </c>
      <c r="G190" s="181" t="inlineStr">
        <is>
          <t>multi-target signaling modulation</t>
        </is>
      </c>
      <c r="H190" s="181" t="inlineStr">
        <is>
          <t>inferred_plus_trusted_gov; trusted_gov_added</t>
        </is>
      </c>
    </row>
    <row r="191">
      <c r="A191" s="181" t="inlineStr">
        <is>
          <t>general or unknown targets</t>
        </is>
      </c>
      <c r="B191" s="181" t="inlineStr">
        <is>
          <t>limonene</t>
        </is>
      </c>
      <c r="C191" s="181" t="inlineStr">
        <is>
          <t>limonene</t>
        </is>
      </c>
      <c r="D191" s="181" t="inlineStr">
        <is>
          <t>agastache-foeniculum; bursera-graveolens; cannabis-sativa; citrus-aurantium; citrus-limon; juniperus-sibirica; lippia-alba</t>
        </is>
      </c>
      <c r="E191" s="181" t="inlineStr">
        <is>
          <t>agastache foeniculum; bursera graveolens; cannabis sativa; citrus aurantium; citrus limon; juniperus sibirica; lippia alba</t>
        </is>
      </c>
      <c r="F191" s="181" t="n">
        <v>7</v>
      </c>
      <c r="G191" s="181" t="inlineStr">
        <is>
          <t>multi-target signaling modulation</t>
        </is>
      </c>
      <c r="H191" s="181" t="inlineStr">
        <is>
          <t>inferred_plus_trusted_gov; trusted_gov_added</t>
        </is>
      </c>
    </row>
    <row r="192">
      <c r="A192" s="181" t="inlineStr">
        <is>
          <t>general or unknown targets</t>
        </is>
      </c>
      <c r="B192" s="181" t="inlineStr">
        <is>
          <t>anethole</t>
        </is>
      </c>
      <c r="C192" s="181" t="inlineStr">
        <is>
          <t>anethole</t>
        </is>
      </c>
      <c r="D192" s="181" t="inlineStr">
        <is>
          <t>agastache-foeniculum; foeniculum-vulgare; pimpinella-anisum</t>
        </is>
      </c>
      <c r="E192" s="181" t="inlineStr">
        <is>
          <t>agastache foeniculum; foeniculum vulgare; pimpinella anisum</t>
        </is>
      </c>
      <c r="F192" s="181" t="n">
        <v>3</v>
      </c>
      <c r="G192" s="181" t="inlineStr">
        <is>
          <t>multi-target signaling modulation</t>
        </is>
      </c>
      <c r="H192" s="181" t="inlineStr">
        <is>
          <t>inferred_plus_trusted_gov</t>
        </is>
      </c>
    </row>
    <row r="193">
      <c r="A193" s="181" t="inlineStr">
        <is>
          <t>general or unknown targets</t>
        </is>
      </c>
      <c r="B193" s="181" t="inlineStr">
        <is>
          <t>estragole</t>
        </is>
      </c>
      <c r="C193" s="181" t="inlineStr">
        <is>
          <t>estragole</t>
        </is>
      </c>
      <c r="D193" s="181" t="inlineStr">
        <is>
          <t>agastache-foeniculum; tagetes-lucida</t>
        </is>
      </c>
      <c r="E193" s="181" t="inlineStr">
        <is>
          <t>agastache foeniculum; tagetes lucida</t>
        </is>
      </c>
      <c r="F193" s="181" t="n">
        <v>2</v>
      </c>
      <c r="G193" s="181" t="inlineStr">
        <is>
          <t>multi-target signaling modulation</t>
        </is>
      </c>
      <c r="H193" s="181" t="inlineStr">
        <is>
          <t>inferred_plus_trusted_gov</t>
        </is>
      </c>
    </row>
    <row r="194">
      <c r="A194" s="181" t="inlineStr">
        <is>
          <t>general or unknown targets</t>
        </is>
      </c>
      <c r="B194" s="181" t="inlineStr">
        <is>
          <t>agrimoniin</t>
        </is>
      </c>
      <c r="C194" s="181" t="inlineStr">
        <is>
          <t>agrimoniin</t>
        </is>
      </c>
      <c r="D194" s="181" t="inlineStr">
        <is>
          <t>agrimonia-eupatoria</t>
        </is>
      </c>
      <c r="E194" s="181" t="inlineStr">
        <is>
          <t>agrimonia eupatoria</t>
        </is>
      </c>
      <c r="F194" s="181" t="n">
        <v>1</v>
      </c>
      <c r="G194" s="181" t="inlineStr">
        <is>
          <t>multi-target signaling modulation</t>
        </is>
      </c>
      <c r="H194" s="181" t="inlineStr">
        <is>
          <t>inferred_plus_trusted_gov</t>
        </is>
      </c>
    </row>
    <row r="195">
      <c r="A195" s="181" t="inlineStr">
        <is>
          <t>general or unknown targets</t>
        </is>
      </c>
      <c r="B195" s="181" t="inlineStr">
        <is>
          <t>alangine</t>
        </is>
      </c>
      <c r="C195" s="181" t="inlineStr">
        <is>
          <t>alangine</t>
        </is>
      </c>
      <c r="D195" s="181" t="inlineStr">
        <is>
          <t>alangium-salvifolium</t>
        </is>
      </c>
      <c r="E195" s="181" t="inlineStr">
        <is>
          <t>alangium salvifolium</t>
        </is>
      </c>
      <c r="F195" s="181" t="n">
        <v>1</v>
      </c>
      <c r="G195" s="181" t="inlineStr">
        <is>
          <t>multi-target signaling modulation</t>
        </is>
      </c>
      <c r="H195" s="181" t="inlineStr">
        <is>
          <t>inferred_plus_trusted_gov</t>
        </is>
      </c>
    </row>
    <row r="196">
      <c r="A196" s="181" t="inlineStr">
        <is>
          <t>PTGS1, PTGS2 (COX-1, COX-2)</t>
        </is>
      </c>
      <c r="B196" s="181" t="inlineStr">
        <is>
          <t>salicylic acid</t>
        </is>
      </c>
      <c r="C196" s="181" t="inlineStr">
        <is>
          <t>salicylic acid</t>
        </is>
      </c>
      <c r="D196" s="181" t="inlineStr">
        <is>
          <t>alchemilla-vulgaris</t>
        </is>
      </c>
      <c r="E196" s="181" t="inlineStr">
        <is>
          <t>alchemilla vulgaris</t>
        </is>
      </c>
      <c r="F196" s="181" t="n">
        <v>1</v>
      </c>
      <c r="G196" s="181" t="inlineStr">
        <is>
          <t>cox inhibition</t>
        </is>
      </c>
      <c r="H196" s="181" t="inlineStr">
        <is>
          <t>inferred_plus_trusted_gov</t>
        </is>
      </c>
    </row>
    <row r="197">
      <c r="A197" s="181" t="inlineStr">
        <is>
          <t>general or unknown targets</t>
        </is>
      </c>
      <c r="B197" s="181" t="inlineStr">
        <is>
          <t>alchorneine</t>
        </is>
      </c>
      <c r="C197" s="181" t="inlineStr">
        <is>
          <t>alchorneine</t>
        </is>
      </c>
      <c r="D197" s="181" t="inlineStr">
        <is>
          <t>alchornea-floribunda</t>
        </is>
      </c>
      <c r="E197" s="181" t="inlineStr">
        <is>
          <t>alchornea floribunda</t>
        </is>
      </c>
      <c r="F197" s="181" t="n">
        <v>1</v>
      </c>
      <c r="G197" s="181" t="inlineStr">
        <is>
          <t>multi-target signaling modulation</t>
        </is>
      </c>
      <c r="H197" s="181" t="inlineStr">
        <is>
          <t>inferred_plus_trusted_gov</t>
        </is>
      </c>
    </row>
    <row r="198">
      <c r="A198" s="181" t="inlineStr">
        <is>
          <t>general or unknown targets</t>
        </is>
      </c>
      <c r="B198" s="181" t="inlineStr">
        <is>
          <t>allicin</t>
        </is>
      </c>
      <c r="C198" s="181" t="inlineStr">
        <is>
          <t>allicin</t>
        </is>
      </c>
      <c r="D198" s="181" t="inlineStr">
        <is>
          <t>allium-sativum</t>
        </is>
      </c>
      <c r="E198" s="181" t="inlineStr">
        <is>
          <t>allium sativum</t>
        </is>
      </c>
      <c r="F198" s="181" t="n">
        <v>1</v>
      </c>
      <c r="G198" s="181" t="inlineStr">
        <is>
          <t>multi-target signaling modulation</t>
        </is>
      </c>
      <c r="H198" s="181" t="inlineStr">
        <is>
          <t>inferred_plus_trusted_gov</t>
        </is>
      </c>
    </row>
    <row r="199">
      <c r="A199" s="181" t="inlineStr">
        <is>
          <t>general or unknown targets</t>
        </is>
      </c>
      <c r="B199" s="181" t="inlineStr">
        <is>
          <t>ajoene</t>
        </is>
      </c>
      <c r="C199" s="181" t="inlineStr">
        <is>
          <t>ajoene</t>
        </is>
      </c>
      <c r="D199" s="181" t="inlineStr">
        <is>
          <t>allium-sativum</t>
        </is>
      </c>
      <c r="E199" s="181" t="inlineStr">
        <is>
          <t>allium sativum</t>
        </is>
      </c>
      <c r="F199" s="181" t="n">
        <v>1</v>
      </c>
      <c r="G199" s="181" t="inlineStr">
        <is>
          <t>multi-target signaling modulation</t>
        </is>
      </c>
      <c r="H199" s="181" t="inlineStr">
        <is>
          <t>inferred_plus_trusted_gov</t>
        </is>
      </c>
    </row>
    <row r="200">
      <c r="A200" s="181" t="inlineStr">
        <is>
          <t>general or unknown targets</t>
        </is>
      </c>
      <c r="B200" s="181" t="inlineStr">
        <is>
          <t>aloin</t>
        </is>
      </c>
      <c r="C200" s="181" t="inlineStr">
        <is>
          <t>aloin</t>
        </is>
      </c>
      <c r="D200" s="181" t="inlineStr">
        <is>
          <t>aloe-vera</t>
        </is>
      </c>
      <c r="E200" s="181" t="inlineStr">
        <is>
          <t>aloe vera</t>
        </is>
      </c>
      <c r="F200" s="181" t="n">
        <v>1</v>
      </c>
      <c r="G200" s="181" t="inlineStr">
        <is>
          <t>multi-target signaling modulation</t>
        </is>
      </c>
      <c r="H200" s="181" t="inlineStr">
        <is>
          <t>inferred_plus_trusted_gov</t>
        </is>
      </c>
    </row>
    <row r="201">
      <c r="A201" s="181" t="inlineStr">
        <is>
          <t>general or unknown targets</t>
        </is>
      </c>
      <c r="B201" s="181" t="inlineStr">
        <is>
          <t>pectin</t>
        </is>
      </c>
      <c r="C201" s="181" t="inlineStr">
        <is>
          <t>pectin</t>
        </is>
      </c>
      <c r="D201" s="181" t="inlineStr">
        <is>
          <t>althaea-officinalis</t>
        </is>
      </c>
      <c r="E201" s="181" t="inlineStr">
        <is>
          <t>althaea officinalis</t>
        </is>
      </c>
      <c r="F201" s="181" t="n">
        <v>1</v>
      </c>
      <c r="G201" s="181" t="inlineStr">
        <is>
          <t>multi-target signaling modulation</t>
        </is>
      </c>
      <c r="H201" s="181" t="inlineStr">
        <is>
          <t>inferred_plus_trusted_gov</t>
        </is>
      </c>
    </row>
    <row r="202">
      <c r="A202" s="181" t="inlineStr">
        <is>
          <t>gabaergic_modulation</t>
        </is>
      </c>
      <c r="B202" s="181" t="inlineStr">
        <is>
          <t>muscimol</t>
        </is>
      </c>
      <c r="C202" s="181" t="inlineStr">
        <is>
          <t>muscimol</t>
        </is>
      </c>
      <c r="D202" s="181" t="inlineStr">
        <is>
          <t>amanita-muscaria; amanita-pantherina</t>
        </is>
      </c>
      <c r="E202" s="181" t="inlineStr">
        <is>
          <t>amanita muscaria; amanita pantherina; fly agaric</t>
        </is>
      </c>
      <c r="F202" s="181" t="n">
        <v>2</v>
      </c>
      <c r="G202" s="181" t="inlineStr">
        <is>
          <t>GABAergic modulation; multi-target signaling modulation</t>
        </is>
      </c>
      <c r="H202" s="181" t="inlineStr">
        <is>
          <t>inferred_plus_trusted_gov; trusted_gov_added</t>
        </is>
      </c>
    </row>
    <row r="203">
      <c r="A203" s="181" t="inlineStr">
        <is>
          <t>general or unknown targets</t>
        </is>
      </c>
      <c r="B203" s="181" t="inlineStr">
        <is>
          <t>muscimol</t>
        </is>
      </c>
      <c r="C203" s="181" t="inlineStr">
        <is>
          <t>muscimol</t>
        </is>
      </c>
      <c r="D203" s="181" t="inlineStr">
        <is>
          <t>amanita-muscaria; amanita-pantherina</t>
        </is>
      </c>
      <c r="E203" s="181" t="inlineStr">
        <is>
          <t>amanita muscaria; amanita pantherina; fly agaric</t>
        </is>
      </c>
      <c r="F203" s="181" t="n">
        <v>2</v>
      </c>
      <c r="G203" s="181" t="inlineStr">
        <is>
          <t>GABAergic modulation; multi-target signaling modulation</t>
        </is>
      </c>
      <c r="H203" s="181" t="inlineStr">
        <is>
          <t>inferred_plus_trusted_gov; trusted_gov_added</t>
        </is>
      </c>
    </row>
    <row r="204">
      <c r="A204" s="181" t="inlineStr">
        <is>
          <t>gabaergic_modulation</t>
        </is>
      </c>
      <c r="B204" s="181" t="inlineStr">
        <is>
          <t>ibotenic acid</t>
        </is>
      </c>
      <c r="C204" s="181" t="inlineStr">
        <is>
          <t>ibotenic acid</t>
        </is>
      </c>
      <c r="D204" s="181" t="inlineStr">
        <is>
          <t>amanita-muscaria; amanita-pantherina</t>
        </is>
      </c>
      <c r="E204" s="181" t="inlineStr">
        <is>
          <t>amanita muscaria; amanita pantherina; fly agaric</t>
        </is>
      </c>
      <c r="F204" s="181" t="n">
        <v>2</v>
      </c>
      <c r="G204" s="181" t="inlineStr">
        <is>
          <t>GABAergic modulation; multi-target signaling modulation</t>
        </is>
      </c>
      <c r="H204" s="181" t="inlineStr">
        <is>
          <t>inferred_plus_trusted_gov; trusted_gov_added</t>
        </is>
      </c>
    </row>
    <row r="205">
      <c r="A205" s="181" t="inlineStr">
        <is>
          <t>general or unknown targets</t>
        </is>
      </c>
      <c r="B205" s="181" t="inlineStr">
        <is>
          <t>ibotenic acid</t>
        </is>
      </c>
      <c r="C205" s="181" t="inlineStr">
        <is>
          <t>ibotenic acid</t>
        </is>
      </c>
      <c r="D205" s="181" t="inlineStr">
        <is>
          <t>amanita-muscaria; amanita-pantherina</t>
        </is>
      </c>
      <c r="E205" s="181" t="inlineStr">
        <is>
          <t>amanita muscaria; amanita pantherina; fly agaric</t>
        </is>
      </c>
      <c r="F205" s="181" t="n">
        <v>2</v>
      </c>
      <c r="G205" s="181" t="inlineStr">
        <is>
          <t>GABAergic modulation; multi-target signaling modulation</t>
        </is>
      </c>
      <c r="H205" s="181" t="inlineStr">
        <is>
          <t>inferred_plus_trusted_gov; trusted_gov_added</t>
        </is>
      </c>
    </row>
    <row r="206">
      <c r="A206" s="181" t="inlineStr">
        <is>
          <t>gabaergic_modulation</t>
        </is>
      </c>
      <c r="B206" s="181" t="inlineStr">
        <is>
          <t>ginsenosides including rb1</t>
        </is>
      </c>
      <c r="C206" s="181" t="inlineStr">
        <is>
          <t>ginsenosides (including rb1</t>
        </is>
      </c>
      <c r="D206" s="181" t="inlineStr">
        <is>
          <t>american-ginseng</t>
        </is>
      </c>
      <c r="E206" s="181" t="inlineStr">
        <is>
          <t>american ginseng</t>
        </is>
      </c>
      <c r="F206" s="181" t="n">
        <v>1</v>
      </c>
      <c r="G206" s="181" t="inlineStr">
        <is>
          <t>GABAergic modulation</t>
        </is>
      </c>
      <c r="H206" s="181" t="inlineStr">
        <is>
          <t>trusted_gov_added</t>
        </is>
      </c>
    </row>
    <row r="207">
      <c r="A207" s="181" t="inlineStr">
        <is>
          <t>inflammatory_pathway_modulation</t>
        </is>
      </c>
      <c r="B207" s="181" t="inlineStr">
        <is>
          <t>ginsenosides including rb1</t>
        </is>
      </c>
      <c r="C207" s="181" t="inlineStr">
        <is>
          <t>ginsenosides (including rb1</t>
        </is>
      </c>
      <c r="D207" s="181" t="inlineStr">
        <is>
          <t>american-ginseng</t>
        </is>
      </c>
      <c r="E207" s="181" t="inlineStr">
        <is>
          <t>american ginseng</t>
        </is>
      </c>
      <c r="F207" s="181" t="n">
        <v>1</v>
      </c>
      <c r="G207" s="181" t="inlineStr">
        <is>
          <t>GABAergic modulation</t>
        </is>
      </c>
      <c r="H207" s="181" t="inlineStr">
        <is>
          <t>trusted_gov_added</t>
        </is>
      </c>
    </row>
    <row r="208">
      <c r="A208" s="181" t="inlineStr">
        <is>
          <t>gabaergic_modulation</t>
        </is>
      </c>
      <c r="B208" s="181" t="inlineStr">
        <is>
          <t>rg1</t>
        </is>
      </c>
      <c r="C208" s="181" t="inlineStr">
        <is>
          <t>rg1)</t>
        </is>
      </c>
      <c r="D208" s="181" t="inlineStr">
        <is>
          <t>american-ginseng</t>
        </is>
      </c>
      <c r="E208" s="181" t="inlineStr">
        <is>
          <t>american ginseng</t>
        </is>
      </c>
      <c r="F208" s="181" t="n">
        <v>1</v>
      </c>
      <c r="G208" s="181" t="inlineStr">
        <is>
          <t>GABAergic modulation</t>
        </is>
      </c>
      <c r="H208" s="181" t="inlineStr">
        <is>
          <t>trusted_gov_added</t>
        </is>
      </c>
    </row>
    <row r="209">
      <c r="A209" s="181" t="inlineStr">
        <is>
          <t>inflammatory_pathway_modulation</t>
        </is>
      </c>
      <c r="B209" s="181" t="inlineStr">
        <is>
          <t>rg1</t>
        </is>
      </c>
      <c r="C209" s="181" t="inlineStr">
        <is>
          <t>rg1)</t>
        </is>
      </c>
      <c r="D209" s="181" t="inlineStr">
        <is>
          <t>american-ginseng</t>
        </is>
      </c>
      <c r="E209" s="181" t="inlineStr">
        <is>
          <t>american ginseng</t>
        </is>
      </c>
      <c r="F209" s="181" t="n">
        <v>1</v>
      </c>
      <c r="G209" s="181" t="inlineStr">
        <is>
          <t>GABAergic modulation</t>
        </is>
      </c>
      <c r="H209" s="181" t="inlineStr">
        <is>
          <t>trusted_gov_added</t>
        </is>
      </c>
    </row>
    <row r="210">
      <c r="A210" s="181" t="inlineStr">
        <is>
          <t>gabaergic_modulation</t>
        </is>
      </c>
      <c r="B210" s="181" t="inlineStr">
        <is>
          <t>rb2</t>
        </is>
      </c>
      <c r="C210" s="181" t="inlineStr">
        <is>
          <t>rb2</t>
        </is>
      </c>
      <c r="D210" s="181" t="inlineStr">
        <is>
          <t>american-ginseng</t>
        </is>
      </c>
      <c r="E210" s="181" t="inlineStr">
        <is>
          <t>american ginseng</t>
        </is>
      </c>
      <c r="F210" s="181" t="n">
        <v>1</v>
      </c>
      <c r="G210" s="181" t="inlineStr">
        <is>
          <t>GABAergic modulation</t>
        </is>
      </c>
      <c r="H210" s="181" t="inlineStr">
        <is>
          <t>trusted_gov_added</t>
        </is>
      </c>
    </row>
    <row r="211">
      <c r="A211" s="181" t="inlineStr">
        <is>
          <t>inflammatory_pathway_modulation</t>
        </is>
      </c>
      <c r="B211" s="181" t="inlineStr">
        <is>
          <t>rb2</t>
        </is>
      </c>
      <c r="C211" s="181" t="inlineStr">
        <is>
          <t>rb2</t>
        </is>
      </c>
      <c r="D211" s="181" t="inlineStr">
        <is>
          <t>american-ginseng</t>
        </is>
      </c>
      <c r="E211" s="181" t="inlineStr">
        <is>
          <t>american ginseng</t>
        </is>
      </c>
      <c r="F211" s="181" t="n">
        <v>1</v>
      </c>
      <c r="G211" s="181" t="inlineStr">
        <is>
          <t>GABAergic modulation</t>
        </is>
      </c>
      <c r="H211" s="181" t="inlineStr">
        <is>
          <t>trusted_gov_added</t>
        </is>
      </c>
    </row>
    <row r="212">
      <c r="A212" s="181" t="inlineStr">
        <is>
          <t>general or unknown targets</t>
        </is>
      </c>
      <c r="B212" s="181" t="inlineStr">
        <is>
          <t>roemerine</t>
        </is>
      </c>
      <c r="C212" s="181" t="inlineStr">
        <is>
          <t>roemerine</t>
        </is>
      </c>
      <c r="D212" s="181" t="inlineStr">
        <is>
          <t>nelumbo-lutea</t>
        </is>
      </c>
      <c r="E212" s="181" t="inlineStr">
        <is>
          <t>american yellow lotus</t>
        </is>
      </c>
      <c r="F212" s="181" t="n">
        <v>1</v>
      </c>
      <c r="G212" s="181" t="inlineStr">
        <is>
          <t>multi-target signaling modulation</t>
        </is>
      </c>
      <c r="H212" s="181" t="inlineStr">
        <is>
          <t>trusted_gov_added</t>
        </is>
      </c>
    </row>
    <row r="213">
      <c r="A213" s="181" t="inlineStr">
        <is>
          <t>general or unknown targets</t>
        </is>
      </c>
      <c r="B213" s="181" t="inlineStr">
        <is>
          <t>n-methylasimilobine</t>
        </is>
      </c>
      <c r="C213" s="181" t="inlineStr">
        <is>
          <t>n-methylasimilobine</t>
        </is>
      </c>
      <c r="D213" s="181" t="inlineStr">
        <is>
          <t>nelumbo-lutea</t>
        </is>
      </c>
      <c r="E213" s="181" t="inlineStr">
        <is>
          <t>american yellow lotus</t>
        </is>
      </c>
      <c r="F213" s="181" t="n">
        <v>1</v>
      </c>
      <c r="G213" s="181" t="inlineStr">
        <is>
          <t>multi-target signaling modulation</t>
        </is>
      </c>
      <c r="H213" s="181" t="inlineStr">
        <is>
          <t>trusted_gov_added</t>
        </is>
      </c>
    </row>
    <row r="214">
      <c r="A214" s="181" t="inlineStr">
        <is>
          <t>general or unknown targets</t>
        </is>
      </c>
      <c r="B214" s="181" t="inlineStr">
        <is>
          <t>armepavine</t>
        </is>
      </c>
      <c r="C214" s="181" t="inlineStr">
        <is>
          <t>armepavine</t>
        </is>
      </c>
      <c r="D214" s="181" t="inlineStr">
        <is>
          <t>nelumbo-lutea</t>
        </is>
      </c>
      <c r="E214" s="181" t="inlineStr">
        <is>
          <t>american yellow lotus</t>
        </is>
      </c>
      <c r="F214" s="181" t="n">
        <v>1</v>
      </c>
      <c r="G214" s="181" t="inlineStr">
        <is>
          <t>multi-target signaling modulation</t>
        </is>
      </c>
      <c r="H214" s="181" t="inlineStr">
        <is>
          <t>trusted_gov_added</t>
        </is>
      </c>
    </row>
    <row r="215">
      <c r="A215" s="181" t="inlineStr">
        <is>
          <t>general or unknown targets</t>
        </is>
      </c>
      <c r="B215" s="181" t="inlineStr">
        <is>
          <t>anonaine</t>
        </is>
      </c>
      <c r="C215" s="181" t="inlineStr">
        <is>
          <t>anonaine</t>
        </is>
      </c>
      <c r="D215" s="181" t="inlineStr">
        <is>
          <t>nelumbo-lutea</t>
        </is>
      </c>
      <c r="E215" s="181" t="inlineStr">
        <is>
          <t>american yellow lotus</t>
        </is>
      </c>
      <c r="F215" s="181" t="n">
        <v>1</v>
      </c>
      <c r="G215" s="181" t="inlineStr">
        <is>
          <t>multi-target signaling modulation</t>
        </is>
      </c>
      <c r="H215" s="181" t="inlineStr">
        <is>
          <t>trusted_gov_added</t>
        </is>
      </c>
    </row>
    <row r="216">
      <c r="A216" s="181" t="inlineStr">
        <is>
          <t>dopaminergic_modulation</t>
        </is>
      </c>
      <c r="B216" s="181" t="inlineStr">
        <is>
          <t>nuciferine</t>
        </is>
      </c>
      <c r="C216" s="181" t="inlineStr">
        <is>
          <t>nuciferine</t>
        </is>
      </c>
      <c r="D216" s="181" t="inlineStr">
        <is>
          <t>blue-lotus-nymphaea-caerulea; nelumbo-lutea; nymphaea-caerulea; nymphaea-nouchali</t>
        </is>
      </c>
      <c r="E216" s="181" t="inlineStr">
        <is>
          <t>american yellow lotus; blue lotus (nymphaea caerulea); nymphaea caerulea; nymphaea nouchali</t>
        </is>
      </c>
      <c r="F216" s="181" t="n">
        <v>4</v>
      </c>
      <c r="G216" s="181" t="inlineStr">
        <is>
          <t>multi-target signaling modulation</t>
        </is>
      </c>
      <c r="H216" s="181" t="inlineStr">
        <is>
          <t>inferred_plus_trusted_gov; trusted_gov_added</t>
        </is>
      </c>
    </row>
    <row r="217">
      <c r="A217" s="181" t="inlineStr">
        <is>
          <t>general or unknown targets</t>
        </is>
      </c>
      <c r="B217" s="181" t="inlineStr">
        <is>
          <t>nuciferine</t>
        </is>
      </c>
      <c r="C217" s="181" t="inlineStr">
        <is>
          <t>nuciferine</t>
        </is>
      </c>
      <c r="D217" s="181" t="inlineStr">
        <is>
          <t>blue-lotus-nymphaea-caerulea; nelumbo-lutea; nymphaea-caerulea; nymphaea-nouchali</t>
        </is>
      </c>
      <c r="E217" s="181" t="inlineStr">
        <is>
          <t>american yellow lotus; blue lotus (nymphaea caerulea); nymphaea caerulea; nymphaea nouchali</t>
        </is>
      </c>
      <c r="F217" s="181" t="n">
        <v>4</v>
      </c>
      <c r="G217" s="181" t="inlineStr">
        <is>
          <t>multi-target signaling modulation</t>
        </is>
      </c>
      <c r="H217" s="181" t="inlineStr">
        <is>
          <t>inferred_plus_trusted_gov; trusted_gov_added</t>
        </is>
      </c>
    </row>
    <row r="218">
      <c r="A218" s="181" t="inlineStr">
        <is>
          <t>cholinergic_modulation</t>
        </is>
      </c>
      <c r="B218" s="181" t="inlineStr">
        <is>
          <t>formononetin</t>
        </is>
      </c>
      <c r="C218" s="181" t="inlineStr">
        <is>
          <t>formononetin</t>
        </is>
      </c>
      <c r="D218" s="181" t="inlineStr">
        <is>
          <t>amorpha-fruticosa</t>
        </is>
      </c>
      <c r="E218" s="181" t="inlineStr">
        <is>
          <t>amorpha fruticosa</t>
        </is>
      </c>
      <c r="F218" s="181" t="n">
        <v>1</v>
      </c>
      <c r="G218" s="181" t="inlineStr">
        <is>
          <t>muscarinic receptor interaction</t>
        </is>
      </c>
      <c r="H218" s="181" t="inlineStr">
        <is>
          <t>trusted_gov_added</t>
        </is>
      </c>
    </row>
    <row r="219">
      <c r="A219" s="181" t="inlineStr">
        <is>
          <t>cholinergic_modulation</t>
        </is>
      </c>
      <c r="B219" s="181" t="inlineStr">
        <is>
          <t>apigenin</t>
        </is>
      </c>
      <c r="C219" s="181" t="inlineStr">
        <is>
          <t>apigenin</t>
        </is>
      </c>
      <c r="D219" s="181" t="inlineStr">
        <is>
          <t>amorpha-fruticosa; apium-graveolens; matricaria-chamomilla; turnera-diffusa</t>
        </is>
      </c>
      <c r="E219" s="181" t="inlineStr">
        <is>
          <t>amorpha fruticosa; apium graveolens; chamomile; matricaria chamomilla; turnera diffusa</t>
        </is>
      </c>
      <c r="F219" s="181" t="n">
        <v>4</v>
      </c>
      <c r="G219" s="181" t="inlineStr">
        <is>
          <t>GABAergic modulation; multi-target signaling modulation; muscarinic receptor interaction</t>
        </is>
      </c>
      <c r="H219" s="181" t="inlineStr">
        <is>
          <t>inferred_plus_trusted_gov; trusted_gov_added</t>
        </is>
      </c>
    </row>
    <row r="220">
      <c r="A220" s="181" t="inlineStr">
        <is>
          <t>gabaergic_modulation</t>
        </is>
      </c>
      <c r="B220" s="181" t="inlineStr">
        <is>
          <t>apigenin</t>
        </is>
      </c>
      <c r="C220" s="181" t="inlineStr">
        <is>
          <t>apigenin</t>
        </is>
      </c>
      <c r="D220" s="181" t="inlineStr">
        <is>
          <t>amorpha-fruticosa; apium-graveolens; matricaria-chamomilla; turnera-diffusa</t>
        </is>
      </c>
      <c r="E220" s="181" t="inlineStr">
        <is>
          <t>amorpha fruticosa; apium graveolens; chamomile; matricaria chamomilla; turnera diffusa</t>
        </is>
      </c>
      <c r="F220" s="181" t="n">
        <v>4</v>
      </c>
      <c r="G220" s="181" t="inlineStr">
        <is>
          <t>GABAergic modulation; multi-target signaling modulation; muscarinic receptor interaction</t>
        </is>
      </c>
      <c r="H220" s="181" t="inlineStr">
        <is>
          <t>inferred_plus_trusted_gov; trusted_gov_added</t>
        </is>
      </c>
    </row>
    <row r="221">
      <c r="A221" s="181" t="inlineStr">
        <is>
          <t>general or unknown targets</t>
        </is>
      </c>
      <c r="B221" s="181" t="inlineStr">
        <is>
          <t>apigenin</t>
        </is>
      </c>
      <c r="C221" s="181" t="inlineStr">
        <is>
          <t>apigenin</t>
        </is>
      </c>
      <c r="D221" s="181" t="inlineStr">
        <is>
          <t>amorpha-fruticosa; apium-graveolens; matricaria-chamomilla; turnera-diffusa</t>
        </is>
      </c>
      <c r="E221" s="181" t="inlineStr">
        <is>
          <t>amorpha fruticosa; apium graveolens; chamomile; matricaria chamomilla; turnera diffusa</t>
        </is>
      </c>
      <c r="F221" s="181" t="n">
        <v>4</v>
      </c>
      <c r="G221" s="181" t="inlineStr">
        <is>
          <t>GABAergic modulation; multi-target signaling modulation; muscarinic receptor interaction</t>
        </is>
      </c>
      <c r="H221" s="181" t="inlineStr">
        <is>
          <t>inferred_plus_trusted_gov; trusted_gov_added</t>
        </is>
      </c>
    </row>
    <row r="222">
      <c r="A222" s="181" t="inlineStr">
        <is>
          <t>inflammatory_pathway_modulation</t>
        </is>
      </c>
      <c r="B222" s="181" t="inlineStr">
        <is>
          <t>apigenin</t>
        </is>
      </c>
      <c r="C222" s="181" t="inlineStr">
        <is>
          <t>apigenin</t>
        </is>
      </c>
      <c r="D222" s="181" t="inlineStr">
        <is>
          <t>amorpha-fruticosa; apium-graveolens; matricaria-chamomilla; turnera-diffusa</t>
        </is>
      </c>
      <c r="E222" s="181" t="inlineStr">
        <is>
          <t>amorpha fruticosa; apium graveolens; chamomile; matricaria chamomilla; turnera diffusa</t>
        </is>
      </c>
      <c r="F222" s="181" t="n">
        <v>4</v>
      </c>
      <c r="G222" s="181" t="inlineStr">
        <is>
          <t>GABAergic modulation; multi-target signaling modulation; muscarinic receptor interaction</t>
        </is>
      </c>
      <c r="H222" s="181" t="inlineStr">
        <is>
          <t>inferred_plus_trusted_gov; trusted_gov_added</t>
        </is>
      </c>
    </row>
    <row r="223">
      <c r="A223" s="181" t="inlineStr">
        <is>
          <t>cholinergic_modulation</t>
        </is>
      </c>
      <c r="B223" s="181" t="inlineStr">
        <is>
          <t>tephrosin</t>
        </is>
      </c>
      <c r="C223" s="181" t="inlineStr">
        <is>
          <t>tephrosin</t>
        </is>
      </c>
      <c r="D223" s="181" t="inlineStr">
        <is>
          <t>amorpha-fruticosa</t>
        </is>
      </c>
      <c r="E223" s="181" t="inlineStr">
        <is>
          <t>amorpha fruticosa</t>
        </is>
      </c>
      <c r="F223" s="181" t="n">
        <v>1</v>
      </c>
      <c r="G223" s="181" t="inlineStr">
        <is>
          <t>muscarinic receptor interaction</t>
        </is>
      </c>
      <c r="H223" s="181" t="inlineStr">
        <is>
          <t>trusted_gov_added</t>
        </is>
      </c>
    </row>
    <row r="224">
      <c r="A224" s="181" t="inlineStr">
        <is>
          <t>cholinergic_modulation</t>
        </is>
      </c>
      <c r="B224" s="181" t="inlineStr">
        <is>
          <t>rutin</t>
        </is>
      </c>
      <c r="C224" s="181" t="inlineStr">
        <is>
          <t>rutin</t>
        </is>
      </c>
      <c r="D224" s="181" t="inlineStr">
        <is>
          <t>amorpha-fruticosa; ruta-chalepensis</t>
        </is>
      </c>
      <c r="E224" s="181" t="inlineStr">
        <is>
          <t>amorpha fruticosa; ruta chalepensis</t>
        </is>
      </c>
      <c r="F224" s="181" t="n">
        <v>2</v>
      </c>
      <c r="G224" s="181" t="inlineStr">
        <is>
          <t>multi-target signaling modulation; muscarinic receptor interaction</t>
        </is>
      </c>
      <c r="H224" s="181" t="inlineStr">
        <is>
          <t>inferred_plus_trusted_gov; trusted_gov_added</t>
        </is>
      </c>
    </row>
    <row r="225">
      <c r="A225" s="181" t="inlineStr">
        <is>
          <t>general or unknown targets</t>
        </is>
      </c>
      <c r="B225" s="181" t="inlineStr">
        <is>
          <t>rutin</t>
        </is>
      </c>
      <c r="C225" s="181" t="inlineStr">
        <is>
          <t>rutin</t>
        </is>
      </c>
      <c r="D225" s="181" t="inlineStr">
        <is>
          <t>amorpha-fruticosa; ruta-chalepensis</t>
        </is>
      </c>
      <c r="E225" s="181" t="inlineStr">
        <is>
          <t>amorpha fruticosa; ruta chalepensis</t>
        </is>
      </c>
      <c r="F225" s="181" t="n">
        <v>2</v>
      </c>
      <c r="G225" s="181" t="inlineStr">
        <is>
          <t>multi-target signaling modulation; muscarinic receptor interaction</t>
        </is>
      </c>
      <c r="H225" s="181" t="inlineStr">
        <is>
          <t>inferred_plus_trusted_gov; trusted_gov_added</t>
        </is>
      </c>
    </row>
    <row r="226">
      <c r="A226" s="181" t="inlineStr">
        <is>
          <t>cholinergic_modulation</t>
        </is>
      </c>
      <c r="B226" s="181" t="inlineStr">
        <is>
          <t>vitexin</t>
        </is>
      </c>
      <c r="C226" s="181" t="inlineStr">
        <is>
          <t>vitexin</t>
        </is>
      </c>
      <c r="D226" s="181" t="inlineStr">
        <is>
          <t>amorpha-fruticosa; passiflora-incarnata</t>
        </is>
      </c>
      <c r="E226" s="181" t="inlineStr">
        <is>
          <t>amorpha fruticosa; passionflower</t>
        </is>
      </c>
      <c r="F226" s="181" t="n">
        <v>2</v>
      </c>
      <c r="G226" s="181" t="inlineStr">
        <is>
          <t>multi-target signaling modulation; muscarinic receptor interaction</t>
        </is>
      </c>
      <c r="H226" s="181" t="inlineStr">
        <is>
          <t>trusted_gov_added</t>
        </is>
      </c>
    </row>
    <row r="227">
      <c r="A227" s="181" t="inlineStr">
        <is>
          <t>gabaergic_modulation</t>
        </is>
      </c>
      <c r="B227" s="181" t="inlineStr">
        <is>
          <t>vitexin</t>
        </is>
      </c>
      <c r="C227" s="181" t="inlineStr">
        <is>
          <t>vitexin</t>
        </is>
      </c>
      <c r="D227" s="181" t="inlineStr">
        <is>
          <t>amorpha-fruticosa; passiflora-incarnata</t>
        </is>
      </c>
      <c r="E227" s="181" t="inlineStr">
        <is>
          <t>amorpha fruticosa; passionflower</t>
        </is>
      </c>
      <c r="F227" s="181" t="n">
        <v>2</v>
      </c>
      <c r="G227" s="181" t="inlineStr">
        <is>
          <t>multi-target signaling modulation; muscarinic receptor interaction</t>
        </is>
      </c>
      <c r="H227" s="181" t="inlineStr">
        <is>
          <t>trusted_gov_added</t>
        </is>
      </c>
    </row>
    <row r="228">
      <c r="A228" s="181" t="inlineStr">
        <is>
          <t>monoamine_oxidase_inhibition</t>
        </is>
      </c>
      <c r="B228" s="181" t="inlineStr">
        <is>
          <t>vitexin</t>
        </is>
      </c>
      <c r="C228" s="181" t="inlineStr">
        <is>
          <t>vitexin</t>
        </is>
      </c>
      <c r="D228" s="181" t="inlineStr">
        <is>
          <t>amorpha-fruticosa; passiflora-incarnata</t>
        </is>
      </c>
      <c r="E228" s="181" t="inlineStr">
        <is>
          <t>amorpha fruticosa; passionflower</t>
        </is>
      </c>
      <c r="F228" s="181" t="n">
        <v>2</v>
      </c>
      <c r="G228" s="181" t="inlineStr">
        <is>
          <t>multi-target signaling modulation; muscarinic receptor interaction</t>
        </is>
      </c>
      <c r="H228" s="181" t="inlineStr">
        <is>
          <t>trusted_gov_added</t>
        </is>
      </c>
    </row>
    <row r="229">
      <c r="A229" s="181" t="inlineStr">
        <is>
          <t>cholinergic_modulation</t>
        </is>
      </c>
      <c r="B229" s="181" t="inlineStr">
        <is>
          <t>chrysoeriol</t>
        </is>
      </c>
      <c r="C229" s="181" t="inlineStr">
        <is>
          <t>chrysoeriol</t>
        </is>
      </c>
      <c r="D229" s="181" t="inlineStr">
        <is>
          <t>amorpha-fruticosa</t>
        </is>
      </c>
      <c r="E229" s="181" t="inlineStr">
        <is>
          <t>amorpha fruticosa</t>
        </is>
      </c>
      <c r="F229" s="181" t="n">
        <v>1</v>
      </c>
      <c r="G229" s="181" t="inlineStr">
        <is>
          <t>muscarinic receptor interaction</t>
        </is>
      </c>
      <c r="H229" s="181" t="inlineStr">
        <is>
          <t>trusted_gov_added</t>
        </is>
      </c>
    </row>
    <row r="230">
      <c r="A230" s="181" t="inlineStr">
        <is>
          <t>general or unknown targets</t>
        </is>
      </c>
      <c r="B230" s="181" t="inlineStr">
        <is>
          <t>cardanol</t>
        </is>
      </c>
      <c r="C230" s="181" t="inlineStr">
        <is>
          <t>cardanol</t>
        </is>
      </c>
      <c r="D230" s="181" t="inlineStr">
        <is>
          <t>anacardium-occidentale</t>
        </is>
      </c>
      <c r="E230" s="181" t="inlineStr">
        <is>
          <t>anacardium occidentale</t>
        </is>
      </c>
      <c r="F230" s="181" t="n">
        <v>1</v>
      </c>
      <c r="G230" s="181" t="inlineStr">
        <is>
          <t>multi-target signaling modulation</t>
        </is>
      </c>
      <c r="H230" s="181" t="inlineStr">
        <is>
          <t>inferred_plus_trusted_gov</t>
        </is>
      </c>
    </row>
    <row r="231">
      <c r="A231" s="181" t="inlineStr">
        <is>
          <t>general or unknown targets</t>
        </is>
      </c>
      <c r="B231" s="181" t="inlineStr">
        <is>
          <t>cardol</t>
        </is>
      </c>
      <c r="C231" s="181" t="inlineStr">
        <is>
          <t>cardol</t>
        </is>
      </c>
      <c r="D231" s="181" t="inlineStr">
        <is>
          <t>anacardium-occidentale</t>
        </is>
      </c>
      <c r="E231" s="181" t="inlineStr">
        <is>
          <t>anacardium occidentale</t>
        </is>
      </c>
      <c r="F231" s="181" t="n">
        <v>1</v>
      </c>
      <c r="G231" s="181" t="inlineStr">
        <is>
          <t>multi-target signaling modulation</t>
        </is>
      </c>
      <c r="H231" s="181" t="inlineStr">
        <is>
          <t>inferred_plus_trusted_gov</t>
        </is>
      </c>
    </row>
    <row r="232">
      <c r="A232" s="181" t="inlineStr">
        <is>
          <t>serotonergic_5HT2A_agonism</t>
        </is>
      </c>
      <c r="B232" s="181" t="inlineStr">
        <is>
          <t>bufotenin</t>
        </is>
      </c>
      <c r="C232" s="181" t="inlineStr">
        <is>
          <t>bufotenin</t>
        </is>
      </c>
      <c r="D232" s="181" t="inlineStr">
        <is>
          <t>anadenanthera-colubrina; anadenanthera-colubrina-ceb-l; anadenanthera-peregrina; piptadenia-peregrina</t>
        </is>
      </c>
      <c r="E232" s="181" t="inlineStr">
        <is>
          <t>anadenanthera colubrina; anadenanthera colubrina (cebíl); anadenanthera peregrina; piptadenia peregrina</t>
        </is>
      </c>
      <c r="F232" s="181" t="n">
        <v>4</v>
      </c>
      <c r="G232" s="181" t="inlineStr">
        <is>
          <t>serotonin receptor interaction</t>
        </is>
      </c>
      <c r="H232" s="181" t="inlineStr">
        <is>
          <t>inferred_plus_trusted_gov; trusted_gov_added</t>
        </is>
      </c>
    </row>
    <row r="233">
      <c r="A233" s="181" t="inlineStr">
        <is>
          <t>serotonergic_5HT2A_agonism</t>
        </is>
      </c>
      <c r="B233" s="181" t="inlineStr">
        <is>
          <t>5-meo-dmt</t>
        </is>
      </c>
      <c r="C233" s="181" t="inlineStr">
        <is>
          <t>5-meo-dmt</t>
        </is>
      </c>
      <c r="D233" s="181" t="inlineStr">
        <is>
          <t>anadenanthera-colubrina; anadenanthera-colubrina-ceb-l; anadenanthera-peregrina; piptadenia-peregrina; virola-calophylla; virola-elongata; virola-sebifera; virola-spp.</t>
        </is>
      </c>
      <c r="E233" s="181" t="inlineStr">
        <is>
          <t>anadenanthera colubrina; anadenanthera colubrina (cebíl); anadenanthera peregrina; piptadenia peregrina; virola calophylla; virola elongata; virola sebifera; virola spp.</t>
        </is>
      </c>
      <c r="F233" s="181" t="n">
        <v>8</v>
      </c>
      <c r="G233" s="181" t="inlineStr">
        <is>
          <t>serotonin receptor interaction</t>
        </is>
      </c>
      <c r="H233" s="181" t="inlineStr">
        <is>
          <t>inferred_plus_trusted_gov; trusted_gov_added</t>
        </is>
      </c>
    </row>
    <row r="234">
      <c r="A234" s="181" t="inlineStr">
        <is>
          <t>serotonergic_5HT2A_agonism</t>
        </is>
      </c>
      <c r="B234" s="181" t="inlineStr">
        <is>
          <t>dmt</t>
        </is>
      </c>
      <c r="C234" s="181" t="inlineStr">
        <is>
          <t>dmt</t>
        </is>
      </c>
      <c r="D234" s="181" t="inlineStr">
        <is>
          <t>anadenanthera-colubrina; anadenanthera-colubrina-ceb-l; anadenanthera-peregrina; piptadenia-peregrina; virola-spp.</t>
        </is>
      </c>
      <c r="E234" s="181" t="inlineStr">
        <is>
          <t>anadenanthera colubrina; anadenanthera colubrina (cebíl); anadenanthera peregrina; piptadenia peregrina; virola spp.</t>
        </is>
      </c>
      <c r="F234" s="181" t="n">
        <v>5</v>
      </c>
      <c r="G234" s="181" t="inlineStr">
        <is>
          <t>serotonin receptor interaction</t>
        </is>
      </c>
      <c r="H234" s="181" t="inlineStr">
        <is>
          <t>inferred_plus_trusted_gov; trusted_gov_added</t>
        </is>
      </c>
    </row>
    <row r="235">
      <c r="A235" s="181" t="inlineStr">
        <is>
          <t>general or unknown targets</t>
        </is>
      </c>
      <c r="B235" s="181" t="inlineStr">
        <is>
          <t>timosaponin aiii</t>
        </is>
      </c>
      <c r="C235" s="181" t="inlineStr">
        <is>
          <t>timosaponin aiii</t>
        </is>
      </c>
      <c r="D235" s="181" t="inlineStr">
        <is>
          <t>anemarrhena-asphodeloides</t>
        </is>
      </c>
      <c r="E235" s="181" t="inlineStr">
        <is>
          <t>anemarrhena asphodeloides</t>
        </is>
      </c>
      <c r="F235" s="181" t="n">
        <v>1</v>
      </c>
      <c r="G235" s="181" t="inlineStr">
        <is>
          <t>multi-target signaling modulation</t>
        </is>
      </c>
      <c r="H235" s="181" t="inlineStr">
        <is>
          <t>inferred_plus_trusted_gov</t>
        </is>
      </c>
    </row>
    <row r="236">
      <c r="A236" s="181" t="inlineStr">
        <is>
          <t>general or unknown targets</t>
        </is>
      </c>
      <c r="B236" s="181" t="inlineStr">
        <is>
          <t>mangiferin</t>
        </is>
      </c>
      <c r="C236" s="181" t="inlineStr">
        <is>
          <t>mangiferin</t>
        </is>
      </c>
      <c r="D236" s="181" t="inlineStr">
        <is>
          <t>anemarrhena-asphodeloides; salacia-reticulata</t>
        </is>
      </c>
      <c r="E236" s="181" t="inlineStr">
        <is>
          <t>anemarrhena asphodeloides; salacia reticulata</t>
        </is>
      </c>
      <c r="F236" s="181" t="n">
        <v>2</v>
      </c>
      <c r="G236" s="181" t="inlineStr">
        <is>
          <t>multi-target signaling modulation</t>
        </is>
      </c>
      <c r="H236" s="181" t="inlineStr">
        <is>
          <t>inferred_plus_trusted_gov</t>
        </is>
      </c>
    </row>
    <row r="237">
      <c r="A237" s="181" t="inlineStr">
        <is>
          <t>general or unknown targets</t>
        </is>
      </c>
      <c r="B237" s="181" t="inlineStr">
        <is>
          <t>ligustilide</t>
        </is>
      </c>
      <c r="C237" s="181" t="inlineStr">
        <is>
          <t>ligustilide</t>
        </is>
      </c>
      <c r="D237" s="181" t="inlineStr">
        <is>
          <t>angelica-sinensis; ligusticum-chuanxiong</t>
        </is>
      </c>
      <c r="E237" s="181" t="inlineStr">
        <is>
          <t>angelica sinensis; ligusticum chuanxiong</t>
        </is>
      </c>
      <c r="F237" s="181" t="n">
        <v>2</v>
      </c>
      <c r="G237" s="181" t="inlineStr">
        <is>
          <t>multi-target signaling modulation</t>
        </is>
      </c>
      <c r="H237" s="181" t="inlineStr">
        <is>
          <t>inferred_plus_trusted_gov</t>
        </is>
      </c>
    </row>
    <row r="238">
      <c r="A238" s="181" t="inlineStr">
        <is>
          <t>general or unknown targets</t>
        </is>
      </c>
      <c r="B238" s="181" t="inlineStr">
        <is>
          <t>ferulic acid</t>
        </is>
      </c>
      <c r="C238" s="181" t="inlineStr">
        <is>
          <t>ferulic acid</t>
        </is>
      </c>
      <c r="D238" s="181" t="inlineStr">
        <is>
          <t>angelica-sinensis; ferula-assa-foetida; ligusticum-chuanxiong</t>
        </is>
      </c>
      <c r="E238" s="181" t="inlineStr">
        <is>
          <t>angelica sinensis; ferula assa-foetida; ligusticum chuanxiong</t>
        </is>
      </c>
      <c r="F238" s="181" t="n">
        <v>3</v>
      </c>
      <c r="G238" s="181" t="inlineStr">
        <is>
          <t>multi-target signaling modulation</t>
        </is>
      </c>
      <c r="H238" s="181" t="inlineStr">
        <is>
          <t>inferred_plus_trusted_gov</t>
        </is>
      </c>
    </row>
    <row r="239">
      <c r="A239" s="181" t="inlineStr">
        <is>
          <t>general or unknown targets</t>
        </is>
      </c>
      <c r="B239" s="181" t="inlineStr">
        <is>
          <t>anisomelic acid</t>
        </is>
      </c>
      <c r="C239" s="181" t="inlineStr">
        <is>
          <t>anisomelic acid</t>
        </is>
      </c>
      <c r="D239" s="181" t="inlineStr">
        <is>
          <t>anisomeles-indica</t>
        </is>
      </c>
      <c r="E239" s="181" t="inlineStr">
        <is>
          <t>anisomeles indica</t>
        </is>
      </c>
      <c r="F239" s="181" t="n">
        <v>1</v>
      </c>
      <c r="G239" s="181" t="inlineStr">
        <is>
          <t>multi-target signaling modulation</t>
        </is>
      </c>
      <c r="H239" s="181" t="inlineStr">
        <is>
          <t>inferred_plus_trusted_gov</t>
        </is>
      </c>
    </row>
    <row r="240">
      <c r="A240" s="181" t="inlineStr">
        <is>
          <t>general or unknown targets</t>
        </is>
      </c>
      <c r="B240" s="181" t="inlineStr">
        <is>
          <t>annonacin</t>
        </is>
      </c>
      <c r="C240" s="181" t="inlineStr">
        <is>
          <t>annonacin</t>
        </is>
      </c>
      <c r="D240" s="181" t="inlineStr">
        <is>
          <t>annona-muricata</t>
        </is>
      </c>
      <c r="E240" s="181" t="inlineStr">
        <is>
          <t>annona muricata</t>
        </is>
      </c>
      <c r="F240" s="181" t="n">
        <v>1</v>
      </c>
      <c r="G240" s="181" t="inlineStr">
        <is>
          <t>multi-target signaling modulation</t>
        </is>
      </c>
      <c r="H240" s="181" t="inlineStr">
        <is>
          <t>inferred_plus_trusted_gov</t>
        </is>
      </c>
    </row>
    <row r="241">
      <c r="A241" s="181" t="inlineStr">
        <is>
          <t>general or unknown targets</t>
        </is>
      </c>
      <c r="B241" s="181" t="inlineStr">
        <is>
          <t>inulin</t>
        </is>
      </c>
      <c r="C241" s="181" t="inlineStr">
        <is>
          <t>inulin</t>
        </is>
      </c>
      <c r="D241" s="181" t="inlineStr">
        <is>
          <t>arctium-lappa; inula-helenium; taraxacum-officinale</t>
        </is>
      </c>
      <c r="E241" s="181" t="inlineStr">
        <is>
          <t>arctium lappa; inula helenium; taraxacum officinale</t>
        </is>
      </c>
      <c r="F241" s="181" t="n">
        <v>3</v>
      </c>
      <c r="G241" s="181" t="inlineStr">
        <is>
          <t>multi-target signaling modulation</t>
        </is>
      </c>
      <c r="H241" s="181" t="inlineStr">
        <is>
          <t>inferred_plus_trusted_gov</t>
        </is>
      </c>
    </row>
    <row r="242">
      <c r="A242" s="181" t="inlineStr">
        <is>
          <t>general or unknown targets</t>
        </is>
      </c>
      <c r="B242" s="181" t="inlineStr">
        <is>
          <t>arctiin</t>
        </is>
      </c>
      <c r="C242" s="181" t="inlineStr">
        <is>
          <t>arctiin</t>
        </is>
      </c>
      <c r="D242" s="181" t="inlineStr">
        <is>
          <t>arctium-lappa</t>
        </is>
      </c>
      <c r="E242" s="181" t="inlineStr">
        <is>
          <t>arctium lappa</t>
        </is>
      </c>
      <c r="F242" s="181" t="n">
        <v>1</v>
      </c>
      <c r="G242" s="181" t="inlineStr">
        <is>
          <t>multi-target signaling modulation</t>
        </is>
      </c>
      <c r="H242" s="181" t="inlineStr">
        <is>
          <t>inferred_plus_trusted_gov</t>
        </is>
      </c>
    </row>
    <row r="243">
      <c r="A243" s="181" t="inlineStr">
        <is>
          <t>general or unknown targets</t>
        </is>
      </c>
      <c r="B243" s="181" t="inlineStr">
        <is>
          <t>arecoline</t>
        </is>
      </c>
      <c r="C243" s="181" t="inlineStr">
        <is>
          <t>arecoline</t>
        </is>
      </c>
      <c r="D243" s="181" t="inlineStr">
        <is>
          <t>areca-catechu</t>
        </is>
      </c>
      <c r="E243" s="181" t="inlineStr">
        <is>
          <t>areca catechu</t>
        </is>
      </c>
      <c r="F243" s="181" t="n">
        <v>1</v>
      </c>
      <c r="G243" s="181" t="inlineStr">
        <is>
          <t>multi-target signaling modulation</t>
        </is>
      </c>
      <c r="H243" s="181" t="inlineStr">
        <is>
          <t>inferred_plus_trusted_gov</t>
        </is>
      </c>
    </row>
    <row r="244">
      <c r="A244" s="181" t="inlineStr">
        <is>
          <t>general or unknown targets</t>
        </is>
      </c>
      <c r="B244" s="181" t="inlineStr">
        <is>
          <t>arecaidine</t>
        </is>
      </c>
      <c r="C244" s="181" t="inlineStr">
        <is>
          <t>arecaidine</t>
        </is>
      </c>
      <c r="D244" s="181" t="inlineStr">
        <is>
          <t>areca-catechu</t>
        </is>
      </c>
      <c r="E244" s="181" t="inlineStr">
        <is>
          <t>areca catechu</t>
        </is>
      </c>
      <c r="F244" s="181" t="n">
        <v>1</v>
      </c>
      <c r="G244" s="181" t="inlineStr">
        <is>
          <t>multi-target signaling modulation</t>
        </is>
      </c>
      <c r="H244" s="181" t="inlineStr">
        <is>
          <t>inferred_plus_trusted_gov</t>
        </is>
      </c>
    </row>
    <row r="245">
      <c r="A245" s="181" t="inlineStr">
        <is>
          <t>general or unknown targets</t>
        </is>
      </c>
      <c r="B245" s="181" t="inlineStr">
        <is>
          <t>guvacoline</t>
        </is>
      </c>
      <c r="C245" s="181" t="inlineStr">
        <is>
          <t>guvacoline</t>
        </is>
      </c>
      <c r="D245" s="181" t="inlineStr">
        <is>
          <t>areca-catechu</t>
        </is>
      </c>
      <c r="E245" s="181" t="inlineStr">
        <is>
          <t>areca catechu</t>
        </is>
      </c>
      <c r="F245" s="181" t="n">
        <v>1</v>
      </c>
      <c r="G245" s="181" t="inlineStr">
        <is>
          <t>multi-target signaling modulation</t>
        </is>
      </c>
      <c r="H245" s="181" t="inlineStr">
        <is>
          <t>inferred_plus_trusted_gov</t>
        </is>
      </c>
    </row>
    <row r="246">
      <c r="A246" s="181" t="inlineStr">
        <is>
          <t>general or unknown targets</t>
        </is>
      </c>
      <c r="B246" s="181" t="inlineStr">
        <is>
          <t>guvacine</t>
        </is>
      </c>
      <c r="C246" s="181" t="inlineStr">
        <is>
          <t>guvacine</t>
        </is>
      </c>
      <c r="D246" s="181" t="inlineStr">
        <is>
          <t>areca-catechu</t>
        </is>
      </c>
      <c r="E246" s="181" t="inlineStr">
        <is>
          <t>areca catechu</t>
        </is>
      </c>
      <c r="F246" s="181" t="n">
        <v>1</v>
      </c>
      <c r="G246" s="181" t="inlineStr">
        <is>
          <t>multi-target signaling modulation</t>
        </is>
      </c>
      <c r="H246" s="181" t="inlineStr">
        <is>
          <t>inferred_plus_trusted_gov</t>
        </is>
      </c>
    </row>
    <row r="247">
      <c r="A247" s="181" t="inlineStr">
        <is>
          <t>general or unknown targets</t>
        </is>
      </c>
      <c r="B247" s="181" t="inlineStr">
        <is>
          <t>oxyberberine</t>
        </is>
      </c>
      <c r="C247" s="181" t="inlineStr">
        <is>
          <t>oxyberberine</t>
        </is>
      </c>
      <c r="D247" s="181" t="inlineStr">
        <is>
          <t>argemone-mexicana</t>
        </is>
      </c>
      <c r="E247" s="181" t="inlineStr">
        <is>
          <t>argemone mexicana</t>
        </is>
      </c>
      <c r="F247" s="181" t="n">
        <v>1</v>
      </c>
      <c r="G247" s="181" t="inlineStr">
        <is>
          <t>multi-target signaling modulation</t>
        </is>
      </c>
      <c r="H247" s="181" t="inlineStr">
        <is>
          <t>trusted_gov_added</t>
        </is>
      </c>
    </row>
    <row r="248">
      <c r="A248" s="181" t="inlineStr">
        <is>
          <t>general or unknown targets</t>
        </is>
      </c>
      <c r="B248" s="181" t="inlineStr">
        <is>
          <t>columbamine</t>
        </is>
      </c>
      <c r="C248" s="181" t="inlineStr">
        <is>
          <t>columbamine</t>
        </is>
      </c>
      <c r="D248" s="181" t="inlineStr">
        <is>
          <t>argemone-mexicana</t>
        </is>
      </c>
      <c r="E248" s="181" t="inlineStr">
        <is>
          <t>argemone mexicana</t>
        </is>
      </c>
      <c r="F248" s="181" t="n">
        <v>1</v>
      </c>
      <c r="G248" s="181" t="inlineStr">
        <is>
          <t>multi-target signaling modulation</t>
        </is>
      </c>
      <c r="H248" s="181" t="inlineStr">
        <is>
          <t>trusted_gov_added</t>
        </is>
      </c>
    </row>
    <row r="249">
      <c r="A249" s="181" t="inlineStr">
        <is>
          <t>general or unknown targets</t>
        </is>
      </c>
      <c r="B249" s="181" t="inlineStr">
        <is>
          <t>jatrorrhizine</t>
        </is>
      </c>
      <c r="C249" s="181" t="inlineStr">
        <is>
          <t>jatrorrhizine</t>
        </is>
      </c>
      <c r="D249" s="181" t="inlineStr">
        <is>
          <t>argemone-mexicana; phellodendron-amurense</t>
        </is>
      </c>
      <c r="E249" s="181" t="inlineStr">
        <is>
          <t>argemone mexicana; phellodendron amurense</t>
        </is>
      </c>
      <c r="F249" s="181" t="n">
        <v>2</v>
      </c>
      <c r="G249" s="181" t="inlineStr">
        <is>
          <t>multi-target signaling modulation</t>
        </is>
      </c>
      <c r="H249" s="181" t="inlineStr">
        <is>
          <t>inferred_plus_trusted_gov; trusted_gov_added</t>
        </is>
      </c>
    </row>
    <row r="250">
      <c r="A250" s="181" t="inlineStr">
        <is>
          <t>general or unknown targets</t>
        </is>
      </c>
      <c r="B250" s="181" t="inlineStr">
        <is>
          <t>dehydrocorydalmine</t>
        </is>
      </c>
      <c r="C250" s="181" t="inlineStr">
        <is>
          <t>dehydrocorydalmine</t>
        </is>
      </c>
      <c r="D250" s="181" t="inlineStr">
        <is>
          <t>argemone-mexicana</t>
        </is>
      </c>
      <c r="E250" s="181" t="inlineStr">
        <is>
          <t>argemone mexicana</t>
        </is>
      </c>
      <c r="F250" s="181" t="n">
        <v>1</v>
      </c>
      <c r="G250" s="181" t="inlineStr">
        <is>
          <t>multi-target signaling modulation</t>
        </is>
      </c>
      <c r="H250" s="181" t="inlineStr">
        <is>
          <t>trusted_gov_added</t>
        </is>
      </c>
    </row>
    <row r="251">
      <c r="A251" s="181" t="inlineStr">
        <is>
          <t>general or unknown targets</t>
        </is>
      </c>
      <c r="B251" s="181" t="inlineStr">
        <is>
          <t>quercitrin</t>
        </is>
      </c>
      <c r="C251" s="181" t="inlineStr">
        <is>
          <t>quercitrin</t>
        </is>
      </c>
      <c r="D251" s="181" t="inlineStr">
        <is>
          <t>argemone-mexicana</t>
        </is>
      </c>
      <c r="E251" s="181" t="inlineStr">
        <is>
          <t>argemone mexicana</t>
        </is>
      </c>
      <c r="F251" s="181" t="n">
        <v>1</v>
      </c>
      <c r="G251" s="181" t="inlineStr">
        <is>
          <t>multi-target signaling modulation</t>
        </is>
      </c>
      <c r="H251" s="181" t="inlineStr">
        <is>
          <t>trusted_gov_added</t>
        </is>
      </c>
    </row>
    <row r="252">
      <c r="A252" s="181" t="inlineStr">
        <is>
          <t>general or unknown targets</t>
        </is>
      </c>
      <c r="B252" s="181" t="inlineStr">
        <is>
          <t>lsa</t>
        </is>
      </c>
      <c r="C252" s="181" t="inlineStr">
        <is>
          <t>lsa)</t>
        </is>
      </c>
      <c r="D252" s="181" t="inlineStr">
        <is>
          <t>argyreia-nervosa</t>
        </is>
      </c>
      <c r="E252" s="181" t="inlineStr">
        <is>
          <t>argyreia nervosa</t>
        </is>
      </c>
      <c r="F252" s="181" t="n">
        <v>1</v>
      </c>
      <c r="G252" s="181" t="inlineStr">
        <is>
          <t>multi-target signaling modulation</t>
        </is>
      </c>
      <c r="H252" s="181" t="inlineStr">
        <is>
          <t>trusted_gov_added</t>
        </is>
      </c>
    </row>
    <row r="253">
      <c r="A253" s="181" t="inlineStr">
        <is>
          <t>general or unknown targets</t>
        </is>
      </c>
      <c r="B253" s="181" t="inlineStr">
        <is>
          <t>allyl isothiocyanate</t>
        </is>
      </c>
      <c r="C253" s="181" t="inlineStr">
        <is>
          <t>allyl isothiocyanate</t>
        </is>
      </c>
      <c r="D253" s="181" t="inlineStr">
        <is>
          <t>armoracia-rusticana</t>
        </is>
      </c>
      <c r="E253" s="181" t="inlineStr">
        <is>
          <t>armoracia rusticana</t>
        </is>
      </c>
      <c r="F253" s="181" t="n">
        <v>1</v>
      </c>
      <c r="G253" s="181" t="inlineStr">
        <is>
          <t>multi-target signaling modulation</t>
        </is>
      </c>
      <c r="H253" s="181" t="inlineStr">
        <is>
          <t>inferred_plus_trusted_gov</t>
        </is>
      </c>
    </row>
    <row r="254">
      <c r="A254" s="181" t="inlineStr">
        <is>
          <t>general or unknown targets</t>
        </is>
      </c>
      <c r="B254" s="181" t="inlineStr">
        <is>
          <t>sinigrin</t>
        </is>
      </c>
      <c r="C254" s="181" t="inlineStr">
        <is>
          <t>sinigrin</t>
        </is>
      </c>
      <c r="D254" s="181" t="inlineStr">
        <is>
          <t>armoracia-rusticana</t>
        </is>
      </c>
      <c r="E254" s="181" t="inlineStr">
        <is>
          <t>armoracia rusticana</t>
        </is>
      </c>
      <c r="F254" s="181" t="n">
        <v>1</v>
      </c>
      <c r="G254" s="181" t="inlineStr">
        <is>
          <t>multi-target signaling modulation</t>
        </is>
      </c>
      <c r="H254" s="181" t="inlineStr">
        <is>
          <t>inferred_plus_trusted_gov</t>
        </is>
      </c>
    </row>
    <row r="255">
      <c r="A255" s="181" t="inlineStr">
        <is>
          <t>general or unknown targets</t>
        </is>
      </c>
      <c r="B255" s="181" t="inlineStr">
        <is>
          <t>helenalin</t>
        </is>
      </c>
      <c r="C255" s="181" t="inlineStr">
        <is>
          <t>helenalin</t>
        </is>
      </c>
      <c r="D255" s="181" t="inlineStr">
        <is>
          <t>arnica-montana</t>
        </is>
      </c>
      <c r="E255" s="181" t="inlineStr">
        <is>
          <t>arnica montana</t>
        </is>
      </c>
      <c r="F255" s="181" t="n">
        <v>1</v>
      </c>
      <c r="G255" s="181" t="inlineStr">
        <is>
          <t>multi-target signaling modulation</t>
        </is>
      </c>
      <c r="H255" s="181" t="inlineStr">
        <is>
          <t>inferred_plus_trusted_gov</t>
        </is>
      </c>
    </row>
    <row r="256">
      <c r="A256" s="181" t="inlineStr">
        <is>
          <t>general or unknown targets</t>
        </is>
      </c>
      <c r="B256" s="181" t="inlineStr">
        <is>
          <t>dihydrohelenalin</t>
        </is>
      </c>
      <c r="C256" s="181" t="inlineStr">
        <is>
          <t>dihydrohelenalin</t>
        </is>
      </c>
      <c r="D256" s="181" t="inlineStr">
        <is>
          <t>arnica-montana</t>
        </is>
      </c>
      <c r="E256" s="181" t="inlineStr">
        <is>
          <t>arnica montana</t>
        </is>
      </c>
      <c r="F256" s="181" t="n">
        <v>1</v>
      </c>
      <c r="G256" s="181" t="inlineStr">
        <is>
          <t>multi-target signaling modulation</t>
        </is>
      </c>
      <c r="H256" s="181" t="inlineStr">
        <is>
          <t>inferred_plus_trusted_gov</t>
        </is>
      </c>
    </row>
    <row r="257">
      <c r="A257" s="181" t="inlineStr">
        <is>
          <t>gabaergic_modulation</t>
        </is>
      </c>
      <c r="B257" s="181" t="inlineStr">
        <is>
          <t>alpha-thujone</t>
        </is>
      </c>
      <c r="C257" s="181" t="inlineStr">
        <is>
          <t>alpha-thujone</t>
        </is>
      </c>
      <c r="D257" s="181" t="inlineStr">
        <is>
          <t>artemisia-absinthium</t>
        </is>
      </c>
      <c r="E257" s="181" t="inlineStr">
        <is>
          <t>artemisia absinthium</t>
        </is>
      </c>
      <c r="F257" s="181" t="n">
        <v>1</v>
      </c>
      <c r="G257" s="181" t="inlineStr">
        <is>
          <t>GABAergic modulation</t>
        </is>
      </c>
      <c r="H257" s="181" t="inlineStr">
        <is>
          <t>trusted_gov_added</t>
        </is>
      </c>
    </row>
    <row r="258">
      <c r="A258" s="181" t="inlineStr">
        <is>
          <t>gabaergic_modulation</t>
        </is>
      </c>
      <c r="B258" s="181" t="inlineStr">
        <is>
          <t>absinthin</t>
        </is>
      </c>
      <c r="C258" s="181" t="inlineStr">
        <is>
          <t>absinthin</t>
        </is>
      </c>
      <c r="D258" s="181" t="inlineStr">
        <is>
          <t>artemisia-absinthium</t>
        </is>
      </c>
      <c r="E258" s="181" t="inlineStr">
        <is>
          <t>artemisia absinthium</t>
        </is>
      </c>
      <c r="F258" s="181" t="n">
        <v>1</v>
      </c>
      <c r="G258" s="181" t="inlineStr">
        <is>
          <t>GABAergic modulation</t>
        </is>
      </c>
      <c r="H258" s="181" t="inlineStr">
        <is>
          <t>trusted_gov_added</t>
        </is>
      </c>
    </row>
    <row r="259">
      <c r="A259" s="181" t="inlineStr">
        <is>
          <t>gabaergic_modulation</t>
        </is>
      </c>
      <c r="B259" s="181" t="inlineStr">
        <is>
          <t>beta-thujone</t>
        </is>
      </c>
      <c r="C259" s="181" t="inlineStr">
        <is>
          <t>beta-thujone</t>
        </is>
      </c>
      <c r="D259" s="181" t="inlineStr">
        <is>
          <t>artemisia-absinthium</t>
        </is>
      </c>
      <c r="E259" s="181" t="inlineStr">
        <is>
          <t>artemisia absinthium</t>
        </is>
      </c>
      <c r="F259" s="181" t="n">
        <v>1</v>
      </c>
      <c r="G259" s="181" t="inlineStr">
        <is>
          <t>GABAergic modulation</t>
        </is>
      </c>
      <c r="H259" s="181" t="inlineStr">
        <is>
          <t>trusted_gov_added</t>
        </is>
      </c>
    </row>
    <row r="260">
      <c r="A260" s="181" t="inlineStr">
        <is>
          <t>general or unknown targets</t>
        </is>
      </c>
      <c r="B260" s="181" t="inlineStr">
        <is>
          <t>artemisinin</t>
        </is>
      </c>
      <c r="C260" s="181" t="inlineStr">
        <is>
          <t>artemisinin</t>
        </is>
      </c>
      <c r="D260" s="181" t="inlineStr">
        <is>
          <t>artemisia-annua</t>
        </is>
      </c>
      <c r="E260" s="181" t="inlineStr">
        <is>
          <t>artemisia annua</t>
        </is>
      </c>
      <c r="F260" s="181" t="n">
        <v>1</v>
      </c>
      <c r="G260" s="181" t="inlineStr">
        <is>
          <t>multi-target signaling modulation</t>
        </is>
      </c>
      <c r="H260" s="181" t="inlineStr">
        <is>
          <t>inferred_plus_trusted_gov</t>
        </is>
      </c>
    </row>
    <row r="261">
      <c r="A261" s="181" t="inlineStr">
        <is>
          <t>general or unknown targets</t>
        </is>
      </c>
      <c r="B261" s="181" t="inlineStr">
        <is>
          <t>8-cineole</t>
        </is>
      </c>
      <c r="C261" s="181" t="inlineStr">
        <is>
          <t>8-cineole</t>
        </is>
      </c>
      <c r="D261" s="181" t="inlineStr">
        <is>
          <t>artemisia-herba-alba; nepeta-cataria</t>
        </is>
      </c>
      <c r="E261" s="181" t="inlineStr">
        <is>
          <t>artemisia herba-alba; catnip</t>
        </is>
      </c>
      <c r="F261" s="181" t="n">
        <v>2</v>
      </c>
      <c r="G261" s="181" t="inlineStr">
        <is>
          <t>multi-target signaling modulation</t>
        </is>
      </c>
      <c r="H261" s="181" t="inlineStr">
        <is>
          <t>inferred_plus_trusted_gov; trusted_gov_added</t>
        </is>
      </c>
    </row>
    <row r="262">
      <c r="A262" s="181" t="inlineStr">
        <is>
          <t>general or unknown targets</t>
        </is>
      </c>
      <c r="B262" s="181" t="inlineStr">
        <is>
          <t>camphor</t>
        </is>
      </c>
      <c r="C262" s="181" t="inlineStr">
        <is>
          <t>camphor</t>
        </is>
      </c>
      <c r="D262" s="181" t="inlineStr">
        <is>
          <t>artemisia-herba-alba; artemisia-judaica; artemisia-vulgaris</t>
        </is>
      </c>
      <c r="E262" s="181" t="inlineStr">
        <is>
          <t>artemisia herba-alba; artemisia judaica; artemisia vulgaris</t>
        </is>
      </c>
      <c r="F262" s="181" t="n">
        <v>3</v>
      </c>
      <c r="G262" s="181" t="inlineStr">
        <is>
          <t>multi-target signaling modulation</t>
        </is>
      </c>
      <c r="H262" s="181" t="inlineStr">
        <is>
          <t>inferred_plus_trusted_gov</t>
        </is>
      </c>
    </row>
    <row r="263">
      <c r="A263" s="181" t="inlineStr">
        <is>
          <t>general or unknown targets</t>
        </is>
      </c>
      <c r="B263" s="181" t="inlineStr">
        <is>
          <t>thujone</t>
        </is>
      </c>
      <c r="C263" s="181" t="inlineStr">
        <is>
          <t>thujone</t>
        </is>
      </c>
      <c r="D263" s="181" t="inlineStr">
        <is>
          <t>artemisia-herba-alba; artemisia-judaica; salvia-officinalis</t>
        </is>
      </c>
      <c r="E263" s="181" t="inlineStr">
        <is>
          <t>artemisia herba-alba; artemisia judaica; salvia officinalis</t>
        </is>
      </c>
      <c r="F263" s="181" t="n">
        <v>3</v>
      </c>
      <c r="G263" s="181" t="inlineStr">
        <is>
          <t>multi-target signaling modulation</t>
        </is>
      </c>
      <c r="H263" s="181" t="inlineStr">
        <is>
          <t>inferred_plus_trusted_gov</t>
        </is>
      </c>
    </row>
    <row r="264">
      <c r="A264" s="181" t="inlineStr">
        <is>
          <t>general or unknown targets</t>
        </is>
      </c>
      <c r="B264" s="181" t="inlineStr">
        <is>
          <t>cineole</t>
        </is>
      </c>
      <c r="C264" s="181" t="inlineStr">
        <is>
          <t>cineole</t>
        </is>
      </c>
      <c r="D264" s="181" t="inlineStr">
        <is>
          <t>artemisia-judaica; artemisia-vulgaris; laurus-nobilis; melaleuca-alternifolia; rosmarinus-officinalis; salvia-officinalis</t>
        </is>
      </c>
      <c r="E264" s="181" t="inlineStr">
        <is>
          <t>artemisia judaica; artemisia vulgaris; laurus nobilis; melaleuca alternifolia; rosmarinus officinalis; salvia officinalis</t>
        </is>
      </c>
      <c r="F264" s="181" t="n">
        <v>6</v>
      </c>
      <c r="G264" s="181" t="inlineStr">
        <is>
          <t>multi-target signaling modulation</t>
        </is>
      </c>
      <c r="H264" s="181" t="inlineStr">
        <is>
          <t>inferred_plus_trusted_gov</t>
        </is>
      </c>
    </row>
    <row r="265">
      <c r="A265" s="181" t="inlineStr">
        <is>
          <t>general or unknown targets</t>
        </is>
      </c>
      <c r="B265" s="181" t="inlineStr">
        <is>
          <t>asclepiadin</t>
        </is>
      </c>
      <c r="C265" s="181" t="inlineStr">
        <is>
          <t>asclepiadin</t>
        </is>
      </c>
      <c r="D265" s="181" t="inlineStr">
        <is>
          <t>asclepias-tuberosa</t>
        </is>
      </c>
      <c r="E265" s="181" t="inlineStr">
        <is>
          <t>asclepias tuberosa</t>
        </is>
      </c>
      <c r="F265" s="181" t="n">
        <v>1</v>
      </c>
      <c r="G265" s="181" t="inlineStr">
        <is>
          <t>multi-target signaling modulation</t>
        </is>
      </c>
      <c r="H265" s="181" t="inlineStr">
        <is>
          <t>inferred_plus_trusted_gov</t>
        </is>
      </c>
    </row>
    <row r="266">
      <c r="A266" s="181" t="inlineStr">
        <is>
          <t>gabaergic_modulation</t>
        </is>
      </c>
      <c r="B266" s="181" t="inlineStr">
        <is>
          <t>withanolides withaferin a</t>
        </is>
      </c>
      <c r="C266" s="181" t="inlineStr">
        <is>
          <t>withanolides (withaferin a</t>
        </is>
      </c>
      <c r="D266" s="181" t="inlineStr">
        <is>
          <t>withania-somnifera; withania-somnifera-ashwagandha</t>
        </is>
      </c>
      <c r="E266" s="181" t="inlineStr">
        <is>
          <t>ashwagandha; withania somnifera (ashwagandha)</t>
        </is>
      </c>
      <c r="F266" s="181" t="n">
        <v>2</v>
      </c>
      <c r="G266" s="181" t="inlineStr">
        <is>
          <t>COX/NF-kB inhibition; GABAergic modulation</t>
        </is>
      </c>
      <c r="H266" s="181" t="inlineStr">
        <is>
          <t>trusted_gov_added</t>
        </is>
      </c>
    </row>
    <row r="267">
      <c r="A267" s="181" t="inlineStr">
        <is>
          <t>inflammatory_pathway_modulation</t>
        </is>
      </c>
      <c r="B267" s="181" t="inlineStr">
        <is>
          <t>withanolides withaferin a</t>
        </is>
      </c>
      <c r="C267" s="181" t="inlineStr">
        <is>
          <t>withanolides (withaferin a</t>
        </is>
      </c>
      <c r="D267" s="181" t="inlineStr">
        <is>
          <t>withania-somnifera; withania-somnifera-ashwagandha</t>
        </is>
      </c>
      <c r="E267" s="181" t="inlineStr">
        <is>
          <t>ashwagandha; withania somnifera (ashwagandha)</t>
        </is>
      </c>
      <c r="F267" s="181" t="n">
        <v>2</v>
      </c>
      <c r="G267" s="181" t="inlineStr">
        <is>
          <t>COX/NF-kB inhibition; GABAergic modulation</t>
        </is>
      </c>
      <c r="H267" s="181" t="inlineStr">
        <is>
          <t>trusted_gov_added</t>
        </is>
      </c>
    </row>
    <row r="268">
      <c r="A268" s="181" t="inlineStr">
        <is>
          <t>gabaergic_modulation</t>
        </is>
      </c>
      <c r="B268" s="181" t="inlineStr">
        <is>
          <t>withanolide d</t>
        </is>
      </c>
      <c r="C268" s="181" t="inlineStr">
        <is>
          <t>withanolide d)</t>
        </is>
      </c>
      <c r="D268" s="181" t="inlineStr">
        <is>
          <t>withania-somnifera; withania-somnifera-ashwagandha</t>
        </is>
      </c>
      <c r="E268" s="181" t="inlineStr">
        <is>
          <t>ashwagandha; withania somnifera (ashwagandha)</t>
        </is>
      </c>
      <c r="F268" s="181" t="n">
        <v>2</v>
      </c>
      <c r="G268" s="181" t="inlineStr">
        <is>
          <t>COX/NF-kB inhibition; GABAergic modulation</t>
        </is>
      </c>
      <c r="H268" s="181" t="inlineStr">
        <is>
          <t>trusted_gov_added</t>
        </is>
      </c>
    </row>
    <row r="269">
      <c r="A269" s="181" t="inlineStr">
        <is>
          <t>inflammatory_pathway_modulation</t>
        </is>
      </c>
      <c r="B269" s="181" t="inlineStr">
        <is>
          <t>withanolide d</t>
        </is>
      </c>
      <c r="C269" s="181" t="inlineStr">
        <is>
          <t>withanolide d)</t>
        </is>
      </c>
      <c r="D269" s="181" t="inlineStr">
        <is>
          <t>withania-somnifera; withania-somnifera-ashwagandha</t>
        </is>
      </c>
      <c r="E269" s="181" t="inlineStr">
        <is>
          <t>ashwagandha; withania somnifera (ashwagandha)</t>
        </is>
      </c>
      <c r="F269" s="181" t="n">
        <v>2</v>
      </c>
      <c r="G269" s="181" t="inlineStr">
        <is>
          <t>COX/NF-kB inhibition; GABAergic modulation</t>
        </is>
      </c>
      <c r="H269" s="181" t="inlineStr">
        <is>
          <t>trusted_gov_added</t>
        </is>
      </c>
    </row>
    <row r="270">
      <c r="A270" s="181" t="inlineStr">
        <is>
          <t>general or unknown targets</t>
        </is>
      </c>
      <c r="B270" s="181" t="inlineStr">
        <is>
          <t>quebrachine</t>
        </is>
      </c>
      <c r="C270" s="181" t="inlineStr">
        <is>
          <t>quebrachine</t>
        </is>
      </c>
      <c r="D270" s="181" t="inlineStr">
        <is>
          <t>aspidosperma-quebracho-blanco</t>
        </is>
      </c>
      <c r="E270" s="181" t="inlineStr">
        <is>
          <t>aspidosperma quebracho-blanco</t>
        </is>
      </c>
      <c r="F270" s="181" t="n">
        <v>1</v>
      </c>
      <c r="G270" s="181" t="inlineStr">
        <is>
          <t>multi-target signaling modulation</t>
        </is>
      </c>
      <c r="H270" s="181" t="inlineStr">
        <is>
          <t>inferred_plus_trusted_gov</t>
        </is>
      </c>
    </row>
    <row r="271">
      <c r="A271" s="181" t="inlineStr">
        <is>
          <t>general or unknown targets</t>
        </is>
      </c>
      <c r="B271" s="181" t="inlineStr">
        <is>
          <t>aspidospermine</t>
        </is>
      </c>
      <c r="C271" s="181" t="inlineStr">
        <is>
          <t>aspidospermine</t>
        </is>
      </c>
      <c r="D271" s="181" t="inlineStr">
        <is>
          <t>aspidosperma-quebracho-blanco</t>
        </is>
      </c>
      <c r="E271" s="181" t="inlineStr">
        <is>
          <t>aspidosperma quebracho-blanco</t>
        </is>
      </c>
      <c r="F271" s="181" t="n">
        <v>1</v>
      </c>
      <c r="G271" s="181" t="inlineStr">
        <is>
          <t>multi-target signaling modulation</t>
        </is>
      </c>
      <c r="H271" s="181" t="inlineStr">
        <is>
          <t>inferred_plus_trusted_gov</t>
        </is>
      </c>
    </row>
    <row r="272">
      <c r="A272" s="181" t="inlineStr">
        <is>
          <t>general or unknown targets</t>
        </is>
      </c>
      <c r="B272" s="181" t="inlineStr">
        <is>
          <t>astragaloside iv</t>
        </is>
      </c>
      <c r="C272" s="181" t="inlineStr">
        <is>
          <t>astragaloside iv</t>
        </is>
      </c>
      <c r="D272" s="181" t="inlineStr">
        <is>
          <t>astragalus-membranaceus</t>
        </is>
      </c>
      <c r="E272" s="181" t="inlineStr">
        <is>
          <t>astragalus membranaceus</t>
        </is>
      </c>
      <c r="F272" s="181" t="n">
        <v>1</v>
      </c>
      <c r="G272" s="181" t="inlineStr">
        <is>
          <t>multi-target signaling modulation</t>
        </is>
      </c>
      <c r="H272" s="181" t="inlineStr">
        <is>
          <t>inferred_plus_trusted_gov</t>
        </is>
      </c>
    </row>
    <row r="273">
      <c r="A273" s="181" t="inlineStr">
        <is>
          <t>general or unknown targets</t>
        </is>
      </c>
      <c r="B273" s="181" t="inlineStr">
        <is>
          <t>atractylenolide iii</t>
        </is>
      </c>
      <c r="C273" s="181" t="inlineStr">
        <is>
          <t>atractylenolide iii</t>
        </is>
      </c>
      <c r="D273" s="181" t="inlineStr">
        <is>
          <t>atractylodes-macrocephala</t>
        </is>
      </c>
      <c r="E273" s="181" t="inlineStr">
        <is>
          <t>atractylodes macrocephala</t>
        </is>
      </c>
      <c r="F273" s="181" t="n">
        <v>1</v>
      </c>
      <c r="G273" s="181" t="inlineStr">
        <is>
          <t>multi-target signaling modulation</t>
        </is>
      </c>
      <c r="H273" s="181" t="inlineStr">
        <is>
          <t>inferred_plus_trusted_gov</t>
        </is>
      </c>
    </row>
    <row r="274">
      <c r="A274" s="181" t="inlineStr">
        <is>
          <t>general or unknown targets</t>
        </is>
      </c>
      <c r="B274" s="181" t="inlineStr">
        <is>
          <t>atractylenolide ii</t>
        </is>
      </c>
      <c r="C274" s="181" t="inlineStr">
        <is>
          <t>atractylenolide ii</t>
        </is>
      </c>
      <c r="D274" s="181" t="inlineStr">
        <is>
          <t>atractylodes-macrocephala</t>
        </is>
      </c>
      <c r="E274" s="181" t="inlineStr">
        <is>
          <t>atractylodes macrocephala</t>
        </is>
      </c>
      <c r="F274" s="181" t="n">
        <v>1</v>
      </c>
      <c r="G274" s="181" t="inlineStr">
        <is>
          <t>multi-target signaling modulation</t>
        </is>
      </c>
      <c r="H274" s="181" t="inlineStr">
        <is>
          <t>inferred_plus_trusted_gov</t>
        </is>
      </c>
    </row>
    <row r="275">
      <c r="A275" s="181" t="inlineStr">
        <is>
          <t>general or unknown targets</t>
        </is>
      </c>
      <c r="B275" s="181" t="inlineStr">
        <is>
          <t>atractylon</t>
        </is>
      </c>
      <c r="C275" s="181" t="inlineStr">
        <is>
          <t>atractylon</t>
        </is>
      </c>
      <c r="D275" s="181" t="inlineStr">
        <is>
          <t>atractylodes-macrocephala</t>
        </is>
      </c>
      <c r="E275" s="181" t="inlineStr">
        <is>
          <t>atractylodes macrocephala</t>
        </is>
      </c>
      <c r="F275" s="181" t="n">
        <v>1</v>
      </c>
      <c r="G275" s="181" t="inlineStr">
        <is>
          <t>multi-target signaling modulation</t>
        </is>
      </c>
      <c r="H275" s="181" t="inlineStr">
        <is>
          <t>inferred_plus_trusted_gov</t>
        </is>
      </c>
    </row>
    <row r="276">
      <c r="A276" s="181" t="inlineStr">
        <is>
          <t>general or unknown targets</t>
        </is>
      </c>
      <c r="B276" s="181" t="inlineStr">
        <is>
          <t>atractylenolide i</t>
        </is>
      </c>
      <c r="C276" s="181" t="inlineStr">
        <is>
          <t>atractylenolide i</t>
        </is>
      </c>
      <c r="D276" s="181" t="inlineStr">
        <is>
          <t>atractylodes-macrocephala</t>
        </is>
      </c>
      <c r="E276" s="181" t="inlineStr">
        <is>
          <t>atractylodes macrocephala</t>
        </is>
      </c>
      <c r="F276" s="181" t="n">
        <v>1</v>
      </c>
      <c r="G276" s="181" t="inlineStr">
        <is>
          <t>multi-target signaling modulation</t>
        </is>
      </c>
      <c r="H276" s="181" t="inlineStr">
        <is>
          <t>inferred_plus_trusted_gov</t>
        </is>
      </c>
    </row>
    <row r="277">
      <c r="A277" s="181" t="inlineStr">
        <is>
          <t>CHRM1, CHRM2 (muscarinic receptors)</t>
        </is>
      </c>
      <c r="B277" s="181" t="inlineStr">
        <is>
          <t>hyoscyamine</t>
        </is>
      </c>
      <c r="C277" s="181" t="inlineStr">
        <is>
          <t>hyoscyamine</t>
        </is>
      </c>
      <c r="D277" s="181" t="inlineStr">
        <is>
          <t>atropa-belladonna; brugmansia; brugmansia-sanguinea; brugmansia-suaveolens; datura-ferox; datura-wrightii; duboisia-myoporoides; hyoscyamus-niger; mandragora-officinarum; scopolia-carniolica; solandra-maxima</t>
        </is>
      </c>
      <c r="E277" s="181" t="inlineStr">
        <is>
          <t>atropa belladonna; brugmansia; brugmansia sanguinea; brugmansia suaveolens; datura ferox; datura wrightii; duboisia myoporoides; european mandrake; hyoscyamus niger; mandrake; scopolia carniolica; solandra maxima</t>
        </is>
      </c>
      <c r="F277" s="181" t="n">
        <v>11</v>
      </c>
      <c r="G277" s="181" t="inlineStr">
        <is>
          <t>muscarinic receptor interaction</t>
        </is>
      </c>
      <c r="H277" s="181" t="inlineStr">
        <is>
          <t>citation_or_url_present; inferred_plus_trusted_gov; trusted_gov_added</t>
        </is>
      </c>
    </row>
    <row r="278">
      <c r="A278" s="181" t="inlineStr">
        <is>
          <t>cholinergic_modulation</t>
        </is>
      </c>
      <c r="B278" s="181" t="inlineStr">
        <is>
          <t>hyoscyamine</t>
        </is>
      </c>
      <c r="C278" s="181" t="inlineStr">
        <is>
          <t>hyoscyamine</t>
        </is>
      </c>
      <c r="D278" s="181" t="inlineStr">
        <is>
          <t>atropa-belladonna; brugmansia; brugmansia-sanguinea; brugmansia-suaveolens; datura-ferox; datura-wrightii; duboisia-myoporoides; hyoscyamus-niger; mandragora-officinarum; scopolia-carniolica; solandra-maxima</t>
        </is>
      </c>
      <c r="E278" s="181" t="inlineStr">
        <is>
          <t>atropa belladonna; brugmansia; brugmansia sanguinea; brugmansia suaveolens; datura ferox; datura wrightii; duboisia myoporoides; european mandrake; hyoscyamus niger; mandrake; scopolia carniolica; solandra maxima</t>
        </is>
      </c>
      <c r="F278" s="181" t="n">
        <v>11</v>
      </c>
      <c r="G278" s="181" t="inlineStr">
        <is>
          <t>muscarinic receptor interaction</t>
        </is>
      </c>
      <c r="H278" s="181" t="inlineStr">
        <is>
          <t>citation_or_url_present; inferred_plus_trusted_gov; trusted_gov_added</t>
        </is>
      </c>
    </row>
    <row r="279">
      <c r="A279" s="181" t="inlineStr">
        <is>
          <t>CHRM1, CHRM2 (muscarinic receptors)</t>
        </is>
      </c>
      <c r="B279" s="181" t="inlineStr">
        <is>
          <t>scopolamine</t>
        </is>
      </c>
      <c r="C279" s="181" t="inlineStr">
        <is>
          <t>scopolamine</t>
        </is>
      </c>
      <c r="D279" s="181" t="inlineStr">
        <is>
          <t>atropa-belladonna; brugmansia; brugmansia-sanguinea; brugmansia-suaveolens; datura-ferox; datura-stramonium; datura-wrightii; duboisia-myoporoides; hyoscyamus-niger; mandragora-officinarum; scopolia-carniolica; solandra-maxima</t>
        </is>
      </c>
      <c r="E279" s="181" t="inlineStr">
        <is>
          <t>atropa belladonna; brugmansia; brugmansia sanguinea; brugmansia suaveolens; datura ferox; datura stramonium; datura wrightii; duboisia myoporoides; european mandrake; hyoscyamus niger; mandrake; scopolia carniolica; solandra maxima</t>
        </is>
      </c>
      <c r="F279" s="181" t="n">
        <v>12</v>
      </c>
      <c r="G279" s="181" t="inlineStr">
        <is>
          <t>muscarinic receptor interaction</t>
        </is>
      </c>
      <c r="H279" s="181" t="inlineStr">
        <is>
          <t>citation_or_url_present; inferred_plus_trusted_gov; trusted_gov_added</t>
        </is>
      </c>
    </row>
    <row r="280">
      <c r="A280" s="181" t="inlineStr">
        <is>
          <t>cholinergic_modulation</t>
        </is>
      </c>
      <c r="B280" s="181" t="inlineStr">
        <is>
          <t>scopolamine</t>
        </is>
      </c>
      <c r="C280" s="181" t="inlineStr">
        <is>
          <t>scopolamine</t>
        </is>
      </c>
      <c r="D280" s="181" t="inlineStr">
        <is>
          <t>atropa-belladonna; brugmansia; brugmansia-sanguinea; brugmansia-suaveolens; datura-ferox; datura-stramonium; datura-wrightii; duboisia-myoporoides; hyoscyamus-niger; mandragora-officinarum; scopolia-carniolica; solandra-maxima</t>
        </is>
      </c>
      <c r="E280" s="181" t="inlineStr">
        <is>
          <t>atropa belladonna; brugmansia; brugmansia sanguinea; brugmansia suaveolens; datura ferox; datura stramonium; datura wrightii; duboisia myoporoides; european mandrake; hyoscyamus niger; mandrake; scopolia carniolica; solandra maxima</t>
        </is>
      </c>
      <c r="F280" s="181" t="n">
        <v>12</v>
      </c>
      <c r="G280" s="181" t="inlineStr">
        <is>
          <t>muscarinic receptor interaction</t>
        </is>
      </c>
      <c r="H280" s="181" t="inlineStr">
        <is>
          <t>citation_or_url_present; inferred_plus_trusted_gov; trusted_gov_added</t>
        </is>
      </c>
    </row>
    <row r="281">
      <c r="A281" s="181" t="inlineStr">
        <is>
          <t>CHRM1, CHRM2 (muscarinic receptors)</t>
        </is>
      </c>
      <c r="B281" s="181" t="inlineStr">
        <is>
          <t>atropine</t>
        </is>
      </c>
      <c r="C281" s="181" t="inlineStr">
        <is>
          <t>atropine</t>
        </is>
      </c>
      <c r="D281" s="181" t="inlineStr">
        <is>
          <t>atropa-belladonna; brugmansia; brugmansia-sanguinea; brugmansia-suaveolens; datura-ferox; datura-stramonium; datura-wrightii; mandragora-officinarum; solandra-maxima</t>
        </is>
      </c>
      <c r="E281" s="181" t="inlineStr">
        <is>
          <t>atropa belladonna; brugmansia; brugmansia sanguinea; brugmansia suaveolens; datura ferox; datura stramonium; datura wrightii; european mandrake; mandrake; solandra maxima</t>
        </is>
      </c>
      <c r="F281" s="181" t="n">
        <v>9</v>
      </c>
      <c r="G281" s="181" t="inlineStr">
        <is>
          <t>muscarinic receptor interaction</t>
        </is>
      </c>
      <c r="H281" s="181" t="inlineStr">
        <is>
          <t>inferred_plus_trusted_gov; trusted_gov_added</t>
        </is>
      </c>
    </row>
    <row r="282">
      <c r="A282" s="181" t="inlineStr">
        <is>
          <t>cholinergic_modulation</t>
        </is>
      </c>
      <c r="B282" s="181" t="inlineStr">
        <is>
          <t>atropine</t>
        </is>
      </c>
      <c r="C282" s="181" t="inlineStr">
        <is>
          <t>atropine</t>
        </is>
      </c>
      <c r="D282" s="181" t="inlineStr">
        <is>
          <t>atropa-belladonna; brugmansia; brugmansia-sanguinea; brugmansia-suaveolens; datura-ferox; datura-stramonium; datura-wrightii; mandragora-officinarum; solandra-maxima</t>
        </is>
      </c>
      <c r="E282" s="181" t="inlineStr">
        <is>
          <t>atropa belladonna; brugmansia; brugmansia sanguinea; brugmansia suaveolens; datura ferox; datura stramonium; datura wrightii; european mandrake; mandrake; solandra maxima</t>
        </is>
      </c>
      <c r="F282" s="181" t="n">
        <v>9</v>
      </c>
      <c r="G282" s="181" t="inlineStr">
        <is>
          <t>muscarinic receptor interaction</t>
        </is>
      </c>
      <c r="H282" s="181" t="inlineStr">
        <is>
          <t>inferred_plus_trusted_gov; trusted_gov_added</t>
        </is>
      </c>
    </row>
    <row r="283">
      <c r="A283" s="181" t="inlineStr">
        <is>
          <t>general or unknown targets</t>
        </is>
      </c>
      <c r="B283" s="181" t="inlineStr">
        <is>
          <t>nimbin</t>
        </is>
      </c>
      <c r="C283" s="181" t="inlineStr">
        <is>
          <t>nimbin</t>
        </is>
      </c>
      <c r="D283" s="181" t="inlineStr">
        <is>
          <t>azadirachta-indica</t>
        </is>
      </c>
      <c r="E283" s="181" t="inlineStr">
        <is>
          <t>azadirachta indica</t>
        </is>
      </c>
      <c r="F283" s="181" t="n">
        <v>1</v>
      </c>
      <c r="G283" s="181" t="inlineStr">
        <is>
          <t>multi-target signaling modulation</t>
        </is>
      </c>
      <c r="H283" s="181" t="inlineStr">
        <is>
          <t>inferred_plus_trusted_gov</t>
        </is>
      </c>
    </row>
    <row r="284">
      <c r="A284" s="181" t="inlineStr">
        <is>
          <t>general or unknown targets</t>
        </is>
      </c>
      <c r="B284" s="181" t="inlineStr">
        <is>
          <t>azadirachtin</t>
        </is>
      </c>
      <c r="C284" s="181" t="inlineStr">
        <is>
          <t>azadirachtin</t>
        </is>
      </c>
      <c r="D284" s="181" t="inlineStr">
        <is>
          <t>azadirachta-indica</t>
        </is>
      </c>
      <c r="E284" s="181" t="inlineStr">
        <is>
          <t>azadirachta indica</t>
        </is>
      </c>
      <c r="F284" s="181" t="n">
        <v>1</v>
      </c>
      <c r="G284" s="181" t="inlineStr">
        <is>
          <t>multi-target signaling modulation</t>
        </is>
      </c>
      <c r="H284" s="181" t="inlineStr">
        <is>
          <t>inferred_plus_trusted_gov</t>
        </is>
      </c>
    </row>
    <row r="285">
      <c r="A285" s="181" t="inlineStr">
        <is>
          <t>general or unknown targets</t>
        </is>
      </c>
      <c r="B285" s="181" t="inlineStr">
        <is>
          <t>harmaline</t>
        </is>
      </c>
      <c r="C285" s="181" t="inlineStr">
        <is>
          <t>harmaline</t>
        </is>
      </c>
      <c r="D285" s="181" t="inlineStr">
        <is>
          <t>banisteriopsis-caapi; peganum-harmala</t>
        </is>
      </c>
      <c r="E285" s="181" t="inlineStr">
        <is>
          <t>banisteriopsis caapi; peganum harmala</t>
        </is>
      </c>
      <c r="F285" s="181" t="n">
        <v>2</v>
      </c>
      <c r="G285" s="181" t="inlineStr">
        <is>
          <t>multi-target signaling modulation</t>
        </is>
      </c>
      <c r="H285" s="181" t="inlineStr">
        <is>
          <t>inferred_plus_trusted_gov; trusted_gov_added</t>
        </is>
      </c>
    </row>
    <row r="286">
      <c r="A286" s="181" t="inlineStr">
        <is>
          <t>monoamine_oxidase_inhibition</t>
        </is>
      </c>
      <c r="B286" s="181" t="inlineStr">
        <is>
          <t>harmaline</t>
        </is>
      </c>
      <c r="C286" s="181" t="inlineStr">
        <is>
          <t>harmaline</t>
        </is>
      </c>
      <c r="D286" s="181" t="inlineStr">
        <is>
          <t>banisteriopsis-caapi; peganum-harmala</t>
        </is>
      </c>
      <c r="E286" s="181" t="inlineStr">
        <is>
          <t>banisteriopsis caapi; peganum harmala</t>
        </is>
      </c>
      <c r="F286" s="181" t="n">
        <v>2</v>
      </c>
      <c r="G286" s="181" t="inlineStr">
        <is>
          <t>multi-target signaling modulation</t>
        </is>
      </c>
      <c r="H286" s="181" t="inlineStr">
        <is>
          <t>inferred_plus_trusted_gov; trusted_gov_added</t>
        </is>
      </c>
    </row>
    <row r="287">
      <c r="A287" s="181" t="inlineStr">
        <is>
          <t>serotonergic_5HT2A_agonism</t>
        </is>
      </c>
      <c r="B287" s="181" t="inlineStr">
        <is>
          <t>harmaline</t>
        </is>
      </c>
      <c r="C287" s="181" t="inlineStr">
        <is>
          <t>harmaline</t>
        </is>
      </c>
      <c r="D287" s="181" t="inlineStr">
        <is>
          <t>banisteriopsis-caapi; peganum-harmala</t>
        </is>
      </c>
      <c r="E287" s="181" t="inlineStr">
        <is>
          <t>banisteriopsis caapi; peganum harmala</t>
        </is>
      </c>
      <c r="F287" s="181" t="n">
        <v>2</v>
      </c>
      <c r="G287" s="181" t="inlineStr">
        <is>
          <t>multi-target signaling modulation</t>
        </is>
      </c>
      <c r="H287" s="181" t="inlineStr">
        <is>
          <t>inferred_plus_trusted_gov; trusted_gov_added</t>
        </is>
      </c>
    </row>
    <row r="288">
      <c r="A288" s="181" t="inlineStr">
        <is>
          <t>general or unknown targets</t>
        </is>
      </c>
      <c r="B288" s="181" t="inlineStr">
        <is>
          <t>harmine</t>
        </is>
      </c>
      <c r="C288" s="181" t="inlineStr">
        <is>
          <t>harmine</t>
        </is>
      </c>
      <c r="D288" s="181" t="inlineStr">
        <is>
          <t>banisteriopsis-caapi; peganum-harmala</t>
        </is>
      </c>
      <c r="E288" s="181" t="inlineStr">
        <is>
          <t>banisteriopsis caapi; peganum harmala</t>
        </is>
      </c>
      <c r="F288" s="181" t="n">
        <v>2</v>
      </c>
      <c r="G288" s="181" t="inlineStr">
        <is>
          <t>multi-target signaling modulation</t>
        </is>
      </c>
      <c r="H288" s="181" t="inlineStr">
        <is>
          <t>inferred_plus_trusted_gov; trusted_gov_added</t>
        </is>
      </c>
    </row>
    <row r="289">
      <c r="A289" s="181" t="inlineStr">
        <is>
          <t>monoamine_oxidase_inhibition</t>
        </is>
      </c>
      <c r="B289" s="181" t="inlineStr">
        <is>
          <t>harmine</t>
        </is>
      </c>
      <c r="C289" s="181" t="inlineStr">
        <is>
          <t>harmine</t>
        </is>
      </c>
      <c r="D289" s="181" t="inlineStr">
        <is>
          <t>banisteriopsis-caapi; peganum-harmala</t>
        </is>
      </c>
      <c r="E289" s="181" t="inlineStr">
        <is>
          <t>banisteriopsis caapi; peganum harmala</t>
        </is>
      </c>
      <c r="F289" s="181" t="n">
        <v>2</v>
      </c>
      <c r="G289" s="181" t="inlineStr">
        <is>
          <t>multi-target signaling modulation</t>
        </is>
      </c>
      <c r="H289" s="181" t="inlineStr">
        <is>
          <t>inferred_plus_trusted_gov; trusted_gov_added</t>
        </is>
      </c>
    </row>
    <row r="290">
      <c r="A290" s="181" t="inlineStr">
        <is>
          <t>serotonergic_5HT2A_agonism</t>
        </is>
      </c>
      <c r="B290" s="181" t="inlineStr">
        <is>
          <t>harmine</t>
        </is>
      </c>
      <c r="C290" s="181" t="inlineStr">
        <is>
          <t>harmine</t>
        </is>
      </c>
      <c r="D290" s="181" t="inlineStr">
        <is>
          <t>banisteriopsis-caapi; peganum-harmala</t>
        </is>
      </c>
      <c r="E290" s="181" t="inlineStr">
        <is>
          <t>banisteriopsis caapi; peganum harmala</t>
        </is>
      </c>
      <c r="F290" s="181" t="n">
        <v>2</v>
      </c>
      <c r="G290" s="181" t="inlineStr">
        <is>
          <t>multi-target signaling modulation</t>
        </is>
      </c>
      <c r="H290" s="181" t="inlineStr">
        <is>
          <t>inferred_plus_trusted_gov; trusted_gov_added</t>
        </is>
      </c>
    </row>
    <row r="291">
      <c r="A291" s="181" t="inlineStr">
        <is>
          <t>monoamine_oxidase_inhibition</t>
        </is>
      </c>
      <c r="B291" s="181" t="inlineStr">
        <is>
          <t>tetrahydroharmine</t>
        </is>
      </c>
      <c r="C291" s="181" t="inlineStr">
        <is>
          <t>tetrahydroharmine</t>
        </is>
      </c>
      <c r="D291" s="181" t="inlineStr">
        <is>
          <t>banisteriopsis-caapi</t>
        </is>
      </c>
      <c r="E291" s="181" t="inlineStr">
        <is>
          <t>banisteriopsis caapi</t>
        </is>
      </c>
      <c r="F291" s="181" t="n">
        <v>1</v>
      </c>
      <c r="G291" s="181" t="inlineStr">
        <is>
          <t>multi-target signaling modulation</t>
        </is>
      </c>
      <c r="H291" s="181" t="inlineStr">
        <is>
          <t>trusted_gov_added</t>
        </is>
      </c>
    </row>
    <row r="292">
      <c r="A292" s="181" t="inlineStr">
        <is>
          <t>serotonergic_5HT2A_agonism</t>
        </is>
      </c>
      <c r="B292" s="181" t="inlineStr">
        <is>
          <t>tetrahydroharmine</t>
        </is>
      </c>
      <c r="C292" s="181" t="inlineStr">
        <is>
          <t>tetrahydroharmine</t>
        </is>
      </c>
      <c r="D292" s="181" t="inlineStr">
        <is>
          <t>banisteriopsis-caapi</t>
        </is>
      </c>
      <c r="E292" s="181" t="inlineStr">
        <is>
          <t>banisteriopsis caapi</t>
        </is>
      </c>
      <c r="F292" s="181" t="n">
        <v>1</v>
      </c>
      <c r="G292" s="181" t="inlineStr">
        <is>
          <t>multi-target signaling modulation</t>
        </is>
      </c>
      <c r="H292" s="181" t="inlineStr">
        <is>
          <t>trusted_gov_added</t>
        </is>
      </c>
    </row>
    <row r="293">
      <c r="A293" s="181" t="inlineStr">
        <is>
          <t>general or unknown targets</t>
        </is>
      </c>
      <c r="B293" s="181" t="inlineStr">
        <is>
          <t>oxyacanthine</t>
        </is>
      </c>
      <c r="C293" s="181" t="inlineStr">
        <is>
          <t>oxyacanthine</t>
        </is>
      </c>
      <c r="D293" s="181" t="inlineStr">
        <is>
          <t>berberis-vulgaris</t>
        </is>
      </c>
      <c r="E293" s="181" t="inlineStr">
        <is>
          <t>berberis vulgaris</t>
        </is>
      </c>
      <c r="F293" s="181" t="n">
        <v>1</v>
      </c>
      <c r="G293" s="181" t="inlineStr">
        <is>
          <t>multi-target signaling modulation</t>
        </is>
      </c>
      <c r="H293" s="181" t="inlineStr">
        <is>
          <t>inferred_plus_trusted_gov</t>
        </is>
      </c>
    </row>
    <row r="294">
      <c r="A294" s="181" t="inlineStr">
        <is>
          <t>general or unknown targets</t>
        </is>
      </c>
      <c r="B294" s="181" t="inlineStr">
        <is>
          <t>berbamine</t>
        </is>
      </c>
      <c r="C294" s="181" t="inlineStr">
        <is>
          <t>berbamine</t>
        </is>
      </c>
      <c r="D294" s="181" t="inlineStr">
        <is>
          <t>berberis-vulgaris</t>
        </is>
      </c>
      <c r="E294" s="181" t="inlineStr">
        <is>
          <t>berberis vulgaris</t>
        </is>
      </c>
      <c r="F294" s="181" t="n">
        <v>1</v>
      </c>
      <c r="G294" s="181" t="inlineStr">
        <is>
          <t>multi-target signaling modulation</t>
        </is>
      </c>
      <c r="H294" s="181" t="inlineStr">
        <is>
          <t>inferred_plus_trusted_gov</t>
        </is>
      </c>
    </row>
    <row r="295">
      <c r="A295" s="181" t="inlineStr">
        <is>
          <t>dopaminergic_modulation</t>
        </is>
      </c>
      <c r="B295" s="181" t="inlineStr">
        <is>
          <t>apomorphine</t>
        </is>
      </c>
      <c r="C295" s="181" t="inlineStr">
        <is>
          <t>apomorphine</t>
        </is>
      </c>
      <c r="D295" s="181" t="inlineStr">
        <is>
          <t>blue-lotus-nymphaea-caerulea</t>
        </is>
      </c>
      <c r="E295" s="181" t="inlineStr">
        <is>
          <t>blue lotus (nymphaea caerulea)</t>
        </is>
      </c>
      <c r="F295" s="181" t="n">
        <v>1</v>
      </c>
      <c r="G295" s="181" t="inlineStr">
        <is>
          <t>multi-target signaling modulation</t>
        </is>
      </c>
      <c r="H295" s="181" t="inlineStr">
        <is>
          <t>trusted_gov_added</t>
        </is>
      </c>
    </row>
    <row r="296">
      <c r="A296" s="181" t="inlineStr">
        <is>
          <t>general or unknown targets</t>
        </is>
      </c>
      <c r="B296" s="181" t="inlineStr">
        <is>
          <t>punarnavine</t>
        </is>
      </c>
      <c r="C296" s="181" t="inlineStr">
        <is>
          <t>punarnavine</t>
        </is>
      </c>
      <c r="D296" s="181" t="inlineStr">
        <is>
          <t>boerhavia-diffusa</t>
        </is>
      </c>
      <c r="E296" s="181" t="inlineStr">
        <is>
          <t>boerhavia diffusa</t>
        </is>
      </c>
      <c r="F296" s="181" t="n">
        <v>1</v>
      </c>
      <c r="G296" s="181" t="inlineStr">
        <is>
          <t>multi-target signaling modulation</t>
        </is>
      </c>
      <c r="H296" s="181" t="inlineStr">
        <is>
          <t>inferred_plus_trusted_gov</t>
        </is>
      </c>
    </row>
    <row r="297">
      <c r="A297" s="181" t="inlineStr">
        <is>
          <t>general or unknown targets</t>
        </is>
      </c>
      <c r="B297" s="181" t="inlineStr">
        <is>
          <t>pinostrobin</t>
        </is>
      </c>
      <c r="C297" s="181" t="inlineStr">
        <is>
          <t>pinostrobin</t>
        </is>
      </c>
      <c r="D297" s="181" t="inlineStr">
        <is>
          <t>boesenbergia-rotunda</t>
        </is>
      </c>
      <c r="E297" s="181" t="inlineStr">
        <is>
          <t>boesenbergia rotunda</t>
        </is>
      </c>
      <c r="F297" s="181" t="n">
        <v>1</v>
      </c>
      <c r="G297" s="181" t="inlineStr">
        <is>
          <t>multi-target signaling modulation</t>
        </is>
      </c>
      <c r="H297" s="181" t="inlineStr">
        <is>
          <t>inferred_plus_trusted_gov</t>
        </is>
      </c>
    </row>
    <row r="298">
      <c r="A298" s="181" t="inlineStr">
        <is>
          <t>general or unknown targets</t>
        </is>
      </c>
      <c r="B298" s="181" t="inlineStr">
        <is>
          <t>pinocembrin</t>
        </is>
      </c>
      <c r="C298" s="181" t="inlineStr">
        <is>
          <t>pinocembrin</t>
        </is>
      </c>
      <c r="D298" s="181" t="inlineStr">
        <is>
          <t>boesenbergia-rotunda</t>
        </is>
      </c>
      <c r="E298" s="181" t="inlineStr">
        <is>
          <t>boesenbergia rotunda</t>
        </is>
      </c>
      <c r="F298" s="181" t="n">
        <v>1</v>
      </c>
      <c r="G298" s="181" t="inlineStr">
        <is>
          <t>multi-target signaling modulation</t>
        </is>
      </c>
      <c r="H298" s="181" t="inlineStr">
        <is>
          <t>inferred_plus_trusted_gov</t>
        </is>
      </c>
    </row>
    <row r="299">
      <c r="A299" s="181" t="inlineStr">
        <is>
          <t>general or unknown targets</t>
        </is>
      </c>
      <c r="B299" s="181" t="inlineStr">
        <is>
          <t>panduratin a</t>
        </is>
      </c>
      <c r="C299" s="181" t="inlineStr">
        <is>
          <t>panduratin a</t>
        </is>
      </c>
      <c r="D299" s="181" t="inlineStr">
        <is>
          <t>boesenbergia-rotunda</t>
        </is>
      </c>
      <c r="E299" s="181" t="inlineStr">
        <is>
          <t>boesenbergia rotunda</t>
        </is>
      </c>
      <c r="F299" s="181" t="n">
        <v>1</v>
      </c>
      <c r="G299" s="181" t="inlineStr">
        <is>
          <t>multi-target signaling modulation</t>
        </is>
      </c>
      <c r="H299" s="181" t="inlineStr">
        <is>
          <t>inferred_plus_trusted_gov</t>
        </is>
      </c>
    </row>
    <row r="300">
      <c r="A300" s="181" t="inlineStr">
        <is>
          <t>general or unknown targets</t>
        </is>
      </c>
      <c r="B300" s="181" t="inlineStr">
        <is>
          <t>buphanidrine</t>
        </is>
      </c>
      <c r="C300" s="181" t="inlineStr">
        <is>
          <t>buphanidrine</t>
        </is>
      </c>
      <c r="D300" s="181" t="inlineStr">
        <is>
          <t>boophone-disticha</t>
        </is>
      </c>
      <c r="E300" s="181" t="inlineStr">
        <is>
          <t>boophone disticha</t>
        </is>
      </c>
      <c r="F300" s="181" t="n">
        <v>1</v>
      </c>
      <c r="G300" s="181" t="inlineStr">
        <is>
          <t>multi-target signaling modulation</t>
        </is>
      </c>
      <c r="H300" s="181" t="inlineStr">
        <is>
          <t>inferred_plus_trusted_gov</t>
        </is>
      </c>
    </row>
    <row r="301">
      <c r="A301" s="181" t="inlineStr">
        <is>
          <t>general or unknown targets</t>
        </is>
      </c>
      <c r="B301" s="181" t="inlineStr">
        <is>
          <t>lycorine</t>
        </is>
      </c>
      <c r="C301" s="181" t="inlineStr">
        <is>
          <t>lycorine</t>
        </is>
      </c>
      <c r="D301" s="181" t="inlineStr">
        <is>
          <t>boophone-disticha</t>
        </is>
      </c>
      <c r="E301" s="181" t="inlineStr">
        <is>
          <t>boophone disticha</t>
        </is>
      </c>
      <c r="F301" s="181" t="n">
        <v>1</v>
      </c>
      <c r="G301" s="181" t="inlineStr">
        <is>
          <t>multi-target signaling modulation</t>
        </is>
      </c>
      <c r="H301" s="181" t="inlineStr">
        <is>
          <t>inferred_plus_trusted_gov</t>
        </is>
      </c>
    </row>
    <row r="302">
      <c r="A302" s="181" t="inlineStr">
        <is>
          <t>PPARA, PPARG</t>
        </is>
      </c>
      <c r="B302" s="181" t="inlineStr">
        <is>
          <t>gamma-linolenic acid</t>
        </is>
      </c>
      <c r="C302" s="181" t="inlineStr">
        <is>
          <t>gamma-linolenic acid</t>
        </is>
      </c>
      <c r="D302" s="181" t="inlineStr">
        <is>
          <t>borago-officinalis; oenothera-biennis</t>
        </is>
      </c>
      <c r="E302" s="181" t="inlineStr">
        <is>
          <t>borago officinalis; oenothera biennis</t>
        </is>
      </c>
      <c r="F302" s="181" t="n">
        <v>2</v>
      </c>
      <c r="G302" s="181" t="inlineStr">
        <is>
          <t>ppar activation</t>
        </is>
      </c>
      <c r="H302" s="181" t="inlineStr">
        <is>
          <t>inferred_plus_trusted_gov</t>
        </is>
      </c>
    </row>
    <row r="303">
      <c r="A303" s="181" t="inlineStr">
        <is>
          <t>general or unknown targets</t>
        </is>
      </c>
      <c r="B303" s="181" t="inlineStr">
        <is>
          <t>beta-boswellic acid</t>
        </is>
      </c>
      <c r="C303" s="181" t="inlineStr">
        <is>
          <t>beta-boswellic acid</t>
        </is>
      </c>
      <c r="D303" s="181" t="inlineStr">
        <is>
          <t>boswellia-sacra; frankincense-boswellia</t>
        </is>
      </c>
      <c r="E303" s="181" t="inlineStr">
        <is>
          <t>boswellia sacra; frankincense (boswellia)</t>
        </is>
      </c>
      <c r="F303" s="181" t="n">
        <v>2</v>
      </c>
      <c r="G303" s="181" t="inlineStr">
        <is>
          <t>multi-target signaling modulation</t>
        </is>
      </c>
      <c r="H303" s="181" t="inlineStr">
        <is>
          <t>inferred_plus_trusted_gov; trusted_gov_added</t>
        </is>
      </c>
    </row>
    <row r="304">
      <c r="A304" s="181" t="inlineStr">
        <is>
          <t>general or unknown targets</t>
        </is>
      </c>
      <c r="B304" s="181" t="inlineStr">
        <is>
          <t>akba</t>
        </is>
      </c>
      <c r="C304" s="181" t="inlineStr">
        <is>
          <t>akba</t>
        </is>
      </c>
      <c r="D304" s="181" t="inlineStr">
        <is>
          <t>boswellia-sacra</t>
        </is>
      </c>
      <c r="E304" s="181" t="inlineStr">
        <is>
          <t>boswellia sacra</t>
        </is>
      </c>
      <c r="F304" s="181" t="n">
        <v>1</v>
      </c>
      <c r="G304" s="181" t="inlineStr">
        <is>
          <t>multi-target signaling modulation</t>
        </is>
      </c>
      <c r="H304" s="181" t="inlineStr">
        <is>
          <t>inferred_plus_trusted_gov</t>
        </is>
      </c>
    </row>
    <row r="305">
      <c r="A305" s="181" t="inlineStr">
        <is>
          <t>general or unknown targets</t>
        </is>
      </c>
      <c r="B305" s="181" t="inlineStr">
        <is>
          <t>brunfelsamidine</t>
        </is>
      </c>
      <c r="C305" s="181" t="inlineStr">
        <is>
          <t>brunfelsamidine</t>
        </is>
      </c>
      <c r="D305" s="181" t="inlineStr">
        <is>
          <t>brunfelsia-americana</t>
        </is>
      </c>
      <c r="E305" s="181" t="inlineStr">
        <is>
          <t>brunfelsia americana</t>
        </is>
      </c>
      <c r="F305" s="181" t="n">
        <v>1</v>
      </c>
      <c r="G305" s="181" t="inlineStr">
        <is>
          <t>multi-target signaling modulation</t>
        </is>
      </c>
      <c r="H305" s="181" t="inlineStr">
        <is>
          <t>inferred_plus_trusted_gov</t>
        </is>
      </c>
    </row>
    <row r="306">
      <c r="A306" s="181" t="inlineStr">
        <is>
          <t>general or unknown targets</t>
        </is>
      </c>
      <c r="B306" s="181" t="inlineStr">
        <is>
          <t>bryonin</t>
        </is>
      </c>
      <c r="C306" s="181" t="inlineStr">
        <is>
          <t>bryonin</t>
        </is>
      </c>
      <c r="D306" s="181" t="inlineStr">
        <is>
          <t>bryonia-alba</t>
        </is>
      </c>
      <c r="E306" s="181" t="inlineStr">
        <is>
          <t>bryonia alba</t>
        </is>
      </c>
      <c r="F306" s="181" t="n">
        <v>1</v>
      </c>
      <c r="G306" s="181" t="inlineStr">
        <is>
          <t>multi-target signaling modulation</t>
        </is>
      </c>
      <c r="H306" s="181" t="inlineStr">
        <is>
          <t>inferred_plus_trusted_gov</t>
        </is>
      </c>
    </row>
    <row r="307">
      <c r="A307" s="181" t="inlineStr">
        <is>
          <t>general or unknown targets</t>
        </is>
      </c>
      <c r="B307" s="181" t="inlineStr">
        <is>
          <t>alpha-terpineol</t>
        </is>
      </c>
      <c r="C307" s="181" t="inlineStr">
        <is>
          <t>α-terpineol</t>
        </is>
      </c>
      <c r="D307" s="181" t="inlineStr">
        <is>
          <t>bursera-graveolens</t>
        </is>
      </c>
      <c r="E307" s="181" t="inlineStr">
        <is>
          <t>bursera graveolens</t>
        </is>
      </c>
      <c r="F307" s="181" t="n">
        <v>1</v>
      </c>
      <c r="G307" s="181" t="inlineStr">
        <is>
          <t>multi-target signaling modulation</t>
        </is>
      </c>
      <c r="H307" s="181" t="inlineStr">
        <is>
          <t>inferred_plus_trusted_gov</t>
        </is>
      </c>
    </row>
    <row r="308">
      <c r="A308" s="181" t="inlineStr">
        <is>
          <t>general or unknown targets</t>
        </is>
      </c>
      <c r="B308" s="181" t="inlineStr">
        <is>
          <t>carvone</t>
        </is>
      </c>
      <c r="C308" s="181" t="inlineStr">
        <is>
          <t>carvone</t>
        </is>
      </c>
      <c r="D308" s="181" t="inlineStr">
        <is>
          <t>bursera-graveolens; lippia-alba</t>
        </is>
      </c>
      <c r="E308" s="181" t="inlineStr">
        <is>
          <t>bursera graveolens; lippia alba</t>
        </is>
      </c>
      <c r="F308" s="181" t="n">
        <v>2</v>
      </c>
      <c r="G308" s="181" t="inlineStr">
        <is>
          <t>multi-target signaling modulation</t>
        </is>
      </c>
      <c r="H308" s="181" t="inlineStr">
        <is>
          <t>inferred_plus_trusted_gov</t>
        </is>
      </c>
    </row>
    <row r="309">
      <c r="A309" s="181" t="inlineStr">
        <is>
          <t>general or unknown targets</t>
        </is>
      </c>
      <c r="B309" s="181" t="inlineStr">
        <is>
          <t>bonducin</t>
        </is>
      </c>
      <c r="C309" s="181" t="inlineStr">
        <is>
          <t>bonducin</t>
        </is>
      </c>
      <c r="D309" s="181" t="inlineStr">
        <is>
          <t>caesalpinia-bonduc</t>
        </is>
      </c>
      <c r="E309" s="181" t="inlineStr">
        <is>
          <t>caesalpinia bonduc</t>
        </is>
      </c>
      <c r="F309" s="181" t="n">
        <v>1</v>
      </c>
      <c r="G309" s="181" t="inlineStr">
        <is>
          <t>multi-target signaling modulation</t>
        </is>
      </c>
      <c r="H309" s="181" t="inlineStr">
        <is>
          <t>inferred_plus_trusted_gov</t>
        </is>
      </c>
    </row>
    <row r="310">
      <c r="A310" s="181" t="inlineStr">
        <is>
          <t>general or unknown targets</t>
        </is>
      </c>
      <c r="B310" s="181" t="inlineStr">
        <is>
          <t>uscharin</t>
        </is>
      </c>
      <c r="C310" s="181" t="inlineStr">
        <is>
          <t>uscharin</t>
        </is>
      </c>
      <c r="D310" s="181" t="inlineStr">
        <is>
          <t>calotropis-procera</t>
        </is>
      </c>
      <c r="E310" s="181" t="inlineStr">
        <is>
          <t>calotropis procera</t>
        </is>
      </c>
      <c r="F310" s="181" t="n">
        <v>1</v>
      </c>
      <c r="G310" s="181" t="inlineStr">
        <is>
          <t>multi-target signaling modulation</t>
        </is>
      </c>
      <c r="H310" s="181" t="inlineStr">
        <is>
          <t>inferred_plus_trusted_gov</t>
        </is>
      </c>
    </row>
    <row r="311">
      <c r="A311" s="181" t="inlineStr">
        <is>
          <t>general or unknown targets</t>
        </is>
      </c>
      <c r="B311" s="181" t="inlineStr">
        <is>
          <t>calotropin</t>
        </is>
      </c>
      <c r="C311" s="181" t="inlineStr">
        <is>
          <t>calotropin</t>
        </is>
      </c>
      <c r="D311" s="181" t="inlineStr">
        <is>
          <t>calotropis-procera</t>
        </is>
      </c>
      <c r="E311" s="181" t="inlineStr">
        <is>
          <t>calotropis procera</t>
        </is>
      </c>
      <c r="F311" s="181" t="n">
        <v>1</v>
      </c>
      <c r="G311" s="181" t="inlineStr">
        <is>
          <t>multi-target signaling modulation</t>
        </is>
      </c>
      <c r="H311" s="181" t="inlineStr">
        <is>
          <t>inferred_plus_trusted_gov</t>
        </is>
      </c>
    </row>
    <row r="312">
      <c r="A312" s="181" t="inlineStr">
        <is>
          <t>adenosine_antagonism</t>
        </is>
      </c>
      <c r="B312" s="181" t="inlineStr">
        <is>
          <t>theanine</t>
        </is>
      </c>
      <c r="C312" s="181" t="inlineStr">
        <is>
          <t>theanine</t>
        </is>
      </c>
      <c r="D312" s="181" t="inlineStr">
        <is>
          <t>camellia-sinensis</t>
        </is>
      </c>
      <c r="E312" s="181" t="inlineStr">
        <is>
          <t>camellia sinensis</t>
        </is>
      </c>
      <c r="F312" s="181" t="n">
        <v>1</v>
      </c>
      <c r="G312" s="181" t="inlineStr">
        <is>
          <t>adenosine receptor antagonism</t>
        </is>
      </c>
      <c r="H312" s="181" t="inlineStr">
        <is>
          <t>trusted_gov_added</t>
        </is>
      </c>
    </row>
    <row r="313">
      <c r="A313" s="181" t="inlineStr">
        <is>
          <t>ADORA1, ADORA2A (adenosine receptors)</t>
        </is>
      </c>
      <c r="B313" s="181" t="inlineStr">
        <is>
          <t>caffeine</t>
        </is>
      </c>
      <c r="C313" s="181" t="inlineStr">
        <is>
          <t>caffeine</t>
        </is>
      </c>
      <c r="D313" s="181" t="inlineStr">
        <is>
          <t>camellia-sinensis; coffea-arabica; coffee; guarana; ilex-guayusa; ilex-paraguariensis; paullinia-cupana; paullinia-pinnata; theobroma-bicolor; theobroma-cacao</t>
        </is>
      </c>
      <c r="E313" s="181" t="inlineStr">
        <is>
          <t>camellia sinensis; coffea arabica; coffee; guarana; ilex guayusa; ilex paraguariensis; paullinia cupana; paullinia pinnata; theobroma bicolor; theobroma cacao; yerba mate</t>
        </is>
      </c>
      <c r="F313" s="181" t="n">
        <v>10</v>
      </c>
      <c r="G313" s="181" t="inlineStr">
        <is>
          <t>adenosine receptor antagonism</t>
        </is>
      </c>
      <c r="H313" s="181" t="inlineStr">
        <is>
          <t>inferred_plus_trusted_gov; trusted_gov_added</t>
        </is>
      </c>
    </row>
    <row r="314">
      <c r="A314" s="181" t="inlineStr">
        <is>
          <t>adenosine_antagonism</t>
        </is>
      </c>
      <c r="B314" s="181" t="inlineStr">
        <is>
          <t>caffeine</t>
        </is>
      </c>
      <c r="C314" s="181" t="inlineStr">
        <is>
          <t>caffeine</t>
        </is>
      </c>
      <c r="D314" s="181" t="inlineStr">
        <is>
          <t>camellia-sinensis; coffea-arabica; coffee; guarana; ilex-guayusa; ilex-paraguariensis; paullinia-cupana; paullinia-pinnata; theobroma-bicolor; theobroma-cacao</t>
        </is>
      </c>
      <c r="E314" s="181" t="inlineStr">
        <is>
          <t>camellia sinensis; coffea arabica; coffee; guarana; ilex guayusa; ilex paraguariensis; paullinia cupana; paullinia pinnata; theobroma bicolor; theobroma cacao; yerba mate</t>
        </is>
      </c>
      <c r="F314" s="181" t="n">
        <v>10</v>
      </c>
      <c r="G314" s="181" t="inlineStr">
        <is>
          <t>adenosine receptor antagonism</t>
        </is>
      </c>
      <c r="H314" s="181" t="inlineStr">
        <is>
          <t>inferred_plus_trusted_gov; trusted_gov_added</t>
        </is>
      </c>
    </row>
    <row r="315">
      <c r="A315" s="181" t="inlineStr">
        <is>
          <t>dopaminergic_modulation</t>
        </is>
      </c>
      <c r="B315" s="181" t="inlineStr">
        <is>
          <t>caffeine</t>
        </is>
      </c>
      <c r="C315" s="181" t="inlineStr">
        <is>
          <t>caffeine</t>
        </is>
      </c>
      <c r="D315" s="181" t="inlineStr">
        <is>
          <t>camellia-sinensis; coffea-arabica; coffee; guarana; ilex-guayusa; ilex-paraguariensis; paullinia-cupana; paullinia-pinnata; theobroma-bicolor; theobroma-cacao</t>
        </is>
      </c>
      <c r="E315" s="181" t="inlineStr">
        <is>
          <t>camellia sinensis; coffea arabica; coffee; guarana; ilex guayusa; ilex paraguariensis; paullinia cupana; paullinia pinnata; theobroma bicolor; theobroma cacao; yerba mate</t>
        </is>
      </c>
      <c r="F315" s="181" t="n">
        <v>10</v>
      </c>
      <c r="G315" s="181" t="inlineStr">
        <is>
          <t>adenosine receptor antagonism</t>
        </is>
      </c>
      <c r="H315" s="181" t="inlineStr">
        <is>
          <t>inferred_plus_trusted_gov; trusted_gov_added</t>
        </is>
      </c>
    </row>
    <row r="316">
      <c r="A316" s="181" t="inlineStr">
        <is>
          <t>adenosine_antagonism</t>
        </is>
      </c>
      <c r="B316" s="181" t="inlineStr">
        <is>
          <t>catechins</t>
        </is>
      </c>
      <c r="C316" s="181" t="inlineStr">
        <is>
          <t>catechins (egcg)</t>
        </is>
      </c>
      <c r="D316" s="181" t="inlineStr">
        <is>
          <t>camellia-sinensis</t>
        </is>
      </c>
      <c r="E316" s="181" t="inlineStr">
        <is>
          <t>camellia sinensis</t>
        </is>
      </c>
      <c r="F316" s="181" t="n">
        <v>1</v>
      </c>
      <c r="G316" s="181" t="inlineStr">
        <is>
          <t>adenosine receptor antagonism</t>
        </is>
      </c>
      <c r="H316" s="181" t="inlineStr">
        <is>
          <t>trusted_gov_added</t>
        </is>
      </c>
    </row>
    <row r="317">
      <c r="A317" s="181" t="inlineStr">
        <is>
          <t>endocannabinoid_modulation</t>
        </is>
      </c>
      <c r="B317" s="181" t="inlineStr">
        <is>
          <t>cbd</t>
        </is>
      </c>
      <c r="C317" s="181" t="inlineStr">
        <is>
          <t>cbd</t>
        </is>
      </c>
      <c r="D317" s="181" t="inlineStr">
        <is>
          <t>cannabis-indica; cannabis-ruderalis; cannabis-sativa; cannabis-sativa-african-varieties</t>
        </is>
      </c>
      <c r="E317" s="181" t="inlineStr">
        <is>
          <t>cannabis indica; cannabis ruderalis; cannabis sativa; cannabis sativa (african varieties)</t>
        </is>
      </c>
      <c r="F317" s="181" t="n">
        <v>4</v>
      </c>
      <c r="G317" s="181" t="inlineStr">
        <is>
          <t>multi-target signaling modulation</t>
        </is>
      </c>
      <c r="H317" s="181" t="inlineStr">
        <is>
          <t>inferred_plus_trusted_gov; trusted_gov_added</t>
        </is>
      </c>
    </row>
    <row r="318">
      <c r="A318" s="181" t="inlineStr">
        <is>
          <t>endocannabinoid_modulation</t>
        </is>
      </c>
      <c r="B318" s="181" t="inlineStr">
        <is>
          <t>thc</t>
        </is>
      </c>
      <c r="C318" s="181" t="inlineStr">
        <is>
          <t>thc</t>
        </is>
      </c>
      <c r="D318" s="181" t="inlineStr">
        <is>
          <t>cannabis-indica; cannabis-ruderalis; cannabis-sativa; cannabis-sativa-african-varieties</t>
        </is>
      </c>
      <c r="E318" s="181" t="inlineStr">
        <is>
          <t>cannabis indica; cannabis ruderalis; cannabis sativa; cannabis sativa (african varieties)</t>
        </is>
      </c>
      <c r="F318" s="181" t="n">
        <v>4</v>
      </c>
      <c r="G318" s="181" t="inlineStr">
        <is>
          <t>multi-target signaling modulation</t>
        </is>
      </c>
      <c r="H318" s="181" t="inlineStr">
        <is>
          <t>inferred_plus_trusted_gov; trusted_gov_added</t>
        </is>
      </c>
    </row>
    <row r="319">
      <c r="A319" s="181" t="inlineStr">
        <is>
          <t>endocannabinoid_modulation</t>
        </is>
      </c>
      <c r="B319" s="181" t="inlineStr">
        <is>
          <t>pinene</t>
        </is>
      </c>
      <c r="C319" s="181" t="inlineStr">
        <is>
          <t>pinene)</t>
        </is>
      </c>
      <c r="D319" s="181" t="inlineStr">
        <is>
          <t>cannabis-sativa</t>
        </is>
      </c>
      <c r="E319" s="181" t="inlineStr">
        <is>
          <t>cannabis sativa</t>
        </is>
      </c>
      <c r="F319" s="181" t="n">
        <v>1</v>
      </c>
      <c r="G319" s="181" t="inlineStr">
        <is>
          <t>multi-target signaling modulation</t>
        </is>
      </c>
      <c r="H319" s="181" t="inlineStr">
        <is>
          <t>trusted_gov_added</t>
        </is>
      </c>
    </row>
    <row r="320">
      <c r="A320" s="181" t="inlineStr">
        <is>
          <t>general or unknown targets</t>
        </is>
      </c>
      <c r="B320" s="181" t="inlineStr">
        <is>
          <t>capsorubin</t>
        </is>
      </c>
      <c r="C320" s="181" t="inlineStr">
        <is>
          <t>capsorubin</t>
        </is>
      </c>
      <c r="D320" s="181" t="inlineStr">
        <is>
          <t>capsicum-annuum</t>
        </is>
      </c>
      <c r="E320" s="181" t="inlineStr">
        <is>
          <t>capsicum annuum</t>
        </is>
      </c>
      <c r="F320" s="181" t="n">
        <v>1</v>
      </c>
      <c r="G320" s="181" t="inlineStr">
        <is>
          <t>multi-target signaling modulation</t>
        </is>
      </c>
      <c r="H320" s="181" t="inlineStr">
        <is>
          <t>trusted_gov_added</t>
        </is>
      </c>
    </row>
    <row r="321">
      <c r="A321" s="181" t="inlineStr">
        <is>
          <t>general or unknown targets</t>
        </is>
      </c>
      <c r="B321" s="181" t="inlineStr">
        <is>
          <t>dihydrocapsaicin</t>
        </is>
      </c>
      <c r="C321" s="181" t="inlineStr">
        <is>
          <t>dihydrocapsaicin</t>
        </is>
      </c>
      <c r="D321" s="181" t="inlineStr">
        <is>
          <t>capsicum-annuum</t>
        </is>
      </c>
      <c r="E321" s="181" t="inlineStr">
        <is>
          <t>capsicum annuum</t>
        </is>
      </c>
      <c r="F321" s="181" t="n">
        <v>1</v>
      </c>
      <c r="G321" s="181" t="inlineStr">
        <is>
          <t>multi-target signaling modulation</t>
        </is>
      </c>
      <c r="H321" s="181" t="inlineStr">
        <is>
          <t>trusted_gov_added</t>
        </is>
      </c>
    </row>
    <row r="322">
      <c r="A322" s="181" t="inlineStr">
        <is>
          <t>general or unknown targets</t>
        </is>
      </c>
      <c r="B322" s="181" t="inlineStr">
        <is>
          <t>capsanthin</t>
        </is>
      </c>
      <c r="C322" s="181" t="inlineStr">
        <is>
          <t>capsanthin</t>
        </is>
      </c>
      <c r="D322" s="181" t="inlineStr">
        <is>
          <t>capsicum-annuum</t>
        </is>
      </c>
      <c r="E322" s="181" t="inlineStr">
        <is>
          <t>capsicum annuum</t>
        </is>
      </c>
      <c r="F322" s="181" t="n">
        <v>1</v>
      </c>
      <c r="G322" s="181" t="inlineStr">
        <is>
          <t>multi-target signaling modulation</t>
        </is>
      </c>
      <c r="H322" s="181" t="inlineStr">
        <is>
          <t>trusted_gov_added</t>
        </is>
      </c>
    </row>
    <row r="323">
      <c r="A323" s="181" t="inlineStr">
        <is>
          <t>general or unknown targets</t>
        </is>
      </c>
      <c r="B323" s="181" t="inlineStr">
        <is>
          <t>nordihydrocapsaicin</t>
        </is>
      </c>
      <c r="C323" s="181" t="inlineStr">
        <is>
          <t>nordihydrocapsaicin</t>
        </is>
      </c>
      <c r="D323" s="181" t="inlineStr">
        <is>
          <t>capsicum-annuum</t>
        </is>
      </c>
      <c r="E323" s="181" t="inlineStr">
        <is>
          <t>capsicum annuum</t>
        </is>
      </c>
      <c r="F323" s="181" t="n">
        <v>1</v>
      </c>
      <c r="G323" s="181" t="inlineStr">
        <is>
          <t>multi-target signaling modulation</t>
        </is>
      </c>
      <c r="H323" s="181" t="inlineStr">
        <is>
          <t>trusted_gov_added</t>
        </is>
      </c>
    </row>
    <row r="324">
      <c r="A324" s="181" t="inlineStr">
        <is>
          <t>general or unknown targets</t>
        </is>
      </c>
      <c r="B324" s="181" t="inlineStr">
        <is>
          <t>carpaine</t>
        </is>
      </c>
      <c r="C324" s="181" t="inlineStr">
        <is>
          <t>carpaine</t>
        </is>
      </c>
      <c r="D324" s="181" t="inlineStr">
        <is>
          <t>carica-papaya</t>
        </is>
      </c>
      <c r="E324" s="181" t="inlineStr">
        <is>
          <t>carica papaya</t>
        </is>
      </c>
      <c r="F324" s="181" t="n">
        <v>1</v>
      </c>
      <c r="G324" s="181" t="inlineStr">
        <is>
          <t>multi-target signaling modulation</t>
        </is>
      </c>
      <c r="H324" s="181" t="inlineStr">
        <is>
          <t>trusted_gov_added</t>
        </is>
      </c>
    </row>
    <row r="325">
      <c r="A325" s="181" t="inlineStr">
        <is>
          <t>general or unknown targets</t>
        </is>
      </c>
      <c r="B325" s="181" t="inlineStr">
        <is>
          <t>papain</t>
        </is>
      </c>
      <c r="C325" s="181" t="inlineStr">
        <is>
          <t>papain</t>
        </is>
      </c>
      <c r="D325" s="181" t="inlineStr">
        <is>
          <t>carica-papaya</t>
        </is>
      </c>
      <c r="E325" s="181" t="inlineStr">
        <is>
          <t>carica papaya</t>
        </is>
      </c>
      <c r="F325" s="181" t="n">
        <v>1</v>
      </c>
      <c r="G325" s="181" t="inlineStr">
        <is>
          <t>multi-target signaling modulation</t>
        </is>
      </c>
      <c r="H325" s="181" t="inlineStr">
        <is>
          <t>trusted_gov_added</t>
        </is>
      </c>
    </row>
    <row r="326">
      <c r="A326" s="181" t="inlineStr">
        <is>
          <t>general or unknown targets</t>
        </is>
      </c>
      <c r="B326" s="181" t="inlineStr">
        <is>
          <t>benzyl isothiocyanate</t>
        </is>
      </c>
      <c r="C326" s="181" t="inlineStr">
        <is>
          <t>benzyl isothiocyanate</t>
        </is>
      </c>
      <c r="D326" s="181" t="inlineStr">
        <is>
          <t>carica-papaya; tropaeolum-majus</t>
        </is>
      </c>
      <c r="E326" s="181" t="inlineStr">
        <is>
          <t>carica papaya; tropaeolum majus</t>
        </is>
      </c>
      <c r="F326" s="181" t="n">
        <v>2</v>
      </c>
      <c r="G326" s="181" t="inlineStr">
        <is>
          <t>multi-target signaling modulation</t>
        </is>
      </c>
      <c r="H326" s="181" t="inlineStr">
        <is>
          <t>trusted_gov_added</t>
        </is>
      </c>
    </row>
    <row r="327">
      <c r="A327" s="181" t="inlineStr">
        <is>
          <t>general or unknown targets</t>
        </is>
      </c>
      <c r="B327" s="181" t="inlineStr">
        <is>
          <t>chymopapain</t>
        </is>
      </c>
      <c r="C327" s="181" t="inlineStr">
        <is>
          <t>chymopapain</t>
        </is>
      </c>
      <c r="D327" s="181" t="inlineStr">
        <is>
          <t>carica-papaya</t>
        </is>
      </c>
      <c r="E327" s="181" t="inlineStr">
        <is>
          <t>carica papaya</t>
        </is>
      </c>
      <c r="F327" s="181" t="n">
        <v>1</v>
      </c>
      <c r="G327" s="181" t="inlineStr">
        <is>
          <t>multi-target signaling modulation</t>
        </is>
      </c>
      <c r="H327" s="181" t="inlineStr">
        <is>
          <t>trusted_gov_added</t>
        </is>
      </c>
    </row>
    <row r="328">
      <c r="A328" s="181" t="inlineStr">
        <is>
          <t>general or unknown targets</t>
        </is>
      </c>
      <c r="B328" s="181" t="inlineStr">
        <is>
          <t>gelsemine</t>
        </is>
      </c>
      <c r="C328" s="181" t="inlineStr">
        <is>
          <t>gelsemine</t>
        </is>
      </c>
      <c r="D328" s="181" t="inlineStr">
        <is>
          <t>carolina-jessamine</t>
        </is>
      </c>
      <c r="E328" s="181" t="inlineStr">
        <is>
          <t>carolina jessamine</t>
        </is>
      </c>
      <c r="F328" s="181" t="n">
        <v>1</v>
      </c>
      <c r="G328" s="181" t="inlineStr">
        <is>
          <t>multi-target signaling modulation</t>
        </is>
      </c>
      <c r="H328" s="181" t="inlineStr">
        <is>
          <t>trusted_gov_added</t>
        </is>
      </c>
    </row>
    <row r="329">
      <c r="A329" s="181" t="inlineStr">
        <is>
          <t>general or unknown targets</t>
        </is>
      </c>
      <c r="B329" s="181" t="inlineStr">
        <is>
          <t>gelseminine</t>
        </is>
      </c>
      <c r="C329" s="181" t="inlineStr">
        <is>
          <t>gelseminine</t>
        </is>
      </c>
      <c r="D329" s="181" t="inlineStr">
        <is>
          <t>carolina-jessamine</t>
        </is>
      </c>
      <c r="E329" s="181" t="inlineStr">
        <is>
          <t>carolina jessamine</t>
        </is>
      </c>
      <c r="F329" s="181" t="n">
        <v>1</v>
      </c>
      <c r="G329" s="181" t="inlineStr">
        <is>
          <t>multi-target signaling modulation</t>
        </is>
      </c>
      <c r="H329" s="181" t="inlineStr">
        <is>
          <t>trusted_gov_added</t>
        </is>
      </c>
    </row>
    <row r="330">
      <c r="A330" s="181" t="inlineStr">
        <is>
          <t>general or unknown targets</t>
        </is>
      </c>
      <c r="B330" s="181" t="inlineStr">
        <is>
          <t>gelsemicine</t>
        </is>
      </c>
      <c r="C330" s="181" t="inlineStr">
        <is>
          <t>gelsemicine</t>
        </is>
      </c>
      <c r="D330" s="181" t="inlineStr">
        <is>
          <t>carolina-jessamine</t>
        </is>
      </c>
      <c r="E330" s="181" t="inlineStr">
        <is>
          <t>carolina jessamine</t>
        </is>
      </c>
      <c r="F330" s="181" t="n">
        <v>1</v>
      </c>
      <c r="G330" s="181" t="inlineStr">
        <is>
          <t>multi-target signaling modulation</t>
        </is>
      </c>
      <c r="H330" s="181" t="inlineStr">
        <is>
          <t>trusted_gov_added</t>
        </is>
      </c>
    </row>
    <row r="331">
      <c r="A331" s="181" t="inlineStr">
        <is>
          <t>general or unknown targets</t>
        </is>
      </c>
      <c r="B331" s="181" t="inlineStr">
        <is>
          <t>sempervirine</t>
        </is>
      </c>
      <c r="C331" s="181" t="inlineStr">
        <is>
          <t>sempervirine</t>
        </is>
      </c>
      <c r="D331" s="181" t="inlineStr">
        <is>
          <t>carolina-jessamine</t>
        </is>
      </c>
      <c r="E331" s="181" t="inlineStr">
        <is>
          <t>carolina jessamine</t>
        </is>
      </c>
      <c r="F331" s="181" t="n">
        <v>1</v>
      </c>
      <c r="G331" s="181" t="inlineStr">
        <is>
          <t>multi-target signaling modulation</t>
        </is>
      </c>
      <c r="H331" s="181" t="inlineStr">
        <is>
          <t>trusted_gov_added</t>
        </is>
      </c>
    </row>
    <row r="332">
      <c r="A332" s="181" t="inlineStr">
        <is>
          <t>general or unknown targets</t>
        </is>
      </c>
      <c r="B332" s="181" t="inlineStr">
        <is>
          <t>gelseverine</t>
        </is>
      </c>
      <c r="C332" s="181" t="inlineStr">
        <is>
          <t>gelseverine</t>
        </is>
      </c>
      <c r="D332" s="181" t="inlineStr">
        <is>
          <t>carolina-jessamine</t>
        </is>
      </c>
      <c r="E332" s="181" t="inlineStr">
        <is>
          <t>carolina jessamine</t>
        </is>
      </c>
      <c r="F332" s="181" t="n">
        <v>1</v>
      </c>
      <c r="G332" s="181" t="inlineStr">
        <is>
          <t>multi-target signaling modulation</t>
        </is>
      </c>
      <c r="H332" s="181" t="inlineStr">
        <is>
          <t>trusted_gov_added</t>
        </is>
      </c>
    </row>
    <row r="333">
      <c r="A333" s="181" t="inlineStr">
        <is>
          <t>general or unknown targets</t>
        </is>
      </c>
      <c r="B333" s="181" t="inlineStr">
        <is>
          <t>gelsedine</t>
        </is>
      </c>
      <c r="C333" s="181" t="inlineStr">
        <is>
          <t>gelsedine</t>
        </is>
      </c>
      <c r="D333" s="181" t="inlineStr">
        <is>
          <t>carolina-jessamine</t>
        </is>
      </c>
      <c r="E333" s="181" t="inlineStr">
        <is>
          <t>carolina jessamine</t>
        </is>
      </c>
      <c r="F333" s="181" t="n">
        <v>1</v>
      </c>
      <c r="G333" s="181" t="inlineStr">
        <is>
          <t>multi-target signaling modulation</t>
        </is>
      </c>
      <c r="H333" s="181" t="inlineStr">
        <is>
          <t>trusted_gov_added</t>
        </is>
      </c>
    </row>
    <row r="334">
      <c r="A334" s="181" t="inlineStr">
        <is>
          <t>general or unknown targets</t>
        </is>
      </c>
      <c r="B334" s="181" t="inlineStr">
        <is>
          <t>imperatorin</t>
        </is>
      </c>
      <c r="C334" s="181" t="inlineStr">
        <is>
          <t>imperatorin</t>
        </is>
      </c>
      <c r="D334" s="181" t="inlineStr">
        <is>
          <t>casimiroa-edulis</t>
        </is>
      </c>
      <c r="E334" s="181" t="inlineStr">
        <is>
          <t>casimiroa edulis</t>
        </is>
      </c>
      <c r="F334" s="181" t="n">
        <v>1</v>
      </c>
      <c r="G334" s="181" t="inlineStr">
        <is>
          <t>multi-target signaling modulation</t>
        </is>
      </c>
      <c r="H334" s="181" t="inlineStr">
        <is>
          <t>trusted_gov_added</t>
        </is>
      </c>
    </row>
    <row r="335">
      <c r="A335" s="181" t="inlineStr">
        <is>
          <t>general or unknown targets</t>
        </is>
      </c>
      <c r="B335" s="181" t="inlineStr">
        <is>
          <t>casimiroedine</t>
        </is>
      </c>
      <c r="C335" s="181" t="inlineStr">
        <is>
          <t>casimiroedine</t>
        </is>
      </c>
      <c r="D335" s="181" t="inlineStr">
        <is>
          <t>casimiroa-edulis</t>
        </is>
      </c>
      <c r="E335" s="181" t="inlineStr">
        <is>
          <t>casimiroa edulis</t>
        </is>
      </c>
      <c r="F335" s="181" t="n">
        <v>1</v>
      </c>
      <c r="G335" s="181" t="inlineStr">
        <is>
          <t>multi-target signaling modulation</t>
        </is>
      </c>
      <c r="H335" s="181" t="inlineStr">
        <is>
          <t>trusted_gov_added</t>
        </is>
      </c>
    </row>
    <row r="336">
      <c r="A336" s="181" t="inlineStr">
        <is>
          <t>general or unknown targets</t>
        </is>
      </c>
      <c r="B336" s="181" t="inlineStr">
        <is>
          <t>esculetin</t>
        </is>
      </c>
      <c r="C336" s="181" t="inlineStr">
        <is>
          <t>esculetin</t>
        </is>
      </c>
      <c r="D336" s="181" t="inlineStr">
        <is>
          <t>casimiroa-edulis</t>
        </is>
      </c>
      <c r="E336" s="181" t="inlineStr">
        <is>
          <t>casimiroa edulis</t>
        </is>
      </c>
      <c r="F336" s="181" t="n">
        <v>1</v>
      </c>
      <c r="G336" s="181" t="inlineStr">
        <is>
          <t>multi-target signaling modulation</t>
        </is>
      </c>
      <c r="H336" s="181" t="inlineStr">
        <is>
          <t>trusted_gov_added</t>
        </is>
      </c>
    </row>
    <row r="337">
      <c r="A337" s="181" t="inlineStr">
        <is>
          <t>general or unknown targets</t>
        </is>
      </c>
      <c r="B337" s="181" t="inlineStr">
        <is>
          <t>umbelliferone</t>
        </is>
      </c>
      <c r="C337" s="181" t="inlineStr">
        <is>
          <t>umbelliferone</t>
        </is>
      </c>
      <c r="D337" s="181" t="inlineStr">
        <is>
          <t>casimiroa-edulis</t>
        </is>
      </c>
      <c r="E337" s="181" t="inlineStr">
        <is>
          <t>casimiroa edulis</t>
        </is>
      </c>
      <c r="F337" s="181" t="n">
        <v>1</v>
      </c>
      <c r="G337" s="181" t="inlineStr">
        <is>
          <t>multi-target signaling modulation</t>
        </is>
      </c>
      <c r="H337" s="181" t="inlineStr">
        <is>
          <t>trusted_gov_added</t>
        </is>
      </c>
    </row>
    <row r="338">
      <c r="A338" s="181" t="inlineStr">
        <is>
          <t>general or unknown targets</t>
        </is>
      </c>
      <c r="B338" s="181" t="inlineStr">
        <is>
          <t>n-dimethylhistamine</t>
        </is>
      </c>
      <c r="C338" s="181" t="inlineStr">
        <is>
          <t>n-dimethylhistamine</t>
        </is>
      </c>
      <c r="D338" s="181" t="inlineStr">
        <is>
          <t>casimiroa-edulis</t>
        </is>
      </c>
      <c r="E338" s="181" t="inlineStr">
        <is>
          <t>casimiroa edulis</t>
        </is>
      </c>
      <c r="F338" s="181" t="n">
        <v>1</v>
      </c>
      <c r="G338" s="181" t="inlineStr">
        <is>
          <t>multi-target signaling modulation</t>
        </is>
      </c>
      <c r="H338" s="181" t="inlineStr">
        <is>
          <t>trusted_gov_added</t>
        </is>
      </c>
    </row>
    <row r="339">
      <c r="A339" s="181" t="inlineStr">
        <is>
          <t>general or unknown targets</t>
        </is>
      </c>
      <c r="B339" s="181" t="inlineStr">
        <is>
          <t>xanthotoxol</t>
        </is>
      </c>
      <c r="C339" s="181" t="inlineStr">
        <is>
          <t>xanthotoxol</t>
        </is>
      </c>
      <c r="D339" s="181" t="inlineStr">
        <is>
          <t>casimiroa-edulis</t>
        </is>
      </c>
      <c r="E339" s="181" t="inlineStr">
        <is>
          <t>casimiroa edulis</t>
        </is>
      </c>
      <c r="F339" s="181" t="n">
        <v>1</v>
      </c>
      <c r="G339" s="181" t="inlineStr">
        <is>
          <t>multi-target signaling modulation</t>
        </is>
      </c>
      <c r="H339" s="181" t="inlineStr">
        <is>
          <t>trusted_gov_added</t>
        </is>
      </c>
    </row>
    <row r="340">
      <c r="A340" s="181" t="inlineStr">
        <is>
          <t>general or unknown targets</t>
        </is>
      </c>
      <c r="B340" s="181" t="inlineStr">
        <is>
          <t>n-monomethylhistamine</t>
        </is>
      </c>
      <c r="C340" s="181" t="inlineStr">
        <is>
          <t>n-monomethylhistamine</t>
        </is>
      </c>
      <c r="D340" s="181" t="inlineStr">
        <is>
          <t>casimiroa-edulis</t>
        </is>
      </c>
      <c r="E340" s="181" t="inlineStr">
        <is>
          <t>casimiroa edulis</t>
        </is>
      </c>
      <c r="F340" s="181" t="n">
        <v>1</v>
      </c>
      <c r="G340" s="181" t="inlineStr">
        <is>
          <t>multi-target signaling modulation</t>
        </is>
      </c>
      <c r="H340" s="181" t="inlineStr">
        <is>
          <t>trusted_gov_added</t>
        </is>
      </c>
    </row>
    <row r="341">
      <c r="A341" s="181" t="inlineStr">
        <is>
          <t>general or unknown targets</t>
        </is>
      </c>
      <c r="B341" s="181" t="inlineStr">
        <is>
          <t>chrysophanol</t>
        </is>
      </c>
      <c r="C341" s="181" t="inlineStr">
        <is>
          <t>chrysophanol</t>
        </is>
      </c>
      <c r="D341" s="181" t="inlineStr">
        <is>
          <t>cassia-alata; rheum-palmatum</t>
        </is>
      </c>
      <c r="E341" s="181" t="inlineStr">
        <is>
          <t>cassia alata; rheum palmatum</t>
        </is>
      </c>
      <c r="F341" s="181" t="n">
        <v>2</v>
      </c>
      <c r="G341" s="181" t="inlineStr">
        <is>
          <t>multi-target signaling modulation</t>
        </is>
      </c>
      <c r="H341" s="181" t="inlineStr">
        <is>
          <t>inferred_plus_trusted_gov</t>
        </is>
      </c>
    </row>
    <row r="342">
      <c r="A342" s="181" t="inlineStr">
        <is>
          <t>dopaminergic_modulation</t>
        </is>
      </c>
      <c r="B342" s="181" t="inlineStr">
        <is>
          <t>cathinone</t>
        </is>
      </c>
      <c r="C342" s="181" t="inlineStr">
        <is>
          <t>cathinone</t>
        </is>
      </c>
      <c r="D342" s="181" t="inlineStr">
        <is>
          <t>catha-edulis</t>
        </is>
      </c>
      <c r="E342" s="181" t="inlineStr">
        <is>
          <t>catha edulis</t>
        </is>
      </c>
      <c r="F342" s="181" t="n">
        <v>1</v>
      </c>
      <c r="G342" s="181" t="inlineStr">
        <is>
          <t>multi-target signaling modulation</t>
        </is>
      </c>
      <c r="H342" s="181" t="inlineStr">
        <is>
          <t>trusted_gov_added</t>
        </is>
      </c>
    </row>
    <row r="343">
      <c r="A343" s="181" t="inlineStr">
        <is>
          <t>dopaminergic_modulation</t>
        </is>
      </c>
      <c r="B343" s="181" t="inlineStr">
        <is>
          <t>norephedrine</t>
        </is>
      </c>
      <c r="C343" s="181" t="inlineStr">
        <is>
          <t>norephedrine</t>
        </is>
      </c>
      <c r="D343" s="181" t="inlineStr">
        <is>
          <t>catha-edulis</t>
        </is>
      </c>
      <c r="E343" s="181" t="inlineStr">
        <is>
          <t>catha edulis</t>
        </is>
      </c>
      <c r="F343" s="181" t="n">
        <v>1</v>
      </c>
      <c r="G343" s="181" t="inlineStr">
        <is>
          <t>multi-target signaling modulation</t>
        </is>
      </c>
      <c r="H343" s="181" t="inlineStr">
        <is>
          <t>trusted_gov_added</t>
        </is>
      </c>
    </row>
    <row r="344">
      <c r="A344" s="181" t="inlineStr">
        <is>
          <t>dopaminergic_modulation</t>
        </is>
      </c>
      <c r="B344" s="181" t="inlineStr">
        <is>
          <t>cathine</t>
        </is>
      </c>
      <c r="C344" s="181" t="inlineStr">
        <is>
          <t>cathine</t>
        </is>
      </c>
      <c r="D344" s="181" t="inlineStr">
        <is>
          <t>catha-edulis</t>
        </is>
      </c>
      <c r="E344" s="181" t="inlineStr">
        <is>
          <t>catha edulis</t>
        </is>
      </c>
      <c r="F344" s="181" t="n">
        <v>1</v>
      </c>
      <c r="G344" s="181" t="inlineStr">
        <is>
          <t>multi-target signaling modulation</t>
        </is>
      </c>
      <c r="H344" s="181" t="inlineStr">
        <is>
          <t>trusted_gov_added</t>
        </is>
      </c>
    </row>
    <row r="345">
      <c r="A345" s="181" t="inlineStr">
        <is>
          <t>general or unknown targets</t>
        </is>
      </c>
      <c r="B345" s="181" t="inlineStr">
        <is>
          <t>beta-caryophyllene</t>
        </is>
      </c>
      <c r="C345" s="181" t="inlineStr">
        <is>
          <t>beta-caryophyllene</t>
        </is>
      </c>
      <c r="D345" s="181" t="inlineStr">
        <is>
          <t>copaifera-officinalis; nepeta-cataria; syzygium-aromaticum</t>
        </is>
      </c>
      <c r="E345" s="181" t="inlineStr">
        <is>
          <t>catnip; copaifera officinalis; syzygium aromaticum</t>
        </is>
      </c>
      <c r="F345" s="181" t="n">
        <v>3</v>
      </c>
      <c r="G345" s="181" t="inlineStr">
        <is>
          <t>multi-target signaling modulation</t>
        </is>
      </c>
      <c r="H345" s="181" t="inlineStr">
        <is>
          <t>inferred_plus_trusted_gov; trusted_gov_added</t>
        </is>
      </c>
    </row>
    <row r="346">
      <c r="A346" s="181" t="inlineStr">
        <is>
          <t>gabaergic_modulation</t>
        </is>
      </c>
      <c r="B346" s="181" t="inlineStr">
        <is>
          <t>rosmarinic acid</t>
        </is>
      </c>
      <c r="C346" s="181" t="inlineStr">
        <is>
          <t>rosmarinic acid</t>
        </is>
      </c>
      <c r="D346" s="181" t="inlineStr">
        <is>
          <t>dracocephalum-moldavica; glechoma-hederacea; melissa-officinalis; melissa-officinalis-lemon-balm; mentha-piperita; nepeta-cataria; ocimum-sanctum; prunella-vulgaris; rosmarinus-officinalis; salvia-officinalis; symphytum-officinale; tulsi</t>
        </is>
      </c>
      <c r="E346" s="181" t="inlineStr">
        <is>
          <t>catnip; dracocephalum moldavica; glechoma hederacea; holy basil; lemon balm; melissa officinalis; melissa officinalis (lemon balm); ocimum sanctum; peppermint; prunella vulgaris; rosmarinus officinalis; salvia officinalis; symphytum officinale; tulsi</t>
        </is>
      </c>
      <c r="F346" s="181" t="n">
        <v>12</v>
      </c>
      <c r="G346" s="181" t="inlineStr">
        <is>
          <t>COX/NF-kB inhibition; GABAergic modulation; multi-target signaling modulation</t>
        </is>
      </c>
      <c r="H346" s="181" t="inlineStr">
        <is>
          <t>inferred_plus_trusted_gov; trusted_gov_added</t>
        </is>
      </c>
    </row>
    <row r="347">
      <c r="A347" s="181" t="inlineStr">
        <is>
          <t>general or unknown targets</t>
        </is>
      </c>
      <c r="B347" s="181" t="inlineStr">
        <is>
          <t>rosmarinic acid</t>
        </is>
      </c>
      <c r="C347" s="181" t="inlineStr">
        <is>
          <t>rosmarinic acid</t>
        </is>
      </c>
      <c r="D347" s="181" t="inlineStr">
        <is>
          <t>dracocephalum-moldavica; glechoma-hederacea; melissa-officinalis; melissa-officinalis-lemon-balm; mentha-piperita; nepeta-cataria; ocimum-sanctum; prunella-vulgaris; rosmarinus-officinalis; salvia-officinalis; symphytum-officinale; tulsi</t>
        </is>
      </c>
      <c r="E347" s="181" t="inlineStr">
        <is>
          <t>catnip; dracocephalum moldavica; glechoma hederacea; holy basil; lemon balm; melissa officinalis; melissa officinalis (lemon balm); ocimum sanctum; peppermint; prunella vulgaris; rosmarinus officinalis; salvia officinalis; symphytum officinale; tulsi</t>
        </is>
      </c>
      <c r="F347" s="181" t="n">
        <v>12</v>
      </c>
      <c r="G347" s="181" t="inlineStr">
        <is>
          <t>COX/NF-kB inhibition; GABAergic modulation; multi-target signaling modulation</t>
        </is>
      </c>
      <c r="H347" s="181" t="inlineStr">
        <is>
          <t>inferred_plus_trusted_gov; trusted_gov_added</t>
        </is>
      </c>
    </row>
    <row r="348">
      <c r="A348" s="181" t="inlineStr">
        <is>
          <t>inflammatory_pathway_modulation</t>
        </is>
      </c>
      <c r="B348" s="181" t="inlineStr">
        <is>
          <t>rosmarinic acid</t>
        </is>
      </c>
      <c r="C348" s="181" t="inlineStr">
        <is>
          <t>rosmarinic acid</t>
        </is>
      </c>
      <c r="D348" s="181" t="inlineStr">
        <is>
          <t>dracocephalum-moldavica; glechoma-hederacea; melissa-officinalis; melissa-officinalis-lemon-balm; mentha-piperita; nepeta-cataria; ocimum-sanctum; prunella-vulgaris; rosmarinus-officinalis; salvia-officinalis; symphytum-officinale; tulsi</t>
        </is>
      </c>
      <c r="E348" s="181" t="inlineStr">
        <is>
          <t>catnip; dracocephalum moldavica; glechoma hederacea; holy basil; lemon balm; melissa officinalis; melissa officinalis (lemon balm); ocimum sanctum; peppermint; prunella vulgaris; rosmarinus officinalis; salvia officinalis; symphytum officinale; tulsi</t>
        </is>
      </c>
      <c r="F348" s="181" t="n">
        <v>12</v>
      </c>
      <c r="G348" s="181" t="inlineStr">
        <is>
          <t>COX/NF-kB inhibition; GABAergic modulation; multi-target signaling modulation</t>
        </is>
      </c>
      <c r="H348" s="181" t="inlineStr">
        <is>
          <t>inferred_plus_trusted_gov; trusted_gov_added</t>
        </is>
      </c>
    </row>
    <row r="349">
      <c r="A349" s="181" t="inlineStr">
        <is>
          <t>endocannabinoid_modulation</t>
        </is>
      </c>
      <c r="B349" s="181" t="inlineStr">
        <is>
          <t>cannabidiol</t>
        </is>
      </c>
      <c r="C349" s="181" t="inlineStr">
        <is>
          <t>cannabidiol</t>
        </is>
      </c>
      <c r="D349" s="181" t="inlineStr">
        <is>
          <t>cbd</t>
        </is>
      </c>
      <c r="E349" s="181" t="inlineStr">
        <is>
          <t>cbd</t>
        </is>
      </c>
      <c r="F349" s="181" t="n">
        <v>1</v>
      </c>
      <c r="G349" s="181" t="inlineStr">
        <is>
          <t>multi-target signaling modulation</t>
        </is>
      </c>
      <c r="H349" s="181" t="inlineStr">
        <is>
          <t>trusted_gov_added</t>
        </is>
      </c>
    </row>
    <row r="350">
      <c r="A350" s="181" t="inlineStr">
        <is>
          <t>general or unknown targets</t>
        </is>
      </c>
      <c r="B350" s="181" t="inlineStr">
        <is>
          <t>chlorogenic acid</t>
        </is>
      </c>
      <c r="C350" s="181" t="inlineStr">
        <is>
          <t>chlorogenic acid</t>
        </is>
      </c>
      <c r="D350" s="181" t="inlineStr">
        <is>
          <t>cecropia-peltata; lonicera-japonica; moringa-oleifera</t>
        </is>
      </c>
      <c r="E350" s="181" t="inlineStr">
        <is>
          <t>cecropia peltata; lonicera japonica; moringa oleifera</t>
        </is>
      </c>
      <c r="F350" s="181" t="n">
        <v>3</v>
      </c>
      <c r="G350" s="181" t="inlineStr">
        <is>
          <t>multi-target signaling modulation</t>
        </is>
      </c>
      <c r="H350" s="181" t="inlineStr">
        <is>
          <t>inferred_plus_trusted_gov</t>
        </is>
      </c>
    </row>
    <row r="351">
      <c r="A351" s="181" t="inlineStr">
        <is>
          <t>general or unknown targets</t>
        </is>
      </c>
      <c r="B351" s="181" t="inlineStr">
        <is>
          <t>beta-amyrin</t>
        </is>
      </c>
      <c r="C351" s="181" t="inlineStr">
        <is>
          <t>beta-amyrin</t>
        </is>
      </c>
      <c r="D351" s="181" t="inlineStr">
        <is>
          <t>celastrus-paniculatus; celastrus-paniculatus-intellect-tree</t>
        </is>
      </c>
      <c r="E351" s="181" t="inlineStr">
        <is>
          <t>celastrus paniculatus; celastrus paniculatus (intellect tree)</t>
        </is>
      </c>
      <c r="F351" s="181" t="n">
        <v>2</v>
      </c>
      <c r="G351" s="181" t="inlineStr">
        <is>
          <t>multi-target signaling modulation</t>
        </is>
      </c>
      <c r="H351" s="181" t="inlineStr">
        <is>
          <t>trusted_gov_added</t>
        </is>
      </c>
    </row>
    <row r="352">
      <c r="A352" s="181" t="inlineStr">
        <is>
          <t>general or unknown targets</t>
        </is>
      </c>
      <c r="B352" s="181" t="inlineStr">
        <is>
          <t>celastrine</t>
        </is>
      </c>
      <c r="C352" s="181" t="inlineStr">
        <is>
          <t>celastrine</t>
        </is>
      </c>
      <c r="D352" s="181" t="inlineStr">
        <is>
          <t>celastrus-paniculatus; celastrus-paniculatus-intellect-tree</t>
        </is>
      </c>
      <c r="E352" s="181" t="inlineStr">
        <is>
          <t>celastrus paniculatus; celastrus paniculatus (intellect tree)</t>
        </is>
      </c>
      <c r="F352" s="181" t="n">
        <v>2</v>
      </c>
      <c r="G352" s="181" t="inlineStr">
        <is>
          <t>multi-target signaling modulation</t>
        </is>
      </c>
      <c r="H352" s="181" t="inlineStr">
        <is>
          <t>trusted_gov_added</t>
        </is>
      </c>
    </row>
    <row r="353">
      <c r="A353" s="181" t="inlineStr">
        <is>
          <t>general or unknown targets</t>
        </is>
      </c>
      <c r="B353" s="181" t="inlineStr">
        <is>
          <t>lupeol</t>
        </is>
      </c>
      <c r="C353" s="181" t="inlineStr">
        <is>
          <t>lupeol</t>
        </is>
      </c>
      <c r="D353" s="181" t="inlineStr">
        <is>
          <t>celastrus-paniculatus; celastrus-paniculatus-intellect-tree</t>
        </is>
      </c>
      <c r="E353" s="181" t="inlineStr">
        <is>
          <t>celastrus paniculatus; celastrus paniculatus (intellect tree)</t>
        </is>
      </c>
      <c r="F353" s="181" t="n">
        <v>2</v>
      </c>
      <c r="G353" s="181" t="inlineStr">
        <is>
          <t>multi-target signaling modulation</t>
        </is>
      </c>
      <c r="H353" s="181" t="inlineStr">
        <is>
          <t>trusted_gov_added</t>
        </is>
      </c>
    </row>
    <row r="354">
      <c r="A354" s="181" t="inlineStr">
        <is>
          <t>general or unknown targets</t>
        </is>
      </c>
      <c r="B354" s="181" t="inlineStr">
        <is>
          <t>celapanin</t>
        </is>
      </c>
      <c r="C354" s="181" t="inlineStr">
        <is>
          <t>celapanin</t>
        </is>
      </c>
      <c r="D354" s="181" t="inlineStr">
        <is>
          <t>celastrus-paniculatus; celastrus-paniculatus-intellect-tree</t>
        </is>
      </c>
      <c r="E354" s="181" t="inlineStr">
        <is>
          <t>celastrus paniculatus; celastrus paniculatus (intellect tree)</t>
        </is>
      </c>
      <c r="F354" s="181" t="n">
        <v>2</v>
      </c>
      <c r="G354" s="181" t="inlineStr">
        <is>
          <t>multi-target signaling modulation</t>
        </is>
      </c>
      <c r="H354" s="181" t="inlineStr">
        <is>
          <t>trusted_gov_added</t>
        </is>
      </c>
    </row>
    <row r="355">
      <c r="A355" s="181" t="inlineStr">
        <is>
          <t>general or unknown targets</t>
        </is>
      </c>
      <c r="B355" s="181" t="inlineStr">
        <is>
          <t>celapagin</t>
        </is>
      </c>
      <c r="C355" s="181" t="inlineStr">
        <is>
          <t>celapagin</t>
        </is>
      </c>
      <c r="D355" s="181" t="inlineStr">
        <is>
          <t>celastrus-paniculatus; celastrus-paniculatus-intellect-tree</t>
        </is>
      </c>
      <c r="E355" s="181" t="inlineStr">
        <is>
          <t>celastrus paniculatus; celastrus paniculatus (intellect tree)</t>
        </is>
      </c>
      <c r="F355" s="181" t="n">
        <v>2</v>
      </c>
      <c r="G355" s="181" t="inlineStr">
        <is>
          <t>multi-target signaling modulation</t>
        </is>
      </c>
      <c r="H355" s="181" t="inlineStr">
        <is>
          <t>trusted_gov_added</t>
        </is>
      </c>
    </row>
    <row r="356">
      <c r="A356" s="181" t="inlineStr">
        <is>
          <t>general or unknown targets</t>
        </is>
      </c>
      <c r="B356" s="181" t="inlineStr">
        <is>
          <t>paniculatin</t>
        </is>
      </c>
      <c r="C356" s="181" t="inlineStr">
        <is>
          <t>paniculatin</t>
        </is>
      </c>
      <c r="D356" s="181" t="inlineStr">
        <is>
          <t>celastrus-paniculatus; celastrus-paniculatus-intellect-tree</t>
        </is>
      </c>
      <c r="E356" s="181" t="inlineStr">
        <is>
          <t>celastrus paniculatus; celastrus paniculatus (intellect tree)</t>
        </is>
      </c>
      <c r="F356" s="181" t="n">
        <v>2</v>
      </c>
      <c r="G356" s="181" t="inlineStr">
        <is>
          <t>multi-target signaling modulation</t>
        </is>
      </c>
      <c r="H356" s="181" t="inlineStr">
        <is>
          <t>trusted_gov_added</t>
        </is>
      </c>
    </row>
    <row r="357">
      <c r="A357" s="181" t="inlineStr">
        <is>
          <t>general or unknown targets</t>
        </is>
      </c>
      <c r="B357" s="181" t="inlineStr">
        <is>
          <t>pristimerin</t>
        </is>
      </c>
      <c r="C357" s="181" t="inlineStr">
        <is>
          <t>pristimerin</t>
        </is>
      </c>
      <c r="D357" s="181" t="inlineStr">
        <is>
          <t>celastrus-paniculatus; celastrus-paniculatus-intellect-tree</t>
        </is>
      </c>
      <c r="E357" s="181" t="inlineStr">
        <is>
          <t>celastrus paniculatus; celastrus paniculatus (intellect tree)</t>
        </is>
      </c>
      <c r="F357" s="181" t="n">
        <v>2</v>
      </c>
      <c r="G357" s="181" t="inlineStr">
        <is>
          <t>multi-target signaling modulation</t>
        </is>
      </c>
      <c r="H357" s="181" t="inlineStr">
        <is>
          <t>trusted_gov_added</t>
        </is>
      </c>
    </row>
    <row r="358">
      <c r="A358" s="181" t="inlineStr">
        <is>
          <t>general or unknown targets</t>
        </is>
      </c>
      <c r="B358" s="181" t="inlineStr">
        <is>
          <t>gentiopicroside</t>
        </is>
      </c>
      <c r="C358" s="181" t="inlineStr">
        <is>
          <t>gentiopicroside</t>
        </is>
      </c>
      <c r="D358" s="181" t="inlineStr">
        <is>
          <t>centaurium-erythraea; gentiana-lutea</t>
        </is>
      </c>
      <c r="E358" s="181" t="inlineStr">
        <is>
          <t>centaurium erythraea; gentiana lutea</t>
        </is>
      </c>
      <c r="F358" s="181" t="n">
        <v>2</v>
      </c>
      <c r="G358" s="181" t="inlineStr">
        <is>
          <t>multi-target signaling modulation</t>
        </is>
      </c>
      <c r="H358" s="181" t="inlineStr">
        <is>
          <t>inferred_plus_trusted_gov</t>
        </is>
      </c>
    </row>
    <row r="359">
      <c r="A359" s="181" t="inlineStr">
        <is>
          <t>general or unknown targets</t>
        </is>
      </c>
      <c r="B359" s="181" t="inlineStr">
        <is>
          <t>swertiamarin</t>
        </is>
      </c>
      <c r="C359" s="181" t="inlineStr">
        <is>
          <t>swertiamarin</t>
        </is>
      </c>
      <c r="D359" s="181" t="inlineStr">
        <is>
          <t>centaurium-erythraea</t>
        </is>
      </c>
      <c r="E359" s="181" t="inlineStr">
        <is>
          <t>centaurium erythraea</t>
        </is>
      </c>
      <c r="F359" s="181" t="n">
        <v>1</v>
      </c>
      <c r="G359" s="181" t="inlineStr">
        <is>
          <t>multi-target signaling modulation</t>
        </is>
      </c>
      <c r="H359" s="181" t="inlineStr">
        <is>
          <t>inferred_plus_trusted_gov</t>
        </is>
      </c>
    </row>
    <row r="360">
      <c r="A360" s="181" t="inlineStr">
        <is>
          <t>general or unknown targets</t>
        </is>
      </c>
      <c r="B360" s="181" t="inlineStr">
        <is>
          <t>madecassoside</t>
        </is>
      </c>
      <c r="C360" s="181" t="inlineStr">
        <is>
          <t>madecassoside</t>
        </is>
      </c>
      <c r="D360" s="181" t="inlineStr">
        <is>
          <t>centella-asiatica; gotu-kola</t>
        </is>
      </c>
      <c r="E360" s="181" t="inlineStr">
        <is>
          <t>centella asiatica; gotu kola</t>
        </is>
      </c>
      <c r="F360" s="181" t="n">
        <v>2</v>
      </c>
      <c r="G360" s="181" t="inlineStr">
        <is>
          <t>COX/NF-kB inhibition; multi-target signaling modulation</t>
        </is>
      </c>
      <c r="H360" s="181" t="inlineStr">
        <is>
          <t>inferred_plus_trusted_gov; trusted_gov_added</t>
        </is>
      </c>
    </row>
    <row r="361">
      <c r="A361" s="181" t="inlineStr">
        <is>
          <t>inflammatory_pathway_modulation</t>
        </is>
      </c>
      <c r="B361" s="181" t="inlineStr">
        <is>
          <t>madecassoside</t>
        </is>
      </c>
      <c r="C361" s="181" t="inlineStr">
        <is>
          <t>madecassoside</t>
        </is>
      </c>
      <c r="D361" s="181" t="inlineStr">
        <is>
          <t>centella-asiatica; gotu-kola</t>
        </is>
      </c>
      <c r="E361" s="181" t="inlineStr">
        <is>
          <t>centella asiatica; gotu kola</t>
        </is>
      </c>
      <c r="F361" s="181" t="n">
        <v>2</v>
      </c>
      <c r="G361" s="181" t="inlineStr">
        <is>
          <t>COX/NF-kB inhibition; multi-target signaling modulation</t>
        </is>
      </c>
      <c r="H361" s="181" t="inlineStr">
        <is>
          <t>inferred_plus_trusted_gov; trusted_gov_added</t>
        </is>
      </c>
    </row>
    <row r="362">
      <c r="A362" s="181" t="inlineStr">
        <is>
          <t>general or unknown targets</t>
        </is>
      </c>
      <c r="B362" s="181" t="inlineStr">
        <is>
          <t>asiatic acid</t>
        </is>
      </c>
      <c r="C362" s="181" t="inlineStr">
        <is>
          <t>asiatic acid</t>
        </is>
      </c>
      <c r="D362" s="181" t="inlineStr">
        <is>
          <t>centella-asiatica; gotu-kola</t>
        </is>
      </c>
      <c r="E362" s="181" t="inlineStr">
        <is>
          <t>centella asiatica; gotu kola</t>
        </is>
      </c>
      <c r="F362" s="181" t="n">
        <v>2</v>
      </c>
      <c r="G362" s="181" t="inlineStr">
        <is>
          <t>COX/NF-kB inhibition; multi-target signaling modulation</t>
        </is>
      </c>
      <c r="H362" s="181" t="inlineStr">
        <is>
          <t>inferred_plus_trusted_gov; trusted_gov_added</t>
        </is>
      </c>
    </row>
    <row r="363">
      <c r="A363" s="181" t="inlineStr">
        <is>
          <t>inflammatory_pathway_modulation</t>
        </is>
      </c>
      <c r="B363" s="181" t="inlineStr">
        <is>
          <t>asiatic acid</t>
        </is>
      </c>
      <c r="C363" s="181" t="inlineStr">
        <is>
          <t>asiatic acid</t>
        </is>
      </c>
      <c r="D363" s="181" t="inlineStr">
        <is>
          <t>centella-asiatica; gotu-kola</t>
        </is>
      </c>
      <c r="E363" s="181" t="inlineStr">
        <is>
          <t>centella asiatica; gotu kola</t>
        </is>
      </c>
      <c r="F363" s="181" t="n">
        <v>2</v>
      </c>
      <c r="G363" s="181" t="inlineStr">
        <is>
          <t>COX/NF-kB inhibition; multi-target signaling modulation</t>
        </is>
      </c>
      <c r="H363" s="181" t="inlineStr">
        <is>
          <t>inferred_plus_trusted_gov; trusted_gov_added</t>
        </is>
      </c>
    </row>
    <row r="364">
      <c r="A364" s="181" t="inlineStr">
        <is>
          <t>general or unknown targets</t>
        </is>
      </c>
      <c r="B364" s="181" t="inlineStr">
        <is>
          <t>asiaticoside</t>
        </is>
      </c>
      <c r="C364" s="181" t="inlineStr">
        <is>
          <t>asiaticoside</t>
        </is>
      </c>
      <c r="D364" s="181" t="inlineStr">
        <is>
          <t>centella-asiatica; gotu-kola</t>
        </is>
      </c>
      <c r="E364" s="181" t="inlineStr">
        <is>
          <t>centella asiatica; gotu kola</t>
        </is>
      </c>
      <c r="F364" s="181" t="n">
        <v>2</v>
      </c>
      <c r="G364" s="181" t="inlineStr">
        <is>
          <t>COX/NF-kB inhibition; multi-target signaling modulation</t>
        </is>
      </c>
      <c r="H364" s="181" t="inlineStr">
        <is>
          <t>inferred_plus_trusted_gov; trusted_gov_added</t>
        </is>
      </c>
    </row>
    <row r="365">
      <c r="A365" s="181" t="inlineStr">
        <is>
          <t>inflammatory_pathway_modulation</t>
        </is>
      </c>
      <c r="B365" s="181" t="inlineStr">
        <is>
          <t>asiaticoside</t>
        </is>
      </c>
      <c r="C365" s="181" t="inlineStr">
        <is>
          <t>asiaticoside</t>
        </is>
      </c>
      <c r="D365" s="181" t="inlineStr">
        <is>
          <t>centella-asiatica; gotu-kola</t>
        </is>
      </c>
      <c r="E365" s="181" t="inlineStr">
        <is>
          <t>centella asiatica; gotu kola</t>
        </is>
      </c>
      <c r="F365" s="181" t="n">
        <v>2</v>
      </c>
      <c r="G365" s="181" t="inlineStr">
        <is>
          <t>COX/NF-kB inhibition; multi-target signaling modulation</t>
        </is>
      </c>
      <c r="H365" s="181" t="inlineStr">
        <is>
          <t>inferred_plus_trusted_gov; trusted_gov_added</t>
        </is>
      </c>
    </row>
    <row r="366">
      <c r="A366" s="181" t="inlineStr">
        <is>
          <t>general or unknown targets</t>
        </is>
      </c>
      <c r="B366" s="181" t="inlineStr">
        <is>
          <t>emetine</t>
        </is>
      </c>
      <c r="C366" s="181" t="inlineStr">
        <is>
          <t>emetine</t>
        </is>
      </c>
      <c r="D366" s="181" t="inlineStr">
        <is>
          <t>cephaelis-ipecacuanha</t>
        </is>
      </c>
      <c r="E366" s="181" t="inlineStr">
        <is>
          <t>cephaelis ipecacuanha</t>
        </is>
      </c>
      <c r="F366" s="181" t="n">
        <v>1</v>
      </c>
      <c r="G366" s="181" t="inlineStr">
        <is>
          <t>multi-target signaling modulation</t>
        </is>
      </c>
      <c r="H366" s="181" t="inlineStr">
        <is>
          <t>inferred_plus_trusted_gov</t>
        </is>
      </c>
    </row>
    <row r="367">
      <c r="A367" s="181" t="inlineStr">
        <is>
          <t>general or unknown targets</t>
        </is>
      </c>
      <c r="B367" s="181" t="inlineStr">
        <is>
          <t>cephaeline</t>
        </is>
      </c>
      <c r="C367" s="181" t="inlineStr">
        <is>
          <t>cephaeline</t>
        </is>
      </c>
      <c r="D367" s="181" t="inlineStr">
        <is>
          <t>cephaelis-ipecacuanha</t>
        </is>
      </c>
      <c r="E367" s="181" t="inlineStr">
        <is>
          <t>cephaelis ipecacuanha</t>
        </is>
      </c>
      <c r="F367" s="181" t="n">
        <v>1</v>
      </c>
      <c r="G367" s="181" t="inlineStr">
        <is>
          <t>multi-target signaling modulation</t>
        </is>
      </c>
      <c r="H367" s="181" t="inlineStr">
        <is>
          <t>inferred_plus_trusted_gov</t>
        </is>
      </c>
    </row>
    <row r="368">
      <c r="A368" s="181" t="inlineStr">
        <is>
          <t>general or unknown targets</t>
        </is>
      </c>
      <c r="B368" s="181" t="inlineStr">
        <is>
          <t>inotodiol</t>
        </is>
      </c>
      <c r="C368" s="181" t="inlineStr">
        <is>
          <t>inotodiol</t>
        </is>
      </c>
      <c r="D368" s="181" t="inlineStr">
        <is>
          <t>inonotus-obliquus</t>
        </is>
      </c>
      <c r="E368" s="181" t="inlineStr">
        <is>
          <t>chaga (inonotus obliquus)</t>
        </is>
      </c>
      <c r="F368" s="181" t="n">
        <v>1</v>
      </c>
      <c r="G368" s="181" t="inlineStr">
        <is>
          <t>multi-target signaling modulation</t>
        </is>
      </c>
      <c r="H368" s="181" t="inlineStr">
        <is>
          <t>inferred_plus_trusted_gov</t>
        </is>
      </c>
    </row>
    <row r="369">
      <c r="A369" s="181" t="inlineStr">
        <is>
          <t>general or unknown targets</t>
        </is>
      </c>
      <c r="B369" s="181" t="inlineStr">
        <is>
          <t>betulinic acid</t>
        </is>
      </c>
      <c r="C369" s="181" t="inlineStr">
        <is>
          <t>betulinic acid</t>
        </is>
      </c>
      <c r="D369" s="181" t="inlineStr">
        <is>
          <t>inonotus-obliquus</t>
        </is>
      </c>
      <c r="E369" s="181" t="inlineStr">
        <is>
          <t>chaga (inonotus obliquus)</t>
        </is>
      </c>
      <c r="F369" s="181" t="n">
        <v>1</v>
      </c>
      <c r="G369" s="181" t="inlineStr">
        <is>
          <t>multi-target signaling modulation</t>
        </is>
      </c>
      <c r="H369" s="181" t="inlineStr">
        <is>
          <t>inferred_plus_trusted_gov</t>
        </is>
      </c>
    </row>
    <row r="370">
      <c r="A370" s="181" t="inlineStr">
        <is>
          <t>gabaergic_modulation</t>
        </is>
      </c>
      <c r="B370" s="181" t="inlineStr">
        <is>
          <t>alpha-bisabolol</t>
        </is>
      </c>
      <c r="C370" s="181" t="inlineStr">
        <is>
          <t>alpha-bisabolol</t>
        </is>
      </c>
      <c r="D370" s="181" t="inlineStr">
        <is>
          <t>matricaria-chamomilla</t>
        </is>
      </c>
      <c r="E370" s="181" t="inlineStr">
        <is>
          <t>chamomile</t>
        </is>
      </c>
      <c r="F370" s="181" t="n">
        <v>1</v>
      </c>
      <c r="G370" s="181" t="inlineStr">
        <is>
          <t>GABAergic modulation</t>
        </is>
      </c>
      <c r="H370" s="181" t="inlineStr">
        <is>
          <t>trusted_gov_added</t>
        </is>
      </c>
    </row>
    <row r="371">
      <c r="A371" s="181" t="inlineStr">
        <is>
          <t>inflammatory_pathway_modulation</t>
        </is>
      </c>
      <c r="B371" s="181" t="inlineStr">
        <is>
          <t>alpha-bisabolol</t>
        </is>
      </c>
      <c r="C371" s="181" t="inlineStr">
        <is>
          <t>alpha-bisabolol</t>
        </is>
      </c>
      <c r="D371" s="181" t="inlineStr">
        <is>
          <t>matricaria-chamomilla</t>
        </is>
      </c>
      <c r="E371" s="181" t="inlineStr">
        <is>
          <t>chamomile</t>
        </is>
      </c>
      <c r="F371" s="181" t="n">
        <v>1</v>
      </c>
      <c r="G371" s="181" t="inlineStr">
        <is>
          <t>GABAergic modulation</t>
        </is>
      </c>
      <c r="H371" s="181" t="inlineStr">
        <is>
          <t>trusted_gov_added</t>
        </is>
      </c>
    </row>
    <row r="372">
      <c r="A372" s="181" t="inlineStr">
        <is>
          <t>gabaergic_modulation</t>
        </is>
      </c>
      <c r="B372" s="181" t="inlineStr">
        <is>
          <t>chamazulene</t>
        </is>
      </c>
      <c r="C372" s="181" t="inlineStr">
        <is>
          <t>chamazulene</t>
        </is>
      </c>
      <c r="D372" s="181" t="inlineStr">
        <is>
          <t>matricaria-chamomilla</t>
        </is>
      </c>
      <c r="E372" s="181" t="inlineStr">
        <is>
          <t>chamomile; matricaria chamomilla</t>
        </is>
      </c>
      <c r="F372" s="181" t="n">
        <v>1</v>
      </c>
      <c r="G372" s="181" t="inlineStr">
        <is>
          <t>GABAergic modulation; multi-target signaling modulation</t>
        </is>
      </c>
      <c r="H372" s="181" t="inlineStr">
        <is>
          <t>inferred_plus_trusted_gov; trusted_gov_added</t>
        </is>
      </c>
    </row>
    <row r="373">
      <c r="A373" s="181" t="inlineStr">
        <is>
          <t>general or unknown targets</t>
        </is>
      </c>
      <c r="B373" s="181" t="inlineStr">
        <is>
          <t>chamazulene</t>
        </is>
      </c>
      <c r="C373" s="181" t="inlineStr">
        <is>
          <t>chamazulene</t>
        </is>
      </c>
      <c r="D373" s="181" t="inlineStr">
        <is>
          <t>matricaria-chamomilla</t>
        </is>
      </c>
      <c r="E373" s="181" t="inlineStr">
        <is>
          <t>chamomile; matricaria chamomilla</t>
        </is>
      </c>
      <c r="F373" s="181" t="n">
        <v>1</v>
      </c>
      <c r="G373" s="181" t="inlineStr">
        <is>
          <t>GABAergic modulation; multi-target signaling modulation</t>
        </is>
      </c>
      <c r="H373" s="181" t="inlineStr">
        <is>
          <t>inferred_plus_trusted_gov; trusted_gov_added</t>
        </is>
      </c>
    </row>
    <row r="374">
      <c r="A374" s="181" t="inlineStr">
        <is>
          <t>inflammatory_pathway_modulation</t>
        </is>
      </c>
      <c r="B374" s="181" t="inlineStr">
        <is>
          <t>chamazulene</t>
        </is>
      </c>
      <c r="C374" s="181" t="inlineStr">
        <is>
          <t>chamazulene</t>
        </is>
      </c>
      <c r="D374" s="181" t="inlineStr">
        <is>
          <t>matricaria-chamomilla</t>
        </is>
      </c>
      <c r="E374" s="181" t="inlineStr">
        <is>
          <t>chamomile; matricaria chamomilla</t>
        </is>
      </c>
      <c r="F374" s="181" t="n">
        <v>1</v>
      </c>
      <c r="G374" s="181" t="inlineStr">
        <is>
          <t>GABAergic modulation; multi-target signaling modulation</t>
        </is>
      </c>
      <c r="H374" s="181" t="inlineStr">
        <is>
          <t>inferred_plus_trusted_gov; trusted_gov_added</t>
        </is>
      </c>
    </row>
    <row r="375">
      <c r="A375" s="181" t="inlineStr">
        <is>
          <t>general or unknown targets</t>
        </is>
      </c>
      <c r="B375" s="181" t="inlineStr">
        <is>
          <t>chelidonine</t>
        </is>
      </c>
      <c r="C375" s="181" t="inlineStr">
        <is>
          <t>chelidonine</t>
        </is>
      </c>
      <c r="D375" s="181" t="inlineStr">
        <is>
          <t>chelidonium-majus</t>
        </is>
      </c>
      <c r="E375" s="181" t="inlineStr">
        <is>
          <t>chelidonium majus</t>
        </is>
      </c>
      <c r="F375" s="181" t="n">
        <v>1</v>
      </c>
      <c r="G375" s="181" t="inlineStr">
        <is>
          <t>multi-target signaling modulation</t>
        </is>
      </c>
      <c r="H375" s="181" t="inlineStr">
        <is>
          <t>inferred_plus_trusted_gov</t>
        </is>
      </c>
    </row>
    <row r="376">
      <c r="A376" s="181" t="inlineStr">
        <is>
          <t>PTGS1, PTGS2 (COX-1, COX-2)</t>
        </is>
      </c>
      <c r="B376" s="181" t="inlineStr">
        <is>
          <t>methyl salicylate</t>
        </is>
      </c>
      <c r="C376" s="181" t="inlineStr">
        <is>
          <t>methyl salicylate</t>
        </is>
      </c>
      <c r="D376" s="181" t="inlineStr">
        <is>
          <t>chimaphila-umbellata; viola-odorata</t>
        </is>
      </c>
      <c r="E376" s="181" t="inlineStr">
        <is>
          <t>chimaphila umbellata; viola odorata</t>
        </is>
      </c>
      <c r="F376" s="181" t="n">
        <v>2</v>
      </c>
      <c r="G376" s="181" t="inlineStr">
        <is>
          <t>cox inhibition</t>
        </is>
      </c>
      <c r="H376" s="181" t="inlineStr">
        <is>
          <t>inferred_plus_trusted_gov</t>
        </is>
      </c>
    </row>
    <row r="377">
      <c r="A377" s="181" t="inlineStr">
        <is>
          <t>gabaergic_modulation</t>
        </is>
      </c>
      <c r="B377" s="181" t="inlineStr">
        <is>
          <t>arbutin</t>
        </is>
      </c>
      <c r="C377" s="181" t="inlineStr">
        <is>
          <t>arbutin</t>
        </is>
      </c>
      <c r="D377" s="181" t="inlineStr">
        <is>
          <t>chimaphila-umbellata; turnera-diffusa</t>
        </is>
      </c>
      <c r="E377" s="181" t="inlineStr">
        <is>
          <t>chimaphila umbellata; turnera diffusa</t>
        </is>
      </c>
      <c r="F377" s="181" t="n">
        <v>2</v>
      </c>
      <c r="G377" s="181" t="inlineStr">
        <is>
          <t>GABAergic modulation; multi-target signaling modulation</t>
        </is>
      </c>
      <c r="H377" s="181" t="inlineStr">
        <is>
          <t>inferred_plus_trusted_gov; trusted_gov_added</t>
        </is>
      </c>
    </row>
    <row r="378">
      <c r="A378" s="181" t="inlineStr">
        <is>
          <t>general or unknown targets</t>
        </is>
      </c>
      <c r="B378" s="181" t="inlineStr">
        <is>
          <t>arbutin</t>
        </is>
      </c>
      <c r="C378" s="181" t="inlineStr">
        <is>
          <t>arbutin</t>
        </is>
      </c>
      <c r="D378" s="181" t="inlineStr">
        <is>
          <t>chimaphila-umbellata; turnera-diffusa</t>
        </is>
      </c>
      <c r="E378" s="181" t="inlineStr">
        <is>
          <t>chimaphila umbellata; turnera diffusa</t>
        </is>
      </c>
      <c r="F378" s="181" t="n">
        <v>2</v>
      </c>
      <c r="G378" s="181" t="inlineStr">
        <is>
          <t>GABAergic modulation; multi-target signaling modulation</t>
        </is>
      </c>
      <c r="H378" s="181" t="inlineStr">
        <is>
          <t>inferred_plus_trusted_gov; trusted_gov_added</t>
        </is>
      </c>
    </row>
    <row r="379">
      <c r="A379" s="181" t="inlineStr">
        <is>
          <t>general or unknown targets</t>
        </is>
      </c>
      <c r="B379" s="181" t="inlineStr">
        <is>
          <t>cinnamaldehyde</t>
        </is>
      </c>
      <c r="C379" s="181" t="inlineStr">
        <is>
          <t>cinnamaldehyde</t>
        </is>
      </c>
      <c r="D379" s="181" t="inlineStr">
        <is>
          <t>cinnamomum-verum</t>
        </is>
      </c>
      <c r="E379" s="181" t="inlineStr">
        <is>
          <t>cinnamomum verum</t>
        </is>
      </c>
      <c r="F379" s="181" t="n">
        <v>1</v>
      </c>
      <c r="G379" s="181" t="inlineStr">
        <is>
          <t>multi-target signaling modulation</t>
        </is>
      </c>
      <c r="H379" s="181" t="inlineStr">
        <is>
          <t>inferred_plus_trusted_gov</t>
        </is>
      </c>
    </row>
    <row r="380">
      <c r="A380" s="181" t="inlineStr">
        <is>
          <t>general or unknown targets</t>
        </is>
      </c>
      <c r="B380" s="181" t="inlineStr">
        <is>
          <t>synephrine</t>
        </is>
      </c>
      <c r="C380" s="181" t="inlineStr">
        <is>
          <t>synephrine</t>
        </is>
      </c>
      <c r="D380" s="181" t="inlineStr">
        <is>
          <t>citrus-aurantium</t>
        </is>
      </c>
      <c r="E380" s="181" t="inlineStr">
        <is>
          <t>citrus aurantium</t>
        </is>
      </c>
      <c r="F380" s="181" t="n">
        <v>1</v>
      </c>
      <c r="G380" s="181" t="inlineStr">
        <is>
          <t>multi-target signaling modulation</t>
        </is>
      </c>
      <c r="H380" s="181" t="inlineStr">
        <is>
          <t>inferred_plus_trusted_gov</t>
        </is>
      </c>
    </row>
    <row r="381">
      <c r="A381" s="181" t="inlineStr">
        <is>
          <t>general or unknown targets</t>
        </is>
      </c>
      <c r="B381" s="181" t="inlineStr">
        <is>
          <t>citric acid</t>
        </is>
      </c>
      <c r="C381" s="181" t="inlineStr">
        <is>
          <t>citric acid</t>
        </is>
      </c>
      <c r="D381" s="181" t="inlineStr">
        <is>
          <t>citrus-limon</t>
        </is>
      </c>
      <c r="E381" s="181" t="inlineStr">
        <is>
          <t>citrus limon</t>
        </is>
      </c>
      <c r="F381" s="181" t="n">
        <v>1</v>
      </c>
      <c r="G381" s="181" t="inlineStr">
        <is>
          <t>multi-target signaling modulation</t>
        </is>
      </c>
      <c r="H381" s="181" t="inlineStr">
        <is>
          <t>inferred_plus_trusted_gov</t>
        </is>
      </c>
    </row>
    <row r="382">
      <c r="A382" s="181" t="inlineStr">
        <is>
          <t>general or unknown targets</t>
        </is>
      </c>
      <c r="B382" s="181" t="inlineStr">
        <is>
          <t>protoanemonin</t>
        </is>
      </c>
      <c r="C382" s="181" t="inlineStr">
        <is>
          <t>protoanemonin</t>
        </is>
      </c>
      <c r="D382" s="181" t="inlineStr">
        <is>
          <t>clematis-vitalba</t>
        </is>
      </c>
      <c r="E382" s="181" t="inlineStr">
        <is>
          <t>clematis vitalba</t>
        </is>
      </c>
      <c r="F382" s="181" t="n">
        <v>1</v>
      </c>
      <c r="G382" s="181" t="inlineStr">
        <is>
          <t>multi-target signaling modulation</t>
        </is>
      </c>
      <c r="H382" s="181" t="inlineStr">
        <is>
          <t>inferred_plus_trusted_gov</t>
        </is>
      </c>
    </row>
    <row r="383">
      <c r="A383" s="181" t="inlineStr">
        <is>
          <t>general or unknown targets</t>
        </is>
      </c>
      <c r="B383" s="181" t="inlineStr">
        <is>
          <t>osthole</t>
        </is>
      </c>
      <c r="C383" s="181" t="inlineStr">
        <is>
          <t>osthole</t>
        </is>
      </c>
      <c r="D383" s="181" t="inlineStr">
        <is>
          <t>cnidium-monnieri</t>
        </is>
      </c>
      <c r="E383" s="181" t="inlineStr">
        <is>
          <t>cnidium monnieri</t>
        </is>
      </c>
      <c r="F383" s="181" t="n">
        <v>1</v>
      </c>
      <c r="G383" s="181" t="inlineStr">
        <is>
          <t>multi-target signaling modulation</t>
        </is>
      </c>
      <c r="H383" s="181" t="inlineStr">
        <is>
          <t>inferred_plus_trusted_gov</t>
        </is>
      </c>
    </row>
    <row r="384">
      <c r="A384" s="181" t="inlineStr">
        <is>
          <t>dopaminergic_modulation</t>
        </is>
      </c>
      <c r="B384" s="181" t="inlineStr">
        <is>
          <t>cis-cinnamoylcocaine</t>
        </is>
      </c>
      <c r="C384" s="181" t="inlineStr">
        <is>
          <t>cis-cinnamoylcocaine</t>
        </is>
      </c>
      <c r="D384" s="181" t="inlineStr">
        <is>
          <t>coca; coca-leaf</t>
        </is>
      </c>
      <c r="E384" s="181" t="inlineStr">
        <is>
          <t>coca; coca leaf</t>
        </is>
      </c>
      <c r="F384" s="181" t="n">
        <v>2</v>
      </c>
      <c r="G384" s="181" t="inlineStr">
        <is>
          <t>multi-target signaling modulation</t>
        </is>
      </c>
      <c r="H384" s="181" t="inlineStr">
        <is>
          <t>trusted_gov_added</t>
        </is>
      </c>
    </row>
    <row r="385">
      <c r="A385" s="181" t="inlineStr">
        <is>
          <t>dopaminergic_modulation</t>
        </is>
      </c>
      <c r="B385" s="181" t="inlineStr">
        <is>
          <t>tropacocaine</t>
        </is>
      </c>
      <c r="C385" s="181" t="inlineStr">
        <is>
          <t>tropacocaine</t>
        </is>
      </c>
      <c r="D385" s="181" t="inlineStr">
        <is>
          <t>coca; coca-leaf; erythroxylum-coca; erythroxylum-novogranatense</t>
        </is>
      </c>
      <c r="E385" s="181" t="inlineStr">
        <is>
          <t>coca; coca leaf; erythroxylum coca; erythroxylum novogranatense</t>
        </is>
      </c>
      <c r="F385" s="181" t="n">
        <v>4</v>
      </c>
      <c r="G385" s="181" t="inlineStr">
        <is>
          <t>multi-target signaling modulation</t>
        </is>
      </c>
      <c r="H385" s="181" t="inlineStr">
        <is>
          <t>inferred_plus_trusted_gov; trusted_gov_added</t>
        </is>
      </c>
    </row>
    <row r="386">
      <c r="A386" s="181" t="inlineStr">
        <is>
          <t>general or unknown targets</t>
        </is>
      </c>
      <c r="B386" s="181" t="inlineStr">
        <is>
          <t>tropacocaine</t>
        </is>
      </c>
      <c r="C386" s="181" t="inlineStr">
        <is>
          <t>tropacocaine</t>
        </is>
      </c>
      <c r="D386" s="181" t="inlineStr">
        <is>
          <t>coca; coca-leaf; erythroxylum-coca; erythroxylum-novogranatense</t>
        </is>
      </c>
      <c r="E386" s="181" t="inlineStr">
        <is>
          <t>coca; coca leaf; erythroxylum coca; erythroxylum novogranatense</t>
        </is>
      </c>
      <c r="F386" s="181" t="n">
        <v>4</v>
      </c>
      <c r="G386" s="181" t="inlineStr">
        <is>
          <t>multi-target signaling modulation</t>
        </is>
      </c>
      <c r="H386" s="181" t="inlineStr">
        <is>
          <t>inferred_plus_trusted_gov; trusted_gov_added</t>
        </is>
      </c>
    </row>
    <row r="387">
      <c r="A387" s="181" t="inlineStr">
        <is>
          <t>dopaminergic_modulation</t>
        </is>
      </c>
      <c r="B387" s="181" t="inlineStr">
        <is>
          <t>cuscohygrine</t>
        </is>
      </c>
      <c r="C387" s="181" t="inlineStr">
        <is>
          <t>cuscohygrine</t>
        </is>
      </c>
      <c r="D387" s="181" t="inlineStr">
        <is>
          <t>coca; coca-leaf</t>
        </is>
      </c>
      <c r="E387" s="181" t="inlineStr">
        <is>
          <t>coca; coca leaf</t>
        </is>
      </c>
      <c r="F387" s="181" t="n">
        <v>2</v>
      </c>
      <c r="G387" s="181" t="inlineStr">
        <is>
          <t>multi-target signaling modulation</t>
        </is>
      </c>
      <c r="H387" s="181" t="inlineStr">
        <is>
          <t>trusted_gov_added</t>
        </is>
      </c>
    </row>
    <row r="388">
      <c r="A388" s="181" t="inlineStr">
        <is>
          <t>dopaminergic_modulation</t>
        </is>
      </c>
      <c r="B388" s="181" t="inlineStr">
        <is>
          <t>cocaine</t>
        </is>
      </c>
      <c r="C388" s="181" t="inlineStr">
        <is>
          <t>cocaine</t>
        </is>
      </c>
      <c r="D388" s="181" t="inlineStr">
        <is>
          <t>coca; coca-leaf; erythroxylum-coca; erythroxylum-novogranatense</t>
        </is>
      </c>
      <c r="E388" s="181" t="inlineStr">
        <is>
          <t>coca; coca leaf; erythroxylum coca; erythroxylum novogranatense</t>
        </is>
      </c>
      <c r="F388" s="181" t="n">
        <v>4</v>
      </c>
      <c r="G388" s="181" t="inlineStr">
        <is>
          <t>multi-target signaling modulation</t>
        </is>
      </c>
      <c r="H388" s="181" t="inlineStr">
        <is>
          <t>inferred_plus_trusted_gov; trusted_gov_added</t>
        </is>
      </c>
    </row>
    <row r="389">
      <c r="A389" s="181" t="inlineStr">
        <is>
          <t>general or unknown targets</t>
        </is>
      </c>
      <c r="B389" s="181" t="inlineStr">
        <is>
          <t>cocaine</t>
        </is>
      </c>
      <c r="C389" s="181" t="inlineStr">
        <is>
          <t>cocaine</t>
        </is>
      </c>
      <c r="D389" s="181" t="inlineStr">
        <is>
          <t>coca; coca-leaf; erythroxylum-coca; erythroxylum-novogranatense</t>
        </is>
      </c>
      <c r="E389" s="181" t="inlineStr">
        <is>
          <t>coca; coca leaf; erythroxylum coca; erythroxylum novogranatense</t>
        </is>
      </c>
      <c r="F389" s="181" t="n">
        <v>4</v>
      </c>
      <c r="G389" s="181" t="inlineStr">
        <is>
          <t>multi-target signaling modulation</t>
        </is>
      </c>
      <c r="H389" s="181" t="inlineStr">
        <is>
          <t>inferred_plus_trusted_gov; trusted_gov_added</t>
        </is>
      </c>
    </row>
    <row r="390">
      <c r="A390" s="181" t="inlineStr">
        <is>
          <t>dopaminergic_modulation</t>
        </is>
      </c>
      <c r="B390" s="181" t="inlineStr">
        <is>
          <t>trans-cinnamoylcocaine</t>
        </is>
      </c>
      <c r="C390" s="181" t="inlineStr">
        <is>
          <t>trans-cinnamoylcocaine</t>
        </is>
      </c>
      <c r="D390" s="181" t="inlineStr">
        <is>
          <t>coca; coca-leaf</t>
        </is>
      </c>
      <c r="E390" s="181" t="inlineStr">
        <is>
          <t>coca; coca leaf</t>
        </is>
      </c>
      <c r="F390" s="181" t="n">
        <v>2</v>
      </c>
      <c r="G390" s="181" t="inlineStr">
        <is>
          <t>multi-target signaling modulation</t>
        </is>
      </c>
      <c r="H390" s="181" t="inlineStr">
        <is>
          <t>trusted_gov_added</t>
        </is>
      </c>
    </row>
    <row r="391">
      <c r="A391" s="181" t="inlineStr">
        <is>
          <t>adenosine_antagonism</t>
        </is>
      </c>
      <c r="B391" s="181" t="inlineStr">
        <is>
          <t>trigonelline</t>
        </is>
      </c>
      <c r="C391" s="181" t="inlineStr">
        <is>
          <t>trigonelline</t>
        </is>
      </c>
      <c r="D391" s="181" t="inlineStr">
        <is>
          <t>coffea-arabica; coffee</t>
        </is>
      </c>
      <c r="E391" s="181" t="inlineStr">
        <is>
          <t>coffea arabica; coffee</t>
        </is>
      </c>
      <c r="F391" s="181" t="n">
        <v>2</v>
      </c>
      <c r="G391" s="181" t="inlineStr">
        <is>
          <t>adenosine receptor antagonism</t>
        </is>
      </c>
      <c r="H391" s="181" t="inlineStr">
        <is>
          <t>inferred_plus_trusted_gov; trusted_gov_added</t>
        </is>
      </c>
    </row>
    <row r="392">
      <c r="A392" s="181" t="inlineStr">
        <is>
          <t>adenosine_antagonism</t>
        </is>
      </c>
      <c r="B392" s="181" t="inlineStr">
        <is>
          <t>cafestol</t>
        </is>
      </c>
      <c r="C392" s="181" t="inlineStr">
        <is>
          <t>cafestol</t>
        </is>
      </c>
      <c r="D392" s="181" t="inlineStr">
        <is>
          <t>coffee</t>
        </is>
      </c>
      <c r="E392" s="181" t="inlineStr">
        <is>
          <t>coffee</t>
        </is>
      </c>
      <c r="F392" s="181" t="n">
        <v>1</v>
      </c>
      <c r="G392" s="181" t="inlineStr">
        <is>
          <t>adenosine receptor antagonism</t>
        </is>
      </c>
      <c r="H392" s="181" t="inlineStr">
        <is>
          <t>trusted_gov_added</t>
        </is>
      </c>
    </row>
    <row r="393">
      <c r="A393" s="181" t="inlineStr">
        <is>
          <t>adenosine_antagonism</t>
        </is>
      </c>
      <c r="B393" s="181" t="inlineStr">
        <is>
          <t>kahweol</t>
        </is>
      </c>
      <c r="C393" s="181" t="inlineStr">
        <is>
          <t>kahweol</t>
        </is>
      </c>
      <c r="D393" s="181" t="inlineStr">
        <is>
          <t>coffee</t>
        </is>
      </c>
      <c r="E393" s="181" t="inlineStr">
        <is>
          <t>coffee</t>
        </is>
      </c>
      <c r="F393" s="181" t="n">
        <v>1</v>
      </c>
      <c r="G393" s="181" t="inlineStr">
        <is>
          <t>adenosine receptor antagonism</t>
        </is>
      </c>
      <c r="H393" s="181" t="inlineStr">
        <is>
          <t>trusted_gov_added</t>
        </is>
      </c>
    </row>
    <row r="394">
      <c r="A394" s="181" t="inlineStr">
        <is>
          <t>general or unknown targets</t>
        </is>
      </c>
      <c r="B394" s="181" t="inlineStr">
        <is>
          <t>coniine</t>
        </is>
      </c>
      <c r="C394" s="181" t="inlineStr">
        <is>
          <t>coniine</t>
        </is>
      </c>
      <c r="D394" s="181" t="inlineStr">
        <is>
          <t>conium-maculatum</t>
        </is>
      </c>
      <c r="E394" s="181" t="inlineStr">
        <is>
          <t>conium maculatum</t>
        </is>
      </c>
      <c r="F394" s="181" t="n">
        <v>1</v>
      </c>
      <c r="G394" s="181" t="inlineStr">
        <is>
          <t>multi-target signaling modulation</t>
        </is>
      </c>
      <c r="H394" s="181" t="inlineStr">
        <is>
          <t>inferred_plus_trusted_gov</t>
        </is>
      </c>
    </row>
    <row r="395">
      <c r="A395" s="181" t="inlineStr">
        <is>
          <t>general or unknown targets</t>
        </is>
      </c>
      <c r="B395" s="181" t="inlineStr">
        <is>
          <t>conhydrine</t>
        </is>
      </c>
      <c r="C395" s="181" t="inlineStr">
        <is>
          <t>conhydrine</t>
        </is>
      </c>
      <c r="D395" s="181" t="inlineStr">
        <is>
          <t>conium-maculatum</t>
        </is>
      </c>
      <c r="E395" s="181" t="inlineStr">
        <is>
          <t>conium maculatum</t>
        </is>
      </c>
      <c r="F395" s="181" t="n">
        <v>1</v>
      </c>
      <c r="G395" s="181" t="inlineStr">
        <is>
          <t>multi-target signaling modulation</t>
        </is>
      </c>
      <c r="H395" s="181" t="inlineStr">
        <is>
          <t>inferred_plus_trusted_gov</t>
        </is>
      </c>
    </row>
    <row r="396">
      <c r="A396" s="181" t="inlineStr">
        <is>
          <t>general or unknown targets</t>
        </is>
      </c>
      <c r="B396" s="181" t="inlineStr">
        <is>
          <t>convallatoxin</t>
        </is>
      </c>
      <c r="C396" s="181" t="inlineStr">
        <is>
          <t>convallatoxin</t>
        </is>
      </c>
      <c r="D396" s="181" t="inlineStr">
        <is>
          <t>convallaria-majalis</t>
        </is>
      </c>
      <c r="E396" s="181" t="inlineStr">
        <is>
          <t>convallaria majalis</t>
        </is>
      </c>
      <c r="F396" s="181" t="n">
        <v>1</v>
      </c>
      <c r="G396" s="181" t="inlineStr">
        <is>
          <t>multi-target signaling modulation</t>
        </is>
      </c>
      <c r="H396" s="181" t="inlineStr">
        <is>
          <t>inferred_plus_trusted_gov</t>
        </is>
      </c>
    </row>
    <row r="397">
      <c r="A397" s="181" t="inlineStr">
        <is>
          <t>general or unknown targets</t>
        </is>
      </c>
      <c r="B397" s="181" t="inlineStr">
        <is>
          <t>convalloside cardiac glycosides</t>
        </is>
      </c>
      <c r="C397" s="181" t="inlineStr">
        <is>
          <t>convalloside (cardiac glycosides)</t>
        </is>
      </c>
      <c r="D397" s="181" t="inlineStr">
        <is>
          <t>convallaria-majalis</t>
        </is>
      </c>
      <c r="E397" s="181" t="inlineStr">
        <is>
          <t>convallaria majalis</t>
        </is>
      </c>
      <c r="F397" s="181" t="n">
        <v>1</v>
      </c>
      <c r="G397" s="181" t="inlineStr">
        <is>
          <t>multi-target signaling modulation</t>
        </is>
      </c>
      <c r="H397" s="181" t="inlineStr">
        <is>
          <t>inferred_plus_trusted_gov</t>
        </is>
      </c>
    </row>
    <row r="398">
      <c r="A398" s="181" t="inlineStr">
        <is>
          <t>general or unknown targets</t>
        </is>
      </c>
      <c r="B398" s="181" t="inlineStr">
        <is>
          <t>copalic acid</t>
        </is>
      </c>
      <c r="C398" s="181" t="inlineStr">
        <is>
          <t>copalic acid</t>
        </is>
      </c>
      <c r="D398" s="181" t="inlineStr">
        <is>
          <t>copaifera-officinalis</t>
        </is>
      </c>
      <c r="E398" s="181" t="inlineStr">
        <is>
          <t>copaifera officinalis</t>
        </is>
      </c>
      <c r="F398" s="181" t="n">
        <v>1</v>
      </c>
      <c r="G398" s="181" t="inlineStr">
        <is>
          <t>multi-target signaling modulation</t>
        </is>
      </c>
      <c r="H398" s="181" t="inlineStr">
        <is>
          <t>inferred_plus_trusted_gov</t>
        </is>
      </c>
    </row>
    <row r="399">
      <c r="A399" s="181" t="inlineStr">
        <is>
          <t>general or unknown targets</t>
        </is>
      </c>
      <c r="B399" s="181" t="inlineStr">
        <is>
          <t>palmatine</t>
        </is>
      </c>
      <c r="C399" s="181" t="inlineStr">
        <is>
          <t>palmatine</t>
        </is>
      </c>
      <c r="D399" s="181" t="inlineStr">
        <is>
          <t>coptis-chinensis; phellodendron-amurense</t>
        </is>
      </c>
      <c r="E399" s="181" t="inlineStr">
        <is>
          <t>coptis chinensis; phellodendron amurense</t>
        </is>
      </c>
      <c r="F399" s="181" t="n">
        <v>2</v>
      </c>
      <c r="G399" s="181" t="inlineStr">
        <is>
          <t>multi-target signaling modulation</t>
        </is>
      </c>
      <c r="H399" s="181" t="inlineStr">
        <is>
          <t>inferred_plus_trusted_gov</t>
        </is>
      </c>
    </row>
    <row r="400">
      <c r="A400" s="181" t="inlineStr">
        <is>
          <t>general or unknown targets</t>
        </is>
      </c>
      <c r="B400" s="181" t="inlineStr">
        <is>
          <t>coptisine</t>
        </is>
      </c>
      <c r="C400" s="181" t="inlineStr">
        <is>
          <t>coptisine</t>
        </is>
      </c>
      <c r="D400" s="181" t="inlineStr">
        <is>
          <t>coptis-chinensis</t>
        </is>
      </c>
      <c r="E400" s="181" t="inlineStr">
        <is>
          <t>coptis chinensis</t>
        </is>
      </c>
      <c r="F400" s="181" t="n">
        <v>1</v>
      </c>
      <c r="G400" s="181" t="inlineStr">
        <is>
          <t>multi-target signaling modulation</t>
        </is>
      </c>
      <c r="H400" s="181" t="inlineStr">
        <is>
          <t>inferred_plus_trusted_gov</t>
        </is>
      </c>
    </row>
    <row r="401">
      <c r="A401" s="181" t="inlineStr">
        <is>
          <t>adenosine_antagonism</t>
        </is>
      </c>
      <c r="B401" s="181" t="inlineStr">
        <is>
          <t>adenosine</t>
        </is>
      </c>
      <c r="C401" s="181" t="inlineStr">
        <is>
          <t>adenosine</t>
        </is>
      </c>
      <c r="D401" s="181" t="inlineStr">
        <is>
          <t>cordyceps-sinensis</t>
        </is>
      </c>
      <c r="E401" s="181" t="inlineStr">
        <is>
          <t>cordyceps sinensis</t>
        </is>
      </c>
      <c r="F401" s="181" t="n">
        <v>1</v>
      </c>
      <c r="G401" s="181" t="inlineStr">
        <is>
          <t>adenosine receptor antagonism</t>
        </is>
      </c>
      <c r="H401" s="181" t="inlineStr">
        <is>
          <t>inferred_plus_trusted_gov</t>
        </is>
      </c>
    </row>
    <row r="402">
      <c r="A402" s="181" t="inlineStr">
        <is>
          <t>adenosine_antagonism</t>
        </is>
      </c>
      <c r="B402" s="181" t="inlineStr">
        <is>
          <t>cordycepin</t>
        </is>
      </c>
      <c r="C402" s="181" t="inlineStr">
        <is>
          <t>cordycepin</t>
        </is>
      </c>
      <c r="D402" s="181" t="inlineStr">
        <is>
          <t>cordyceps-sinensis</t>
        </is>
      </c>
      <c r="E402" s="181" t="inlineStr">
        <is>
          <t>cordyceps sinensis</t>
        </is>
      </c>
      <c r="F402" s="181" t="n">
        <v>1</v>
      </c>
      <c r="G402" s="181" t="inlineStr">
        <is>
          <t>adenosine receptor antagonism</t>
        </is>
      </c>
      <c r="H402" s="181" t="inlineStr">
        <is>
          <t>inferred_plus_trusted_gov</t>
        </is>
      </c>
    </row>
    <row r="403">
      <c r="A403" s="181" t="inlineStr">
        <is>
          <t>general or unknown targets</t>
        </is>
      </c>
      <c r="B403" s="181" t="inlineStr">
        <is>
          <t>morroniside</t>
        </is>
      </c>
      <c r="C403" s="181" t="inlineStr">
        <is>
          <t>morroniside</t>
        </is>
      </c>
      <c r="D403" s="181" t="inlineStr">
        <is>
          <t>cornus-officinalis</t>
        </is>
      </c>
      <c r="E403" s="181" t="inlineStr">
        <is>
          <t>cornus officinalis</t>
        </is>
      </c>
      <c r="F403" s="181" t="n">
        <v>1</v>
      </c>
      <c r="G403" s="181" t="inlineStr">
        <is>
          <t>multi-target signaling modulation</t>
        </is>
      </c>
      <c r="H403" s="181" t="inlineStr">
        <is>
          <t>inferred_plus_trusted_gov</t>
        </is>
      </c>
    </row>
    <row r="404">
      <c r="A404" s="181" t="inlineStr">
        <is>
          <t>general or unknown targets</t>
        </is>
      </c>
      <c r="B404" s="181" t="inlineStr">
        <is>
          <t>loganin</t>
        </is>
      </c>
      <c r="C404" s="181" t="inlineStr">
        <is>
          <t>loganin</t>
        </is>
      </c>
      <c r="D404" s="181" t="inlineStr">
        <is>
          <t>cornus-officinalis</t>
        </is>
      </c>
      <c r="E404" s="181" t="inlineStr">
        <is>
          <t>cornus officinalis</t>
        </is>
      </c>
      <c r="F404" s="181" t="n">
        <v>1</v>
      </c>
      <c r="G404" s="181" t="inlineStr">
        <is>
          <t>multi-target signaling modulation</t>
        </is>
      </c>
      <c r="H404" s="181" t="inlineStr">
        <is>
          <t>inferred_plus_trusted_gov</t>
        </is>
      </c>
    </row>
    <row r="405">
      <c r="A405" s="181" t="inlineStr">
        <is>
          <t>general or unknown targets</t>
        </is>
      </c>
      <c r="B405" s="181" t="inlineStr">
        <is>
          <t>bulbocapnine</t>
        </is>
      </c>
      <c r="C405" s="181" t="inlineStr">
        <is>
          <t>bulbocapnine</t>
        </is>
      </c>
      <c r="D405" s="181" t="inlineStr">
        <is>
          <t>corydalis-cava</t>
        </is>
      </c>
      <c r="E405" s="181" t="inlineStr">
        <is>
          <t>corydalis cava</t>
        </is>
      </c>
      <c r="F405" s="181" t="n">
        <v>1</v>
      </c>
      <c r="G405" s="181" t="inlineStr">
        <is>
          <t>multi-target signaling modulation</t>
        </is>
      </c>
      <c r="H405" s="181" t="inlineStr">
        <is>
          <t>inferred_plus_trusted_gov</t>
        </is>
      </c>
    </row>
    <row r="406">
      <c r="A406" s="181" t="inlineStr">
        <is>
          <t>general or unknown targets</t>
        </is>
      </c>
      <c r="B406" s="181" t="inlineStr">
        <is>
          <t>protopine</t>
        </is>
      </c>
      <c r="C406" s="181" t="inlineStr">
        <is>
          <t>protopine</t>
        </is>
      </c>
      <c r="D406" s="181" t="inlineStr">
        <is>
          <t>corydalis-cava</t>
        </is>
      </c>
      <c r="E406" s="181" t="inlineStr">
        <is>
          <t>corydalis cava</t>
        </is>
      </c>
      <c r="F406" s="181" t="n">
        <v>1</v>
      </c>
      <c r="G406" s="181" t="inlineStr">
        <is>
          <t>multi-target signaling modulation</t>
        </is>
      </c>
      <c r="H406" s="181" t="inlineStr">
        <is>
          <t>inferred_plus_trusted_gov</t>
        </is>
      </c>
    </row>
    <row r="407">
      <c r="A407" s="181" t="inlineStr">
        <is>
          <t>dopaminergic_modulation</t>
        </is>
      </c>
      <c r="B407" s="181" t="inlineStr">
        <is>
          <t>corydaline</t>
        </is>
      </c>
      <c r="C407" s="181" t="inlineStr">
        <is>
          <t>corydaline</t>
        </is>
      </c>
      <c r="D407" s="181" t="inlineStr">
        <is>
          <t>corydalis-cava; corydalis-yanhusuo</t>
        </is>
      </c>
      <c r="E407" s="181" t="inlineStr">
        <is>
          <t>corydalis cava; corydalis yanhusuo</t>
        </is>
      </c>
      <c r="F407" s="181" t="n">
        <v>2</v>
      </c>
      <c r="G407" s="181" t="inlineStr">
        <is>
          <t>multi-target signaling modulation</t>
        </is>
      </c>
      <c r="H407" s="181" t="inlineStr">
        <is>
          <t>inferred_plus_trusted_gov; trusted_gov_added</t>
        </is>
      </c>
    </row>
    <row r="408">
      <c r="A408" s="181" t="inlineStr">
        <is>
          <t>general or unknown targets</t>
        </is>
      </c>
      <c r="B408" s="181" t="inlineStr">
        <is>
          <t>corydaline</t>
        </is>
      </c>
      <c r="C408" s="181" t="inlineStr">
        <is>
          <t>corydaline</t>
        </is>
      </c>
      <c r="D408" s="181" t="inlineStr">
        <is>
          <t>corydalis-cava; corydalis-yanhusuo</t>
        </is>
      </c>
      <c r="E408" s="181" t="inlineStr">
        <is>
          <t>corydalis cava; corydalis yanhusuo</t>
        </is>
      </c>
      <c r="F408" s="181" t="n">
        <v>2</v>
      </c>
      <c r="G408" s="181" t="inlineStr">
        <is>
          <t>multi-target signaling modulation</t>
        </is>
      </c>
      <c r="H408" s="181" t="inlineStr">
        <is>
          <t>inferred_plus_trusted_gov; trusted_gov_added</t>
        </is>
      </c>
    </row>
    <row r="409">
      <c r="A409" s="181" t="inlineStr">
        <is>
          <t>dopaminergic_modulation</t>
        </is>
      </c>
      <c r="B409" s="181" t="inlineStr">
        <is>
          <t>isocorypalmine</t>
        </is>
      </c>
      <c r="C409" s="181" t="inlineStr">
        <is>
          <t>isocorypalmine</t>
        </is>
      </c>
      <c r="D409" s="181" t="inlineStr">
        <is>
          <t>corydalis-yanhusuo</t>
        </is>
      </c>
      <c r="E409" s="181" t="inlineStr">
        <is>
          <t>corydalis yanhusuo</t>
        </is>
      </c>
      <c r="F409" s="181" t="n">
        <v>1</v>
      </c>
      <c r="G409" s="181" t="inlineStr">
        <is>
          <t>multi-target signaling modulation</t>
        </is>
      </c>
      <c r="H409" s="181" t="inlineStr">
        <is>
          <t>trusted_gov_added</t>
        </is>
      </c>
    </row>
    <row r="410">
      <c r="A410" s="181" t="inlineStr">
        <is>
          <t>dopaminergic_modulation</t>
        </is>
      </c>
      <c r="B410" s="181" t="inlineStr">
        <is>
          <t>dehydrocorybulbine</t>
        </is>
      </c>
      <c r="C410" s="181" t="inlineStr">
        <is>
          <t>dehydrocorybulbine</t>
        </is>
      </c>
      <c r="D410" s="181" t="inlineStr">
        <is>
          <t>corydalis-yanhusuo</t>
        </is>
      </c>
      <c r="E410" s="181" t="inlineStr">
        <is>
          <t>corydalis yanhusuo</t>
        </is>
      </c>
      <c r="F410" s="181" t="n">
        <v>1</v>
      </c>
      <c r="G410" s="181" t="inlineStr">
        <is>
          <t>multi-target signaling modulation</t>
        </is>
      </c>
      <c r="H410" s="181" t="inlineStr">
        <is>
          <t>trusted_gov_added</t>
        </is>
      </c>
    </row>
    <row r="411">
      <c r="A411" s="181" t="inlineStr">
        <is>
          <t>dopaminergic_modulation</t>
        </is>
      </c>
      <c r="B411" s="181" t="inlineStr">
        <is>
          <t>tetrahydropalmatine</t>
        </is>
      </c>
      <c r="C411" s="181" t="inlineStr">
        <is>
          <t>tetrahydropalmatine</t>
        </is>
      </c>
      <c r="D411" s="181" t="inlineStr">
        <is>
          <t>corydalis-yanhusuo</t>
        </is>
      </c>
      <c r="E411" s="181" t="inlineStr">
        <is>
          <t>corydalis yanhusuo</t>
        </is>
      </c>
      <c r="F411" s="181" t="n">
        <v>1</v>
      </c>
      <c r="G411" s="181" t="inlineStr">
        <is>
          <t>multi-target signaling modulation</t>
        </is>
      </c>
      <c r="H411" s="181" t="inlineStr">
        <is>
          <t>trusted_gov_added</t>
        </is>
      </c>
    </row>
    <row r="412">
      <c r="A412" s="181" t="inlineStr">
        <is>
          <t>general or unknown targets</t>
        </is>
      </c>
      <c r="B412" s="181" t="inlineStr">
        <is>
          <t>picrocrocin</t>
        </is>
      </c>
      <c r="C412" s="181" t="inlineStr">
        <is>
          <t>picrocrocin</t>
        </is>
      </c>
      <c r="D412" s="181" t="inlineStr">
        <is>
          <t>crocus-sativus</t>
        </is>
      </c>
      <c r="E412" s="181" t="inlineStr">
        <is>
          <t>crocus sativus</t>
        </is>
      </c>
      <c r="F412" s="181" t="n">
        <v>1</v>
      </c>
      <c r="G412" s="181" t="inlineStr">
        <is>
          <t>multi-target signaling modulation</t>
        </is>
      </c>
      <c r="H412" s="181" t="inlineStr">
        <is>
          <t>trusted_gov_added</t>
        </is>
      </c>
    </row>
    <row r="413">
      <c r="A413" s="181" t="inlineStr">
        <is>
          <t>general or unknown targets</t>
        </is>
      </c>
      <c r="B413" s="181" t="inlineStr">
        <is>
          <t>crocin</t>
        </is>
      </c>
      <c r="C413" s="181" t="inlineStr">
        <is>
          <t>crocin</t>
        </is>
      </c>
      <c r="D413" s="181" t="inlineStr">
        <is>
          <t>crocus-sativus; gardenia-jasminoides</t>
        </is>
      </c>
      <c r="E413" s="181" t="inlineStr">
        <is>
          <t>crocus sativus; gardenia jasminoides</t>
        </is>
      </c>
      <c r="F413" s="181" t="n">
        <v>2</v>
      </c>
      <c r="G413" s="181" t="inlineStr">
        <is>
          <t>multi-target signaling modulation</t>
        </is>
      </c>
      <c r="H413" s="181" t="inlineStr">
        <is>
          <t>inferred_plus_trusted_gov; trusted_gov_added</t>
        </is>
      </c>
    </row>
    <row r="414">
      <c r="A414" s="181" t="inlineStr">
        <is>
          <t>general or unknown targets</t>
        </is>
      </c>
      <c r="B414" s="181" t="inlineStr">
        <is>
          <t>safranal</t>
        </is>
      </c>
      <c r="C414" s="181" t="inlineStr">
        <is>
          <t>safranal</t>
        </is>
      </c>
      <c r="D414" s="181" t="inlineStr">
        <is>
          <t>crocus-sativus</t>
        </is>
      </c>
      <c r="E414" s="181" t="inlineStr">
        <is>
          <t>crocus sativus</t>
        </is>
      </c>
      <c r="F414" s="181" t="n">
        <v>1</v>
      </c>
      <c r="G414" s="181" t="inlineStr">
        <is>
          <t>multi-target signaling modulation</t>
        </is>
      </c>
      <c r="H414" s="181" t="inlineStr">
        <is>
          <t>trusted_gov_added</t>
        </is>
      </c>
    </row>
    <row r="415">
      <c r="A415" s="181" t="inlineStr">
        <is>
          <t>general or unknown targets</t>
        </is>
      </c>
      <c r="B415" s="181" t="inlineStr">
        <is>
          <t>crocetin</t>
        </is>
      </c>
      <c r="C415" s="181" t="inlineStr">
        <is>
          <t>crocetin</t>
        </is>
      </c>
      <c r="D415" s="181" t="inlineStr">
        <is>
          <t>crocus-sativus</t>
        </is>
      </c>
      <c r="E415" s="181" t="inlineStr">
        <is>
          <t>crocus sativus</t>
        </is>
      </c>
      <c r="F415" s="181" t="n">
        <v>1</v>
      </c>
      <c r="G415" s="181" t="inlineStr">
        <is>
          <t>multi-target signaling modulation</t>
        </is>
      </c>
      <c r="H415" s="181" t="inlineStr">
        <is>
          <t>trusted_gov_added</t>
        </is>
      </c>
    </row>
    <row r="416">
      <c r="A416" s="181" t="inlineStr">
        <is>
          <t>general or unknown targets</t>
        </is>
      </c>
      <c r="B416" s="181" t="inlineStr">
        <is>
          <t>taspine</t>
        </is>
      </c>
      <c r="C416" s="181" t="inlineStr">
        <is>
          <t>taspine</t>
        </is>
      </c>
      <c r="D416" s="181" t="inlineStr">
        <is>
          <t>croton-lechleri</t>
        </is>
      </c>
      <c r="E416" s="181" t="inlineStr">
        <is>
          <t>croton lechleri</t>
        </is>
      </c>
      <c r="F416" s="181" t="n">
        <v>1</v>
      </c>
      <c r="G416" s="181" t="inlineStr">
        <is>
          <t>multi-target signaling modulation</t>
        </is>
      </c>
      <c r="H416" s="181" t="inlineStr">
        <is>
          <t>inferred_plus_trusted_gov</t>
        </is>
      </c>
    </row>
    <row r="417">
      <c r="A417" s="181" t="inlineStr">
        <is>
          <t>general or unknown targets</t>
        </is>
      </c>
      <c r="B417" s="181" t="inlineStr">
        <is>
          <t>turmerone</t>
        </is>
      </c>
      <c r="C417" s="181" t="inlineStr">
        <is>
          <t>turmerone</t>
        </is>
      </c>
      <c r="D417" s="181" t="inlineStr">
        <is>
          <t>curcuma-longa</t>
        </is>
      </c>
      <c r="E417" s="181" t="inlineStr">
        <is>
          <t>curcuma longa</t>
        </is>
      </c>
      <c r="F417" s="181" t="n">
        <v>1</v>
      </c>
      <c r="G417" s="181" t="inlineStr">
        <is>
          <t>multi-target signaling modulation</t>
        </is>
      </c>
      <c r="H417" s="181" t="inlineStr">
        <is>
          <t>inferred_plus_trusted_gov</t>
        </is>
      </c>
    </row>
    <row r="418">
      <c r="A418" s="181" t="inlineStr">
        <is>
          <t>general or unknown targets</t>
        </is>
      </c>
      <c r="B418" s="181" t="inlineStr">
        <is>
          <t>geraniol</t>
        </is>
      </c>
      <c r="C418" s="181" t="inlineStr">
        <is>
          <t>geraniol</t>
        </is>
      </c>
      <c r="D418" s="181" t="inlineStr">
        <is>
          <t>cymbopogon-citratus</t>
        </is>
      </c>
      <c r="E418" s="181" t="inlineStr">
        <is>
          <t>cymbopogon citratus</t>
        </is>
      </c>
      <c r="F418" s="181" t="n">
        <v>1</v>
      </c>
      <c r="G418" s="181" t="inlineStr">
        <is>
          <t>multi-target signaling modulation</t>
        </is>
      </c>
      <c r="H418" s="181" t="inlineStr">
        <is>
          <t>inferred_plus_trusted_gov</t>
        </is>
      </c>
    </row>
    <row r="419">
      <c r="A419" s="181" t="inlineStr">
        <is>
          <t>general or unknown targets</t>
        </is>
      </c>
      <c r="B419" s="181" t="inlineStr">
        <is>
          <t>cynarin</t>
        </is>
      </c>
      <c r="C419" s="181" t="inlineStr">
        <is>
          <t>cynarin</t>
        </is>
      </c>
      <c r="D419" s="181" t="inlineStr">
        <is>
          <t>cynara-scolymus</t>
        </is>
      </c>
      <c r="E419" s="181" t="inlineStr">
        <is>
          <t>cynara scolymus</t>
        </is>
      </c>
      <c r="F419" s="181" t="n">
        <v>1</v>
      </c>
      <c r="G419" s="181" t="inlineStr">
        <is>
          <t>multi-target signaling modulation</t>
        </is>
      </c>
      <c r="H419" s="181" t="inlineStr">
        <is>
          <t>inferred_plus_trusted_gov</t>
        </is>
      </c>
    </row>
    <row r="420">
      <c r="A420" s="181" t="inlineStr">
        <is>
          <t>general or unknown targets</t>
        </is>
      </c>
      <c r="B420" s="181" t="inlineStr">
        <is>
          <t>cyperene</t>
        </is>
      </c>
      <c r="C420" s="181" t="inlineStr">
        <is>
          <t>cyperene</t>
        </is>
      </c>
      <c r="D420" s="181" t="inlineStr">
        <is>
          <t>cyperus-rotundus</t>
        </is>
      </c>
      <c r="E420" s="181" t="inlineStr">
        <is>
          <t>cyperus rotundus</t>
        </is>
      </c>
      <c r="F420" s="181" t="n">
        <v>1</v>
      </c>
      <c r="G420" s="181" t="inlineStr">
        <is>
          <t>multi-target signaling modulation</t>
        </is>
      </c>
      <c r="H420" s="181" t="inlineStr">
        <is>
          <t>inferred_plus_trusted_gov</t>
        </is>
      </c>
    </row>
    <row r="421">
      <c r="A421" s="181" t="inlineStr">
        <is>
          <t>general or unknown targets</t>
        </is>
      </c>
      <c r="B421" s="181" t="inlineStr">
        <is>
          <t>dendrobine</t>
        </is>
      </c>
      <c r="C421" s="181" t="inlineStr">
        <is>
          <t>dendrobine</t>
        </is>
      </c>
      <c r="D421" s="181" t="inlineStr">
        <is>
          <t>dendrobium-nobile</t>
        </is>
      </c>
      <c r="E421" s="181" t="inlineStr">
        <is>
          <t>dendrobium nobile</t>
        </is>
      </c>
      <c r="F421" s="181" t="n">
        <v>1</v>
      </c>
      <c r="G421" s="181" t="inlineStr">
        <is>
          <t>multi-target signaling modulation</t>
        </is>
      </c>
      <c r="H421" s="181" t="inlineStr">
        <is>
          <t>inferred_plus_trusted_gov</t>
        </is>
      </c>
    </row>
    <row r="422">
      <c r="A422" s="181" t="inlineStr">
        <is>
          <t>general or unknown targets</t>
        </is>
      </c>
      <c r="B422" s="181" t="inlineStr">
        <is>
          <t>isofebrifugine</t>
        </is>
      </c>
      <c r="C422" s="181" t="inlineStr">
        <is>
          <t>isofebrifugine</t>
        </is>
      </c>
      <c r="D422" s="181" t="inlineStr">
        <is>
          <t>dichroa-febrifuga</t>
        </is>
      </c>
      <c r="E422" s="181" t="inlineStr">
        <is>
          <t>dichroa febrifuga</t>
        </is>
      </c>
      <c r="F422" s="181" t="n">
        <v>1</v>
      </c>
      <c r="G422" s="181" t="inlineStr">
        <is>
          <t>multi-target signaling modulation</t>
        </is>
      </c>
      <c r="H422" s="181" t="inlineStr">
        <is>
          <t>inferred_plus_trusted_gov</t>
        </is>
      </c>
    </row>
    <row r="423">
      <c r="A423" s="181" t="inlineStr">
        <is>
          <t>general or unknown targets</t>
        </is>
      </c>
      <c r="B423" s="181" t="inlineStr">
        <is>
          <t>febrifugine</t>
        </is>
      </c>
      <c r="C423" s="181" t="inlineStr">
        <is>
          <t>febrifugine</t>
        </is>
      </c>
      <c r="D423" s="181" t="inlineStr">
        <is>
          <t>dichroa-febrifuga</t>
        </is>
      </c>
      <c r="E423" s="181" t="inlineStr">
        <is>
          <t>dichroa febrifuga</t>
        </is>
      </c>
      <c r="F423" s="181" t="n">
        <v>1</v>
      </c>
      <c r="G423" s="181" t="inlineStr">
        <is>
          <t>multi-target signaling modulation</t>
        </is>
      </c>
      <c r="H423" s="181" t="inlineStr">
        <is>
          <t>inferred_plus_trusted_gov</t>
        </is>
      </c>
    </row>
    <row r="424">
      <c r="A424" s="181" t="inlineStr">
        <is>
          <t>general or unknown targets</t>
        </is>
      </c>
      <c r="B424" s="181" t="inlineStr">
        <is>
          <t>neral</t>
        </is>
      </c>
      <c r="C424" s="181" t="inlineStr">
        <is>
          <t>neral</t>
        </is>
      </c>
      <c r="D424" s="181" t="inlineStr">
        <is>
          <t>dracocephalum-moldavica</t>
        </is>
      </c>
      <c r="E424" s="181" t="inlineStr">
        <is>
          <t>dracocephalum moldavica</t>
        </is>
      </c>
      <c r="F424" s="181" t="n">
        <v>1</v>
      </c>
      <c r="G424" s="181" t="inlineStr">
        <is>
          <t>multi-target signaling modulation</t>
        </is>
      </c>
      <c r="H424" s="181" t="inlineStr">
        <is>
          <t>inferred_plus_trusted_gov</t>
        </is>
      </c>
    </row>
    <row r="425">
      <c r="A425" s="181" t="inlineStr">
        <is>
          <t>general or unknown targets</t>
        </is>
      </c>
      <c r="B425" s="181" t="inlineStr">
        <is>
          <t>geranial</t>
        </is>
      </c>
      <c r="C425" s="181" t="inlineStr">
        <is>
          <t>geranial</t>
        </is>
      </c>
      <c r="D425" s="181" t="inlineStr">
        <is>
          <t>dracocephalum-moldavica</t>
        </is>
      </c>
      <c r="E425" s="181" t="inlineStr">
        <is>
          <t>dracocephalum moldavica</t>
        </is>
      </c>
      <c r="F425" s="181" t="n">
        <v>1</v>
      </c>
      <c r="G425" s="181" t="inlineStr">
        <is>
          <t>multi-target signaling modulation</t>
        </is>
      </c>
      <c r="H425" s="181" t="inlineStr">
        <is>
          <t>inferred_plus_trusted_gov</t>
        </is>
      </c>
    </row>
    <row r="426">
      <c r="A426" s="181" t="inlineStr">
        <is>
          <t>general or unknown targets</t>
        </is>
      </c>
      <c r="B426" s="181" t="inlineStr">
        <is>
          <t>ecliptine</t>
        </is>
      </c>
      <c r="C426" s="181" t="inlineStr">
        <is>
          <t>ecliptine</t>
        </is>
      </c>
      <c r="D426" s="181" t="inlineStr">
        <is>
          <t>eclipta-prostrata</t>
        </is>
      </c>
      <c r="E426" s="181" t="inlineStr">
        <is>
          <t>eclipta prostrata</t>
        </is>
      </c>
      <c r="F426" s="181" t="n">
        <v>1</v>
      </c>
      <c r="G426" s="181" t="inlineStr">
        <is>
          <t>multi-target signaling modulation</t>
        </is>
      </c>
      <c r="H426" s="181" t="inlineStr">
        <is>
          <t>inferred_plus_trusted_gov</t>
        </is>
      </c>
    </row>
    <row r="427">
      <c r="A427" s="181" t="inlineStr">
        <is>
          <t>general or unknown targets</t>
        </is>
      </c>
      <c r="B427" s="181" t="inlineStr">
        <is>
          <t>lycopene</t>
        </is>
      </c>
      <c r="C427" s="181" t="inlineStr">
        <is>
          <t>lycopene</t>
        </is>
      </c>
      <c r="D427" s="181" t="inlineStr">
        <is>
          <t>elaeagnus-umbellata</t>
        </is>
      </c>
      <c r="E427" s="181" t="inlineStr">
        <is>
          <t>elaeagnus umbellata</t>
        </is>
      </c>
      <c r="F427" s="181" t="n">
        <v>1</v>
      </c>
      <c r="G427" s="181" t="inlineStr">
        <is>
          <t>multi-target signaling modulation</t>
        </is>
      </c>
      <c r="H427" s="181" t="inlineStr">
        <is>
          <t>inferred_plus_trusted_gov</t>
        </is>
      </c>
    </row>
    <row r="428">
      <c r="A428" s="181" t="inlineStr">
        <is>
          <t>dopaminergic_modulation</t>
        </is>
      </c>
      <c r="B428" s="181" t="inlineStr">
        <is>
          <t>pseudoephedrine</t>
        </is>
      </c>
      <c r="C428" s="181" t="inlineStr">
        <is>
          <t>pseudoephedrine</t>
        </is>
      </c>
      <c r="D428" s="181" t="inlineStr">
        <is>
          <t>ephedra; ephedra-sinica</t>
        </is>
      </c>
      <c r="E428" s="181" t="inlineStr">
        <is>
          <t>ephedra; ephedra sinica</t>
        </is>
      </c>
      <c r="F428" s="181" t="n">
        <v>2</v>
      </c>
      <c r="G428" s="181" t="inlineStr">
        <is>
          <t>multi-target signaling modulation</t>
        </is>
      </c>
      <c r="H428" s="181" t="inlineStr">
        <is>
          <t>inferred_plus_trusted_gov; trusted_gov_added</t>
        </is>
      </c>
    </row>
    <row r="429">
      <c r="A429" s="181" t="inlineStr">
        <is>
          <t>general or unknown targets</t>
        </is>
      </c>
      <c r="B429" s="181" t="inlineStr">
        <is>
          <t>pseudoephedrine</t>
        </is>
      </c>
      <c r="C429" s="181" t="inlineStr">
        <is>
          <t>pseudoephedrine</t>
        </is>
      </c>
      <c r="D429" s="181" t="inlineStr">
        <is>
          <t>ephedra; ephedra-sinica</t>
        </is>
      </c>
      <c r="E429" s="181" t="inlineStr">
        <is>
          <t>ephedra; ephedra sinica</t>
        </is>
      </c>
      <c r="F429" s="181" t="n">
        <v>2</v>
      </c>
      <c r="G429" s="181" t="inlineStr">
        <is>
          <t>multi-target signaling modulation</t>
        </is>
      </c>
      <c r="H429" s="181" t="inlineStr">
        <is>
          <t>inferred_plus_trusted_gov; trusted_gov_added</t>
        </is>
      </c>
    </row>
    <row r="430">
      <c r="A430" s="181" t="inlineStr">
        <is>
          <t>dopaminergic_modulation</t>
        </is>
      </c>
      <c r="B430" s="181" t="inlineStr">
        <is>
          <t>ephedrine</t>
        </is>
      </c>
      <c r="C430" s="181" t="inlineStr">
        <is>
          <t>ephedrine</t>
        </is>
      </c>
      <c r="D430" s="181" t="inlineStr">
        <is>
          <t>ephedra; ephedra-sinica</t>
        </is>
      </c>
      <c r="E430" s="181" t="inlineStr">
        <is>
          <t>ephedra; ephedra sinica</t>
        </is>
      </c>
      <c r="F430" s="181" t="n">
        <v>2</v>
      </c>
      <c r="G430" s="181" t="inlineStr">
        <is>
          <t>multi-target signaling modulation</t>
        </is>
      </c>
      <c r="H430" s="181" t="inlineStr">
        <is>
          <t>inferred_plus_trusted_gov; trusted_gov_added</t>
        </is>
      </c>
    </row>
    <row r="431">
      <c r="A431" s="181" t="inlineStr">
        <is>
          <t>general or unknown targets</t>
        </is>
      </c>
      <c r="B431" s="181" t="inlineStr">
        <is>
          <t>ephedrine</t>
        </is>
      </c>
      <c r="C431" s="181" t="inlineStr">
        <is>
          <t>ephedrine</t>
        </is>
      </c>
      <c r="D431" s="181" t="inlineStr">
        <is>
          <t>ephedra; ephedra-sinica</t>
        </is>
      </c>
      <c r="E431" s="181" t="inlineStr">
        <is>
          <t>ephedra; ephedra sinica</t>
        </is>
      </c>
      <c r="F431" s="181" t="n">
        <v>2</v>
      </c>
      <c r="G431" s="181" t="inlineStr">
        <is>
          <t>multi-target signaling modulation</t>
        </is>
      </c>
      <c r="H431" s="181" t="inlineStr">
        <is>
          <t>inferred_plus_trusted_gov; trusted_gov_added</t>
        </is>
      </c>
    </row>
    <row r="432">
      <c r="A432" s="181" t="inlineStr">
        <is>
          <t>general or unknown targets</t>
        </is>
      </c>
      <c r="B432" s="181" t="inlineStr">
        <is>
          <t>silica</t>
        </is>
      </c>
      <c r="C432" s="181" t="inlineStr">
        <is>
          <t>silica</t>
        </is>
      </c>
      <c r="D432" s="181" t="inlineStr">
        <is>
          <t>equisetum-arvense</t>
        </is>
      </c>
      <c r="E432" s="181" t="inlineStr">
        <is>
          <t>equisetum arvense</t>
        </is>
      </c>
      <c r="F432" s="181" t="n">
        <v>1</v>
      </c>
      <c r="G432" s="181" t="inlineStr">
        <is>
          <t>multi-target signaling modulation</t>
        </is>
      </c>
      <c r="H432" s="181" t="inlineStr">
        <is>
          <t>inferred_plus_trusted_gov</t>
        </is>
      </c>
    </row>
    <row r="433">
      <c r="A433" s="181" t="inlineStr">
        <is>
          <t>general or unknown targets</t>
        </is>
      </c>
      <c r="B433" s="181" t="inlineStr">
        <is>
          <t>eryngial</t>
        </is>
      </c>
      <c r="C433" s="181" t="inlineStr">
        <is>
          <t>eryngial</t>
        </is>
      </c>
      <c r="D433" s="181" t="inlineStr">
        <is>
          <t>eryngium-foetidum</t>
        </is>
      </c>
      <c r="E433" s="181" t="inlineStr">
        <is>
          <t>eryngium foetidum</t>
        </is>
      </c>
      <c r="F433" s="181" t="n">
        <v>1</v>
      </c>
      <c r="G433" s="181" t="inlineStr">
        <is>
          <t>multi-target signaling modulation</t>
        </is>
      </c>
      <c r="H433" s="181" t="inlineStr">
        <is>
          <t>inferred_plus_trusted_gov</t>
        </is>
      </c>
    </row>
    <row r="434">
      <c r="A434" s="181" t="inlineStr">
        <is>
          <t>dopaminergic_modulation</t>
        </is>
      </c>
      <c r="B434" s="181" t="inlineStr">
        <is>
          <t>cinnamoylcocaine</t>
        </is>
      </c>
      <c r="C434" s="181" t="inlineStr">
        <is>
          <t>cinnamoylcocaine</t>
        </is>
      </c>
      <c r="D434" s="181" t="inlineStr">
        <is>
          <t>erythroxylum-coca; erythroxylum-novogranatense</t>
        </is>
      </c>
      <c r="E434" s="181" t="inlineStr">
        <is>
          <t>erythroxylum coca; erythroxylum novogranatense</t>
        </is>
      </c>
      <c r="F434" s="181" t="n">
        <v>2</v>
      </c>
      <c r="G434" s="181" t="inlineStr">
        <is>
          <t>multi-target signaling modulation</t>
        </is>
      </c>
      <c r="H434" s="181" t="inlineStr">
        <is>
          <t>inferred_plus_trusted_gov; trusted_gov_added</t>
        </is>
      </c>
    </row>
    <row r="435">
      <c r="A435" s="181" t="inlineStr">
        <is>
          <t>general or unknown targets</t>
        </is>
      </c>
      <c r="B435" s="181" t="inlineStr">
        <is>
          <t>cinnamoylcocaine</t>
        </is>
      </c>
      <c r="C435" s="181" t="inlineStr">
        <is>
          <t>cinnamoylcocaine</t>
        </is>
      </c>
      <c r="D435" s="181" t="inlineStr">
        <is>
          <t>erythroxylum-coca; erythroxylum-novogranatense</t>
        </is>
      </c>
      <c r="E435" s="181" t="inlineStr">
        <is>
          <t>erythroxylum coca; erythroxylum novogranatense</t>
        </is>
      </c>
      <c r="F435" s="181" t="n">
        <v>2</v>
      </c>
      <c r="G435" s="181" t="inlineStr">
        <is>
          <t>multi-target signaling modulation</t>
        </is>
      </c>
      <c r="H435" s="181" t="inlineStr">
        <is>
          <t>inferred_plus_trusted_gov; trusted_gov_added</t>
        </is>
      </c>
    </row>
    <row r="436">
      <c r="A436" s="181" t="inlineStr">
        <is>
          <t>general or unknown targets</t>
        </is>
      </c>
      <c r="B436" s="181" t="inlineStr">
        <is>
          <t>eucalyptol cineole</t>
        </is>
      </c>
      <c r="C436" s="181" t="inlineStr">
        <is>
          <t>eucalyptol (cineole)</t>
        </is>
      </c>
      <c r="D436" s="181" t="inlineStr">
        <is>
          <t>eucalyptus-globulus</t>
        </is>
      </c>
      <c r="E436" s="181" t="inlineStr">
        <is>
          <t>eucalyptus globulus</t>
        </is>
      </c>
      <c r="F436" s="181" t="n">
        <v>1</v>
      </c>
      <c r="G436" s="181" t="inlineStr">
        <is>
          <t>multi-target signaling modulation</t>
        </is>
      </c>
      <c r="H436" s="181" t="inlineStr">
        <is>
          <t>inferred_plus_trusted_gov</t>
        </is>
      </c>
    </row>
    <row r="437">
      <c r="A437" s="181" t="inlineStr">
        <is>
          <t>general or unknown targets</t>
        </is>
      </c>
      <c r="B437" s="181" t="inlineStr">
        <is>
          <t>ferulenol</t>
        </is>
      </c>
      <c r="C437" s="181" t="inlineStr">
        <is>
          <t>ferulenol</t>
        </is>
      </c>
      <c r="D437" s="181" t="inlineStr">
        <is>
          <t>ferula-communis</t>
        </is>
      </c>
      <c r="E437" s="181" t="inlineStr">
        <is>
          <t>ferula communis</t>
        </is>
      </c>
      <c r="F437" s="181" t="n">
        <v>1</v>
      </c>
      <c r="G437" s="181" t="inlineStr">
        <is>
          <t>multi-target signaling modulation</t>
        </is>
      </c>
      <c r="H437" s="181" t="inlineStr">
        <is>
          <t>inferred_plus_trusted_gov</t>
        </is>
      </c>
    </row>
    <row r="438">
      <c r="A438" s="181" t="inlineStr">
        <is>
          <t>general or unknown targets</t>
        </is>
      </c>
      <c r="B438" s="181" t="inlineStr">
        <is>
          <t>fenchone</t>
        </is>
      </c>
      <c r="C438" s="181" t="inlineStr">
        <is>
          <t>fenchone</t>
        </is>
      </c>
      <c r="D438" s="181" t="inlineStr">
        <is>
          <t>foeniculum-vulgare</t>
        </is>
      </c>
      <c r="E438" s="181" t="inlineStr">
        <is>
          <t>foeniculum vulgare</t>
        </is>
      </c>
      <c r="F438" s="181" t="n">
        <v>1</v>
      </c>
      <c r="G438" s="181" t="inlineStr">
        <is>
          <t>multi-target signaling modulation</t>
        </is>
      </c>
      <c r="H438" s="181" t="inlineStr">
        <is>
          <t>inferred_plus_trusted_gov</t>
        </is>
      </c>
    </row>
    <row r="439">
      <c r="A439" s="181" t="inlineStr">
        <is>
          <t>general or unknown targets</t>
        </is>
      </c>
      <c r="B439" s="181" t="inlineStr">
        <is>
          <t>gitoxin</t>
        </is>
      </c>
      <c r="C439" s="181" t="inlineStr">
        <is>
          <t>gitoxin</t>
        </is>
      </c>
      <c r="D439" s="181" t="inlineStr">
        <is>
          <t>foxglove</t>
        </is>
      </c>
      <c r="E439" s="181" t="inlineStr">
        <is>
          <t>foxglove</t>
        </is>
      </c>
      <c r="F439" s="181" t="n">
        <v>1</v>
      </c>
      <c r="G439" s="181" t="inlineStr">
        <is>
          <t>multi-target signaling modulation</t>
        </is>
      </c>
      <c r="H439" s="181" t="inlineStr">
        <is>
          <t>trusted_gov_added</t>
        </is>
      </c>
    </row>
    <row r="440">
      <c r="A440" s="181" t="inlineStr">
        <is>
          <t>general or unknown targets</t>
        </is>
      </c>
      <c r="B440" s="181" t="inlineStr">
        <is>
          <t>digitoxin</t>
        </is>
      </c>
      <c r="C440" s="181" t="inlineStr">
        <is>
          <t>digitoxin</t>
        </is>
      </c>
      <c r="D440" s="181" t="inlineStr">
        <is>
          <t>foxglove</t>
        </is>
      </c>
      <c r="E440" s="181" t="inlineStr">
        <is>
          <t>foxglove</t>
        </is>
      </c>
      <c r="F440" s="181" t="n">
        <v>1</v>
      </c>
      <c r="G440" s="181" t="inlineStr">
        <is>
          <t>multi-target signaling modulation</t>
        </is>
      </c>
      <c r="H440" s="181" t="inlineStr">
        <is>
          <t>trusted_gov_added</t>
        </is>
      </c>
    </row>
    <row r="441">
      <c r="A441" s="181" t="inlineStr">
        <is>
          <t>general or unknown targets</t>
        </is>
      </c>
      <c r="B441" s="181" t="inlineStr">
        <is>
          <t>digoxin</t>
        </is>
      </c>
      <c r="C441" s="181" t="inlineStr">
        <is>
          <t>digoxin</t>
        </is>
      </c>
      <c r="D441" s="181" t="inlineStr">
        <is>
          <t>foxglove</t>
        </is>
      </c>
      <c r="E441" s="181" t="inlineStr">
        <is>
          <t>foxglove</t>
        </is>
      </c>
      <c r="F441" s="181" t="n">
        <v>1</v>
      </c>
      <c r="G441" s="181" t="inlineStr">
        <is>
          <t>multi-target signaling modulation</t>
        </is>
      </c>
      <c r="H441" s="181" t="inlineStr">
        <is>
          <t>trusted_gov_added</t>
        </is>
      </c>
    </row>
    <row r="442">
      <c r="A442" s="181" t="inlineStr">
        <is>
          <t>general or unknown targets</t>
        </is>
      </c>
      <c r="B442" s="181" t="inlineStr">
        <is>
          <t>acetyl-beta-boswellic acid</t>
        </is>
      </c>
      <c r="C442" s="181" t="inlineStr">
        <is>
          <t>acetyl-beta-boswellic acid</t>
        </is>
      </c>
      <c r="D442" s="181" t="inlineStr">
        <is>
          <t>frankincense-boswellia</t>
        </is>
      </c>
      <c r="E442" s="181" t="inlineStr">
        <is>
          <t>frankincense (boswellia)</t>
        </is>
      </c>
      <c r="F442" s="181" t="n">
        <v>1</v>
      </c>
      <c r="G442" s="181" t="inlineStr">
        <is>
          <t>multi-target signaling modulation</t>
        </is>
      </c>
      <c r="H442" s="181" t="inlineStr">
        <is>
          <t>trusted_gov_added</t>
        </is>
      </c>
    </row>
    <row r="443">
      <c r="A443" s="181" t="inlineStr">
        <is>
          <t>general or unknown targets</t>
        </is>
      </c>
      <c r="B443" s="181" t="inlineStr">
        <is>
          <t>acetyl-11-keto-beta-boswellic acid</t>
        </is>
      </c>
      <c r="C443" s="181" t="inlineStr">
        <is>
          <t>acetyl-11-keto-beta-boswellic acid (akba)</t>
        </is>
      </c>
      <c r="D443" s="181" t="inlineStr">
        <is>
          <t>frankincense-boswellia</t>
        </is>
      </c>
      <c r="E443" s="181" t="inlineStr">
        <is>
          <t>frankincense (boswellia)</t>
        </is>
      </c>
      <c r="F443" s="181" t="n">
        <v>1</v>
      </c>
      <c r="G443" s="181" t="inlineStr">
        <is>
          <t>multi-target signaling modulation</t>
        </is>
      </c>
      <c r="H443" s="181" t="inlineStr">
        <is>
          <t>trusted_gov_added</t>
        </is>
      </c>
    </row>
    <row r="444">
      <c r="A444" s="181" t="inlineStr">
        <is>
          <t>general or unknown targets</t>
        </is>
      </c>
      <c r="B444" s="181" t="inlineStr">
        <is>
          <t>11-keto-beta-boswellic acid</t>
        </is>
      </c>
      <c r="C444" s="181" t="inlineStr">
        <is>
          <t>11-keto-beta-boswellic acid</t>
        </is>
      </c>
      <c r="D444" s="181" t="inlineStr">
        <is>
          <t>frankincense-boswellia</t>
        </is>
      </c>
      <c r="E444" s="181" t="inlineStr">
        <is>
          <t>frankincense (boswellia)</t>
        </is>
      </c>
      <c r="F444" s="181" t="n">
        <v>1</v>
      </c>
      <c r="G444" s="181" t="inlineStr">
        <is>
          <t>multi-target signaling modulation</t>
        </is>
      </c>
      <c r="H444" s="181" t="inlineStr">
        <is>
          <t>trusted_gov_added</t>
        </is>
      </c>
    </row>
    <row r="445">
      <c r="A445" s="181" t="inlineStr">
        <is>
          <t>general or unknown targets</t>
        </is>
      </c>
      <c r="B445" s="181" t="inlineStr">
        <is>
          <t>iodine</t>
        </is>
      </c>
      <c r="C445" s="181" t="inlineStr">
        <is>
          <t>iodine</t>
        </is>
      </c>
      <c r="D445" s="181" t="inlineStr">
        <is>
          <t>fucus-vesiculosus; laminaria-digitata</t>
        </is>
      </c>
      <c r="E445" s="181" t="inlineStr">
        <is>
          <t>fucus vesiculosus; laminaria digitata</t>
        </is>
      </c>
      <c r="F445" s="181" t="n">
        <v>2</v>
      </c>
      <c r="G445" s="181" t="inlineStr">
        <is>
          <t>multi-target signaling modulation</t>
        </is>
      </c>
      <c r="H445" s="181" t="inlineStr">
        <is>
          <t>inferred_plus_trusted_gov</t>
        </is>
      </c>
    </row>
    <row r="446">
      <c r="A446" s="181" t="inlineStr">
        <is>
          <t>general or unknown targets</t>
        </is>
      </c>
      <c r="B446" s="181" t="inlineStr">
        <is>
          <t>fucoidan</t>
        </is>
      </c>
      <c r="C446" s="181" t="inlineStr">
        <is>
          <t>fucoidan</t>
        </is>
      </c>
      <c r="D446" s="181" t="inlineStr">
        <is>
          <t>fucus-vesiculosus; laminaria-digitata</t>
        </is>
      </c>
      <c r="E446" s="181" t="inlineStr">
        <is>
          <t>fucus vesiculosus; laminaria digitata</t>
        </is>
      </c>
      <c r="F446" s="181" t="n">
        <v>2</v>
      </c>
      <c r="G446" s="181" t="inlineStr">
        <is>
          <t>multi-target signaling modulation</t>
        </is>
      </c>
      <c r="H446" s="181" t="inlineStr">
        <is>
          <t>inferred_plus_trusted_gov</t>
        </is>
      </c>
    </row>
    <row r="447">
      <c r="A447" s="181" t="inlineStr">
        <is>
          <t>general or unknown targets</t>
        </is>
      </c>
      <c r="B447" s="181" t="inlineStr">
        <is>
          <t>asperuloside</t>
        </is>
      </c>
      <c r="C447" s="181" t="inlineStr">
        <is>
          <t>asperuloside</t>
        </is>
      </c>
      <c r="D447" s="181" t="inlineStr">
        <is>
          <t>galium-aparine</t>
        </is>
      </c>
      <c r="E447" s="181" t="inlineStr">
        <is>
          <t>galium aparine</t>
        </is>
      </c>
      <c r="F447" s="181" t="n">
        <v>1</v>
      </c>
      <c r="G447" s="181" t="inlineStr">
        <is>
          <t>multi-target signaling modulation</t>
        </is>
      </c>
      <c r="H447" s="181" t="inlineStr">
        <is>
          <t>inferred_plus_trusted_gov</t>
        </is>
      </c>
    </row>
    <row r="448">
      <c r="A448" s="181" t="inlineStr">
        <is>
          <t>general or unknown targets</t>
        </is>
      </c>
      <c r="B448" s="181" t="inlineStr">
        <is>
          <t>hydroxycitric acid</t>
        </is>
      </c>
      <c r="C448" s="181" t="inlineStr">
        <is>
          <t>hydroxycitric acid (hca)</t>
        </is>
      </c>
      <c r="D448" s="181" t="inlineStr">
        <is>
          <t>garcinia-cambogia</t>
        </is>
      </c>
      <c r="E448" s="181" t="inlineStr">
        <is>
          <t>garcinia cambogia</t>
        </is>
      </c>
      <c r="F448" s="181" t="n">
        <v>1</v>
      </c>
      <c r="G448" s="181" t="inlineStr">
        <is>
          <t>multi-target signaling modulation</t>
        </is>
      </c>
      <c r="H448" s="181" t="inlineStr">
        <is>
          <t>inferred_plus_trusted_gov</t>
        </is>
      </c>
    </row>
    <row r="449">
      <c r="A449" s="181" t="inlineStr">
        <is>
          <t>general or unknown targets</t>
        </is>
      </c>
      <c r="B449" s="181" t="inlineStr">
        <is>
          <t>geniposide</t>
        </is>
      </c>
      <c r="C449" s="181" t="inlineStr">
        <is>
          <t>geniposide</t>
        </is>
      </c>
      <c r="D449" s="181" t="inlineStr">
        <is>
          <t>gardenia-jasminoides</t>
        </is>
      </c>
      <c r="E449" s="181" t="inlineStr">
        <is>
          <t>gardenia jasminoides</t>
        </is>
      </c>
      <c r="F449" s="181" t="n">
        <v>1</v>
      </c>
      <c r="G449" s="181" t="inlineStr">
        <is>
          <t>multi-target signaling modulation</t>
        </is>
      </c>
      <c r="H449" s="181" t="inlineStr">
        <is>
          <t>inferred_plus_trusted_gov</t>
        </is>
      </c>
    </row>
    <row r="450">
      <c r="A450" s="181" t="inlineStr">
        <is>
          <t>general or unknown targets</t>
        </is>
      </c>
      <c r="B450" s="181" t="inlineStr">
        <is>
          <t>amarogentin</t>
        </is>
      </c>
      <c r="C450" s="181" t="inlineStr">
        <is>
          <t>amarogentin</t>
        </is>
      </c>
      <c r="D450" s="181" t="inlineStr">
        <is>
          <t>gentiana-lutea</t>
        </is>
      </c>
      <c r="E450" s="181" t="inlineStr">
        <is>
          <t>gentiana lutea</t>
        </is>
      </c>
      <c r="F450" s="181" t="n">
        <v>1</v>
      </c>
      <c r="G450" s="181" t="inlineStr">
        <is>
          <t>multi-target signaling modulation</t>
        </is>
      </c>
      <c r="H450" s="181" t="inlineStr">
        <is>
          <t>inferred_plus_trusted_gov</t>
        </is>
      </c>
    </row>
    <row r="451">
      <c r="A451" s="181" t="inlineStr">
        <is>
          <t>general or unknown targets</t>
        </is>
      </c>
      <c r="B451" s="181" t="inlineStr">
        <is>
          <t>geraniin</t>
        </is>
      </c>
      <c r="C451" s="181" t="inlineStr">
        <is>
          <t>geraniin</t>
        </is>
      </c>
      <c r="D451" s="181" t="inlineStr">
        <is>
          <t>geranium-robertianum</t>
        </is>
      </c>
      <c r="E451" s="181" t="inlineStr">
        <is>
          <t>geranium robertianum</t>
        </is>
      </c>
      <c r="F451" s="181" t="n">
        <v>1</v>
      </c>
      <c r="G451" s="181" t="inlineStr">
        <is>
          <t>multi-target signaling modulation</t>
        </is>
      </c>
      <c r="H451" s="181" t="inlineStr">
        <is>
          <t>inferred_plus_trusted_gov</t>
        </is>
      </c>
    </row>
    <row r="452">
      <c r="A452" s="181" t="inlineStr">
        <is>
          <t>inflammatory_pathway_modulation</t>
        </is>
      </c>
      <c r="B452" s="181" t="inlineStr">
        <is>
          <t>6-gingerol</t>
        </is>
      </c>
      <c r="C452" s="181" t="inlineStr">
        <is>
          <t>6-gingerol</t>
        </is>
      </c>
      <c r="D452" s="181" t="inlineStr">
        <is>
          <t>zingiber-officinale</t>
        </is>
      </c>
      <c r="E452" s="181" t="inlineStr">
        <is>
          <t>ginger</t>
        </is>
      </c>
      <c r="F452" s="181" t="n">
        <v>1</v>
      </c>
      <c r="G452" s="181" t="inlineStr">
        <is>
          <t>COX/NF-kB inhibition</t>
        </is>
      </c>
      <c r="H452" s="181" t="inlineStr">
        <is>
          <t>trusted_gov_added</t>
        </is>
      </c>
    </row>
    <row r="453">
      <c r="A453" s="181" t="inlineStr">
        <is>
          <t>inflammatory_pathway_modulation</t>
        </is>
      </c>
      <c r="B453" s="181" t="inlineStr">
        <is>
          <t>zingerone</t>
        </is>
      </c>
      <c r="C453" s="181" t="inlineStr">
        <is>
          <t>zingerone</t>
        </is>
      </c>
      <c r="D453" s="181" t="inlineStr">
        <is>
          <t>zingiber-officinale</t>
        </is>
      </c>
      <c r="E453" s="181" t="inlineStr">
        <is>
          <t>ginger</t>
        </is>
      </c>
      <c r="F453" s="181" t="n">
        <v>1</v>
      </c>
      <c r="G453" s="181" t="inlineStr">
        <is>
          <t>COX/NF-kB inhibition</t>
        </is>
      </c>
      <c r="H453" s="181" t="inlineStr">
        <is>
          <t>trusted_gov_added</t>
        </is>
      </c>
    </row>
    <row r="454">
      <c r="A454" s="181" t="inlineStr">
        <is>
          <t>gabaergic_modulation</t>
        </is>
      </c>
      <c r="B454" s="181" t="inlineStr">
        <is>
          <t>bilobalide</t>
        </is>
      </c>
      <c r="C454" s="181" t="inlineStr">
        <is>
          <t>bilobalide</t>
        </is>
      </c>
      <c r="D454" s="181" t="inlineStr">
        <is>
          <t>ginkgo-biloba</t>
        </is>
      </c>
      <c r="E454" s="181" t="inlineStr">
        <is>
          <t>ginkgo biloba</t>
        </is>
      </c>
      <c r="F454" s="181" t="n">
        <v>1</v>
      </c>
      <c r="G454" s="181" t="inlineStr">
        <is>
          <t>GABAergic modulation</t>
        </is>
      </c>
      <c r="H454" s="181" t="inlineStr">
        <is>
          <t>trusted_gov_added</t>
        </is>
      </c>
    </row>
    <row r="455">
      <c r="A455" s="181" t="inlineStr">
        <is>
          <t>general or unknown targets</t>
        </is>
      </c>
      <c r="B455" s="181" t="inlineStr">
        <is>
          <t>glycyrrhizin</t>
        </is>
      </c>
      <c r="C455" s="181" t="inlineStr">
        <is>
          <t>glycyrrhizin</t>
        </is>
      </c>
      <c r="D455" s="181" t="inlineStr">
        <is>
          <t>glycyrrhiza-glabra</t>
        </is>
      </c>
      <c r="E455" s="181" t="inlineStr">
        <is>
          <t>glycyrrhiza glabra</t>
        </is>
      </c>
      <c r="F455" s="181" t="n">
        <v>1</v>
      </c>
      <c r="G455" s="181" t="inlineStr">
        <is>
          <t>multi-target signaling modulation</t>
        </is>
      </c>
      <c r="H455" s="181" t="inlineStr">
        <is>
          <t>inferred_plus_trusted_gov</t>
        </is>
      </c>
    </row>
    <row r="456">
      <c r="A456" s="181" t="inlineStr">
        <is>
          <t>inflammatory_pathway_modulation</t>
        </is>
      </c>
      <c r="B456" s="181" t="inlineStr">
        <is>
          <t>madecassic acid</t>
        </is>
      </c>
      <c r="C456" s="181" t="inlineStr">
        <is>
          <t>madecassic acid</t>
        </is>
      </c>
      <c r="D456" s="181" t="inlineStr">
        <is>
          <t>gotu-kola</t>
        </is>
      </c>
      <c r="E456" s="181" t="inlineStr">
        <is>
          <t>gotu kola</t>
        </is>
      </c>
      <c r="F456" s="181" t="n">
        <v>1</v>
      </c>
      <c r="G456" s="181" t="inlineStr">
        <is>
          <t>COX/NF-kB inhibition</t>
        </is>
      </c>
      <c r="H456" s="181" t="inlineStr">
        <is>
          <t>inferred_plus_trusted_gov</t>
        </is>
      </c>
    </row>
    <row r="457">
      <c r="A457" s="181" t="inlineStr">
        <is>
          <t>general or unknown targets</t>
        </is>
      </c>
      <c r="B457" s="181" t="inlineStr">
        <is>
          <t>grindelic acid</t>
        </is>
      </c>
      <c r="C457" s="181" t="inlineStr">
        <is>
          <t>grindelic acid</t>
        </is>
      </c>
      <c r="D457" s="181" t="inlineStr">
        <is>
          <t>grindelia-robusta</t>
        </is>
      </c>
      <c r="E457" s="181" t="inlineStr">
        <is>
          <t>grindelia robusta</t>
        </is>
      </c>
      <c r="F457" s="181" t="n">
        <v>1</v>
      </c>
      <c r="G457" s="181" t="inlineStr">
        <is>
          <t>multi-target signaling modulation</t>
        </is>
      </c>
      <c r="H457" s="181" t="inlineStr">
        <is>
          <t>inferred_plus_trusted_gov</t>
        </is>
      </c>
    </row>
    <row r="458">
      <c r="A458" s="181" t="inlineStr">
        <is>
          <t>adenosine_antagonism</t>
        </is>
      </c>
      <c r="B458" s="181" t="inlineStr">
        <is>
          <t>theophylline</t>
        </is>
      </c>
      <c r="C458" s="181" t="inlineStr">
        <is>
          <t>theophylline</t>
        </is>
      </c>
      <c r="D458" s="181" t="inlineStr">
        <is>
          <t>guarana</t>
        </is>
      </c>
      <c r="E458" s="181" t="inlineStr">
        <is>
          <t>guarana</t>
        </is>
      </c>
      <c r="F458" s="181" t="n">
        <v>1</v>
      </c>
      <c r="G458" s="181" t="inlineStr">
        <is>
          <t>adenosine receptor antagonism</t>
        </is>
      </c>
      <c r="H458" s="181" t="inlineStr">
        <is>
          <t>trusted_gov_added</t>
        </is>
      </c>
    </row>
    <row r="459">
      <c r="A459" s="181" t="inlineStr">
        <is>
          <t>ADORA1, ADORA2A (adenosine receptors)</t>
        </is>
      </c>
      <c r="B459" s="181" t="inlineStr">
        <is>
          <t>theobromine</t>
        </is>
      </c>
      <c r="C459" s="181" t="inlineStr">
        <is>
          <t>theobromine</t>
        </is>
      </c>
      <c r="D459" s="181" t="inlineStr">
        <is>
          <t>guarana; ilex-guayusa; ilex-paraguariensis; paullinia-cupana; theobroma-bicolor; theobroma-cacao</t>
        </is>
      </c>
      <c r="E459" s="181" t="inlineStr">
        <is>
          <t>guarana; ilex guayusa; ilex paraguariensis; paullinia cupana; theobroma bicolor; theobroma cacao; yerba mate</t>
        </is>
      </c>
      <c r="F459" s="181" t="n">
        <v>6</v>
      </c>
      <c r="G459" s="181" t="inlineStr">
        <is>
          <t>adenosine receptor antagonism; multi-target signaling modulation</t>
        </is>
      </c>
      <c r="H459" s="181" t="inlineStr">
        <is>
          <t>inferred_plus_trusted_gov; trusted_gov_added</t>
        </is>
      </c>
    </row>
    <row r="460">
      <c r="A460" s="181" t="inlineStr">
        <is>
          <t>adenosine_antagonism</t>
        </is>
      </c>
      <c r="B460" s="181" t="inlineStr">
        <is>
          <t>theobromine</t>
        </is>
      </c>
      <c r="C460" s="181" t="inlineStr">
        <is>
          <t>theobromine</t>
        </is>
      </c>
      <c r="D460" s="181" t="inlineStr">
        <is>
          <t>guarana; ilex-guayusa; ilex-paraguariensis; paullinia-cupana; theobroma-bicolor; theobroma-cacao</t>
        </is>
      </c>
      <c r="E460" s="181" t="inlineStr">
        <is>
          <t>guarana; ilex guayusa; ilex paraguariensis; paullinia cupana; theobroma bicolor; theobroma cacao; yerba mate</t>
        </is>
      </c>
      <c r="F460" s="181" t="n">
        <v>6</v>
      </c>
      <c r="G460" s="181" t="inlineStr">
        <is>
          <t>adenosine receptor antagonism; multi-target signaling modulation</t>
        </is>
      </c>
      <c r="H460" s="181" t="inlineStr">
        <is>
          <t>inferred_plus_trusted_gov; trusted_gov_added</t>
        </is>
      </c>
    </row>
    <row r="461">
      <c r="A461" s="181" t="inlineStr">
        <is>
          <t>dopaminergic_modulation</t>
        </is>
      </c>
      <c r="B461" s="181" t="inlineStr">
        <is>
          <t>theobromine</t>
        </is>
      </c>
      <c r="C461" s="181" t="inlineStr">
        <is>
          <t>theobromine</t>
        </is>
      </c>
      <c r="D461" s="181" t="inlineStr">
        <is>
          <t>guarana; ilex-guayusa; ilex-paraguariensis; paullinia-cupana; theobroma-bicolor; theobroma-cacao</t>
        </is>
      </c>
      <c r="E461" s="181" t="inlineStr">
        <is>
          <t>guarana; ilex guayusa; ilex paraguariensis; paullinia cupana; theobroma bicolor; theobroma cacao; yerba mate</t>
        </is>
      </c>
      <c r="F461" s="181" t="n">
        <v>6</v>
      </c>
      <c r="G461" s="181" t="inlineStr">
        <is>
          <t>adenosine receptor antagonism; multi-target signaling modulation</t>
        </is>
      </c>
      <c r="H461" s="181" t="inlineStr">
        <is>
          <t>inferred_plus_trusted_gov; trusted_gov_added</t>
        </is>
      </c>
    </row>
    <row r="462">
      <c r="A462" s="181" t="inlineStr">
        <is>
          <t>general or unknown targets</t>
        </is>
      </c>
      <c r="B462" s="181" t="inlineStr">
        <is>
          <t>gurmarin</t>
        </is>
      </c>
      <c r="C462" s="181" t="inlineStr">
        <is>
          <t>gurmarin</t>
        </is>
      </c>
      <c r="D462" s="181" t="inlineStr">
        <is>
          <t>gymnema-sylvestre</t>
        </is>
      </c>
      <c r="E462" s="181" t="inlineStr">
        <is>
          <t>gymnema sylvestre</t>
        </is>
      </c>
      <c r="F462" s="181" t="n">
        <v>1</v>
      </c>
      <c r="G462" s="181" t="inlineStr">
        <is>
          <t>multi-target signaling modulation</t>
        </is>
      </c>
      <c r="H462" s="181" t="inlineStr">
        <is>
          <t>trusted_gov_added</t>
        </is>
      </c>
    </row>
    <row r="463">
      <c r="A463" s="181" t="inlineStr">
        <is>
          <t>general or unknown targets</t>
        </is>
      </c>
      <c r="B463" s="181" t="inlineStr">
        <is>
          <t>gypenosides dammarane-type saponins</t>
        </is>
      </c>
      <c r="C463" s="181" t="inlineStr">
        <is>
          <t>gypenosides (dammarane-type saponins)</t>
        </is>
      </c>
      <c r="D463" s="181" t="inlineStr">
        <is>
          <t>gynostemma-pentaphyllum</t>
        </is>
      </c>
      <c r="E463" s="181" t="inlineStr">
        <is>
          <t>gynostemma pentaphyllum</t>
        </is>
      </c>
      <c r="F463" s="181" t="n">
        <v>1</v>
      </c>
      <c r="G463" s="181" t="inlineStr">
        <is>
          <t>multi-target signaling modulation</t>
        </is>
      </c>
      <c r="H463" s="181" t="inlineStr">
        <is>
          <t>trusted_gov_added</t>
        </is>
      </c>
    </row>
    <row r="464">
      <c r="A464" s="181" t="inlineStr">
        <is>
          <t>general or unknown targets</t>
        </is>
      </c>
      <c r="B464" s="181" t="inlineStr">
        <is>
          <t>harpagoside</t>
        </is>
      </c>
      <c r="C464" s="181" t="inlineStr">
        <is>
          <t>harpagoside</t>
        </is>
      </c>
      <c r="D464" s="181" t="inlineStr">
        <is>
          <t>harpagophytum-procumbens</t>
        </is>
      </c>
      <c r="E464" s="181" t="inlineStr">
        <is>
          <t>harpagophytum procumbens</t>
        </is>
      </c>
      <c r="F464" s="181" t="n">
        <v>1</v>
      </c>
      <c r="G464" s="181" t="inlineStr">
        <is>
          <t>multi-target signaling modulation</t>
        </is>
      </c>
      <c r="H464" s="181" t="inlineStr">
        <is>
          <t>inferred_plus_trusted_gov</t>
        </is>
      </c>
    </row>
    <row r="465">
      <c r="A465" s="181" t="inlineStr">
        <is>
          <t>general or unknown targets</t>
        </is>
      </c>
      <c r="B465" s="181" t="inlineStr">
        <is>
          <t>saponins hederacoside</t>
        </is>
      </c>
      <c r="C465" s="181" t="inlineStr">
        <is>
          <t>saponins (hederacoside)</t>
        </is>
      </c>
      <c r="D465" s="181" t="inlineStr">
        <is>
          <t>hedera-helix</t>
        </is>
      </c>
      <c r="E465" s="181" t="inlineStr">
        <is>
          <t>hedera helix</t>
        </is>
      </c>
      <c r="F465" s="181" t="n">
        <v>1</v>
      </c>
      <c r="G465" s="181" t="inlineStr">
        <is>
          <t>multi-target signaling modulation</t>
        </is>
      </c>
      <c r="H465" s="181" t="inlineStr">
        <is>
          <t>inferred_plus_trusted_gov</t>
        </is>
      </c>
    </row>
    <row r="466">
      <c r="A466" s="181" t="inlineStr">
        <is>
          <t>general or unknown targets</t>
        </is>
      </c>
      <c r="B466" s="181" t="inlineStr">
        <is>
          <t>cryogenine vertine</t>
        </is>
      </c>
      <c r="C466" s="181" t="inlineStr">
        <is>
          <t>cryogenine (vertine)</t>
        </is>
      </c>
      <c r="D466" s="181" t="inlineStr">
        <is>
          <t>heimia; heimia-salicifolia-sinicuichi; sinicuichi</t>
        </is>
      </c>
      <c r="E466" s="181" t="inlineStr">
        <is>
          <t>heimia; heimia salicifolia (sinicuichi); sinicuichi</t>
        </is>
      </c>
      <c r="F466" s="181" t="n">
        <v>3</v>
      </c>
      <c r="G466" s="181" t="inlineStr">
        <is>
          <t>multi-target signaling modulation</t>
        </is>
      </c>
      <c r="H466" s="181" t="inlineStr">
        <is>
          <t>inferred_plus_trusted_gov; trusted_gov_added</t>
        </is>
      </c>
    </row>
    <row r="467">
      <c r="A467" s="181" t="inlineStr">
        <is>
          <t>inflammatory_pathway_modulation</t>
        </is>
      </c>
      <c r="B467" s="181" t="inlineStr">
        <is>
          <t>cryogenine vertine</t>
        </is>
      </c>
      <c r="C467" s="181" t="inlineStr">
        <is>
          <t>cryogenine (vertine)</t>
        </is>
      </c>
      <c r="D467" s="181" t="inlineStr">
        <is>
          <t>heimia; heimia-salicifolia-sinicuichi; sinicuichi</t>
        </is>
      </c>
      <c r="E467" s="181" t="inlineStr">
        <is>
          <t>heimia; heimia salicifolia (sinicuichi); sinicuichi</t>
        </is>
      </c>
      <c r="F467" s="181" t="n">
        <v>3</v>
      </c>
      <c r="G467" s="181" t="inlineStr">
        <is>
          <t>multi-target signaling modulation</t>
        </is>
      </c>
      <c r="H467" s="181" t="inlineStr">
        <is>
          <t>inferred_plus_trusted_gov; trusted_gov_added</t>
        </is>
      </c>
    </row>
    <row r="468">
      <c r="A468" s="181" t="inlineStr">
        <is>
          <t>general or unknown targets</t>
        </is>
      </c>
      <c r="B468" s="181" t="inlineStr">
        <is>
          <t>lythrine</t>
        </is>
      </c>
      <c r="C468" s="181" t="inlineStr">
        <is>
          <t>lythrine</t>
        </is>
      </c>
      <c r="D468" s="181" t="inlineStr">
        <is>
          <t>heimia</t>
        </is>
      </c>
      <c r="E468" s="181" t="inlineStr">
        <is>
          <t>heimia</t>
        </is>
      </c>
      <c r="F468" s="181" t="n">
        <v>1</v>
      </c>
      <c r="G468" s="181" t="inlineStr">
        <is>
          <t>multi-target signaling modulation</t>
        </is>
      </c>
      <c r="H468" s="181" t="inlineStr">
        <is>
          <t>inferred_plus_trusted_gov</t>
        </is>
      </c>
    </row>
    <row r="469">
      <c r="A469" s="181" t="inlineStr">
        <is>
          <t>general or unknown targets</t>
        </is>
      </c>
      <c r="B469" s="181" t="inlineStr">
        <is>
          <t>nesodine</t>
        </is>
      </c>
      <c r="C469" s="181" t="inlineStr">
        <is>
          <t>nesodine</t>
        </is>
      </c>
      <c r="D469" s="181" t="inlineStr">
        <is>
          <t>heimia</t>
        </is>
      </c>
      <c r="E469" s="181" t="inlineStr">
        <is>
          <t>heimia</t>
        </is>
      </c>
      <c r="F469" s="181" t="n">
        <v>1</v>
      </c>
      <c r="G469" s="181" t="inlineStr">
        <is>
          <t>multi-target signaling modulation</t>
        </is>
      </c>
      <c r="H469" s="181" t="inlineStr">
        <is>
          <t>inferred_plus_trusted_gov</t>
        </is>
      </c>
    </row>
    <row r="470">
      <c r="A470" s="181" t="inlineStr">
        <is>
          <t>general or unknown targets</t>
        </is>
      </c>
      <c r="B470" s="181" t="inlineStr">
        <is>
          <t>hibiscus acid</t>
        </is>
      </c>
      <c r="C470" s="181" t="inlineStr">
        <is>
          <t>hibiscus acid</t>
        </is>
      </c>
      <c r="D470" s="181" t="inlineStr">
        <is>
          <t>hibiscus-sabdariffa</t>
        </is>
      </c>
      <c r="E470" s="181" t="inlineStr">
        <is>
          <t>hibiscus sabdariffa</t>
        </is>
      </c>
      <c r="F470" s="181" t="n">
        <v>1</v>
      </c>
      <c r="G470" s="181" t="inlineStr">
        <is>
          <t>multi-target signaling modulation</t>
        </is>
      </c>
      <c r="H470" s="181" t="inlineStr">
        <is>
          <t>trusted_gov_added</t>
        </is>
      </c>
    </row>
    <row r="471">
      <c r="A471" s="181" t="inlineStr">
        <is>
          <t>general or unknown targets</t>
        </is>
      </c>
      <c r="B471" s="181" t="inlineStr">
        <is>
          <t>anthocyanins delphinidin</t>
        </is>
      </c>
      <c r="C471" s="181" t="inlineStr">
        <is>
          <t>anthocyanins (delphinidin</t>
        </is>
      </c>
      <c r="D471" s="181" t="inlineStr">
        <is>
          <t>hibiscus-sabdariffa</t>
        </is>
      </c>
      <c r="E471" s="181" t="inlineStr">
        <is>
          <t>hibiscus sabdariffa</t>
        </is>
      </c>
      <c r="F471" s="181" t="n">
        <v>1</v>
      </c>
      <c r="G471" s="181" t="inlineStr">
        <is>
          <t>multi-target signaling modulation</t>
        </is>
      </c>
      <c r="H471" s="181" t="inlineStr">
        <is>
          <t>trusted_gov_added</t>
        </is>
      </c>
    </row>
    <row r="472">
      <c r="A472" s="181" t="inlineStr">
        <is>
          <t>general or unknown targets</t>
        </is>
      </c>
      <c r="B472" s="181" t="inlineStr">
        <is>
          <t>cyanidin</t>
        </is>
      </c>
      <c r="C472" s="181" t="inlineStr">
        <is>
          <t>cyanidin)</t>
        </is>
      </c>
      <c r="D472" s="181" t="inlineStr">
        <is>
          <t>hibiscus-sabdariffa</t>
        </is>
      </c>
      <c r="E472" s="181" t="inlineStr">
        <is>
          <t>hibiscus sabdariffa</t>
        </is>
      </c>
      <c r="F472" s="181" t="n">
        <v>1</v>
      </c>
      <c r="G472" s="181" t="inlineStr">
        <is>
          <t>multi-target signaling modulation</t>
        </is>
      </c>
      <c r="H472" s="181" t="inlineStr">
        <is>
          <t>trusted_gov_added</t>
        </is>
      </c>
    </row>
    <row r="473">
      <c r="A473" s="181" t="inlineStr">
        <is>
          <t>general or unknown targets</t>
        </is>
      </c>
      <c r="B473" s="181" t="inlineStr">
        <is>
          <t>ursolic acid</t>
        </is>
      </c>
      <c r="C473" s="181" t="inlineStr">
        <is>
          <t>ursolic acid</t>
        </is>
      </c>
      <c r="D473" s="181" t="inlineStr">
        <is>
          <t>ocimum-sanctum; tulsi</t>
        </is>
      </c>
      <c r="E473" s="181" t="inlineStr">
        <is>
          <t>holy basil; ocimum sanctum; tulsi</t>
        </is>
      </c>
      <c r="F473" s="181" t="n">
        <v>2</v>
      </c>
      <c r="G473" s="181" t="inlineStr">
        <is>
          <t>COX/NF-kB inhibition; multi-target signaling modulation</t>
        </is>
      </c>
      <c r="H473" s="181" t="inlineStr">
        <is>
          <t>inferred_plus_trusted_gov; trusted_gov_added</t>
        </is>
      </c>
    </row>
    <row r="474">
      <c r="A474" s="181" t="inlineStr">
        <is>
          <t>inflammatory_pathway_modulation</t>
        </is>
      </c>
      <c r="B474" s="181" t="inlineStr">
        <is>
          <t>ursolic acid</t>
        </is>
      </c>
      <c r="C474" s="181" t="inlineStr">
        <is>
          <t>ursolic acid</t>
        </is>
      </c>
      <c r="D474" s="181" t="inlineStr">
        <is>
          <t>ocimum-sanctum; tulsi</t>
        </is>
      </c>
      <c r="E474" s="181" t="inlineStr">
        <is>
          <t>holy basil; ocimum sanctum; tulsi</t>
        </is>
      </c>
      <c r="F474" s="181" t="n">
        <v>2</v>
      </c>
      <c r="G474" s="181" t="inlineStr">
        <is>
          <t>COX/NF-kB inhibition; multi-target signaling modulation</t>
        </is>
      </c>
      <c r="H474" s="181" t="inlineStr">
        <is>
          <t>inferred_plus_trusted_gov; trusted_gov_added</t>
        </is>
      </c>
    </row>
    <row r="475">
      <c r="A475" s="181" t="inlineStr">
        <is>
          <t>general or unknown targets</t>
        </is>
      </c>
      <c r="B475" s="181" t="inlineStr">
        <is>
          <t>humulone</t>
        </is>
      </c>
      <c r="C475" s="181" t="inlineStr">
        <is>
          <t>humulone</t>
        </is>
      </c>
      <c r="D475" s="181" t="inlineStr">
        <is>
          <t>humulus-lupulus</t>
        </is>
      </c>
      <c r="E475" s="181" t="inlineStr">
        <is>
          <t>humulus lupulus</t>
        </is>
      </c>
      <c r="F475" s="181" t="n">
        <v>1</v>
      </c>
      <c r="G475" s="181" t="inlineStr">
        <is>
          <t>multi-target signaling modulation</t>
        </is>
      </c>
      <c r="H475" s="181" t="inlineStr">
        <is>
          <t>inferred_plus_trusted_gov</t>
        </is>
      </c>
    </row>
    <row r="476">
      <c r="A476" s="181" t="inlineStr">
        <is>
          <t>general or unknown targets</t>
        </is>
      </c>
      <c r="B476" s="181" t="inlineStr">
        <is>
          <t>lupulone</t>
        </is>
      </c>
      <c r="C476" s="181" t="inlineStr">
        <is>
          <t>lupulone</t>
        </is>
      </c>
      <c r="D476" s="181" t="inlineStr">
        <is>
          <t>humulus-lupulus</t>
        </is>
      </c>
      <c r="E476" s="181" t="inlineStr">
        <is>
          <t>humulus lupulus</t>
        </is>
      </c>
      <c r="F476" s="181" t="n">
        <v>1</v>
      </c>
      <c r="G476" s="181" t="inlineStr">
        <is>
          <t>multi-target signaling modulation</t>
        </is>
      </c>
      <c r="H476" s="181" t="inlineStr">
        <is>
          <t>inferred_plus_trusted_gov</t>
        </is>
      </c>
    </row>
    <row r="477">
      <c r="A477" s="181" t="inlineStr">
        <is>
          <t>general or unknown targets</t>
        </is>
      </c>
      <c r="B477" s="181" t="inlineStr">
        <is>
          <t>xanthohumol</t>
        </is>
      </c>
      <c r="C477" s="181" t="inlineStr">
        <is>
          <t>xanthohumol</t>
        </is>
      </c>
      <c r="D477" s="181" t="inlineStr">
        <is>
          <t>humulus-lupulus</t>
        </is>
      </c>
      <c r="E477" s="181" t="inlineStr">
        <is>
          <t>humulus lupulus</t>
        </is>
      </c>
      <c r="F477" s="181" t="n">
        <v>1</v>
      </c>
      <c r="G477" s="181" t="inlineStr">
        <is>
          <t>multi-target signaling modulation</t>
        </is>
      </c>
      <c r="H477" s="181" t="inlineStr">
        <is>
          <t>inferred_plus_trusted_gov</t>
        </is>
      </c>
    </row>
    <row r="478">
      <c r="A478" s="181" t="inlineStr">
        <is>
          <t>general or unknown targets</t>
        </is>
      </c>
      <c r="B478" s="181" t="inlineStr">
        <is>
          <t>hydrastine</t>
        </is>
      </c>
      <c r="C478" s="181" t="inlineStr">
        <is>
          <t>hydrastine</t>
        </is>
      </c>
      <c r="D478" s="181" t="inlineStr">
        <is>
          <t>hydrastis-canadensis</t>
        </is>
      </c>
      <c r="E478" s="181" t="inlineStr">
        <is>
          <t>hydrastis canadensis</t>
        </is>
      </c>
      <c r="F478" s="181" t="n">
        <v>1</v>
      </c>
      <c r="G478" s="181" t="inlineStr">
        <is>
          <t>multi-target signaling modulation</t>
        </is>
      </c>
      <c r="H478" s="181" t="inlineStr">
        <is>
          <t>inferred_plus_trusted_gov</t>
        </is>
      </c>
    </row>
    <row r="479">
      <c r="A479" s="181" t="inlineStr">
        <is>
          <t>general or unknown targets</t>
        </is>
      </c>
      <c r="B479" s="181" t="inlineStr">
        <is>
          <t>hyperforin</t>
        </is>
      </c>
      <c r="C479" s="181" t="inlineStr">
        <is>
          <t>hyperforin</t>
        </is>
      </c>
      <c r="D479" s="181" t="inlineStr">
        <is>
          <t>hypericum-perforatum</t>
        </is>
      </c>
      <c r="E479" s="181" t="inlineStr">
        <is>
          <t>hypericum perforatum</t>
        </is>
      </c>
      <c r="F479" s="181" t="n">
        <v>1</v>
      </c>
      <c r="G479" s="181" t="inlineStr">
        <is>
          <t>multi-target signaling modulation</t>
        </is>
      </c>
      <c r="H479" s="181" t="inlineStr">
        <is>
          <t>trusted_gov_added</t>
        </is>
      </c>
    </row>
    <row r="480">
      <c r="A480" s="181" t="inlineStr">
        <is>
          <t>general or unknown targets</t>
        </is>
      </c>
      <c r="B480" s="181" t="inlineStr">
        <is>
          <t>hypericin</t>
        </is>
      </c>
      <c r="C480" s="181" t="inlineStr">
        <is>
          <t>hypericin</t>
        </is>
      </c>
      <c r="D480" s="181" t="inlineStr">
        <is>
          <t>hypericum-perforatum</t>
        </is>
      </c>
      <c r="E480" s="181" t="inlineStr">
        <is>
          <t>hypericum perforatum</t>
        </is>
      </c>
      <c r="F480" s="181" t="n">
        <v>1</v>
      </c>
      <c r="G480" s="181" t="inlineStr">
        <is>
          <t>multi-target signaling modulation</t>
        </is>
      </c>
      <c r="H480" s="181" t="inlineStr">
        <is>
          <t>trusted_gov_added</t>
        </is>
      </c>
    </row>
    <row r="481">
      <c r="A481" s="181" t="inlineStr">
        <is>
          <t>general or unknown targets</t>
        </is>
      </c>
      <c r="B481" s="181" t="inlineStr">
        <is>
          <t>ibogaine</t>
        </is>
      </c>
      <c r="C481" s="181" t="inlineStr">
        <is>
          <t>ibogaine</t>
        </is>
      </c>
      <c r="D481" s="181" t="inlineStr">
        <is>
          <t>iboga; tabernanthe-iboga</t>
        </is>
      </c>
      <c r="E481" s="181" t="inlineStr">
        <is>
          <t>iboga; tabernanthe iboga</t>
        </is>
      </c>
      <c r="F481" s="181" t="n">
        <v>2</v>
      </c>
      <c r="G481" s="181" t="inlineStr">
        <is>
          <t>multi-target signaling modulation</t>
        </is>
      </c>
      <c r="H481" s="181" t="inlineStr">
        <is>
          <t>inferred_plus_trusted_gov; trusted_gov_added</t>
        </is>
      </c>
    </row>
    <row r="482">
      <c r="A482" s="181" t="inlineStr">
        <is>
          <t>general or unknown targets</t>
        </is>
      </c>
      <c r="B482" s="181" t="inlineStr">
        <is>
          <t>ergine</t>
        </is>
      </c>
      <c r="C482" s="181" t="inlineStr">
        <is>
          <t>ergine (lsa)</t>
        </is>
      </c>
      <c r="D482" s="181" t="inlineStr">
        <is>
          <t>ipomoea-tricolor; turbina-corymbosa</t>
        </is>
      </c>
      <c r="E482" s="181" t="inlineStr">
        <is>
          <t>ipomoea tricolor; turbina corymbosa</t>
        </is>
      </c>
      <c r="F482" s="181" t="n">
        <v>2</v>
      </c>
      <c r="G482" s="181" t="inlineStr">
        <is>
          <t>multi-target signaling modulation</t>
        </is>
      </c>
      <c r="H482" s="181" t="inlineStr">
        <is>
          <t>inferred_plus_trusted_gov</t>
        </is>
      </c>
    </row>
    <row r="483">
      <c r="A483" s="181" t="inlineStr">
        <is>
          <t>general or unknown targets</t>
        </is>
      </c>
      <c r="B483" s="181" t="inlineStr">
        <is>
          <t>isoergine</t>
        </is>
      </c>
      <c r="C483" s="181" t="inlineStr">
        <is>
          <t>isoergine</t>
        </is>
      </c>
      <c r="D483" s="181" t="inlineStr">
        <is>
          <t>ipomoea-tricolor; turbina-corymbosa</t>
        </is>
      </c>
      <c r="E483" s="181" t="inlineStr">
        <is>
          <t>ipomoea tricolor; turbina corymbosa</t>
        </is>
      </c>
      <c r="F483" s="181" t="n">
        <v>2</v>
      </c>
      <c r="G483" s="181" t="inlineStr">
        <is>
          <t>multi-target signaling modulation</t>
        </is>
      </c>
      <c r="H483" s="181" t="inlineStr">
        <is>
          <t>inferred_plus_trusted_gov</t>
        </is>
      </c>
    </row>
    <row r="484">
      <c r="A484" s="181" t="inlineStr">
        <is>
          <t>general or unknown targets</t>
        </is>
      </c>
      <c r="B484" s="181" t="inlineStr">
        <is>
          <t>iridin</t>
        </is>
      </c>
      <c r="C484" s="181" t="inlineStr">
        <is>
          <t>iridin</t>
        </is>
      </c>
      <c r="D484" s="181" t="inlineStr">
        <is>
          <t>iris-germanica</t>
        </is>
      </c>
      <c r="E484" s="181" t="inlineStr">
        <is>
          <t>iris germanica</t>
        </is>
      </c>
      <c r="F484" s="181" t="n">
        <v>1</v>
      </c>
      <c r="G484" s="181" t="inlineStr">
        <is>
          <t>multi-target signaling modulation</t>
        </is>
      </c>
      <c r="H484" s="181" t="inlineStr">
        <is>
          <t>inferred_plus_trusted_gov</t>
        </is>
      </c>
    </row>
    <row r="485">
      <c r="A485" s="181" t="inlineStr">
        <is>
          <t>general or unknown targets</t>
        </is>
      </c>
      <c r="B485" s="181" t="inlineStr">
        <is>
          <t>juglone</t>
        </is>
      </c>
      <c r="C485" s="181" t="inlineStr">
        <is>
          <t>juglone</t>
        </is>
      </c>
      <c r="D485" s="181" t="inlineStr">
        <is>
          <t>juglans-nigra</t>
        </is>
      </c>
      <c r="E485" s="181" t="inlineStr">
        <is>
          <t>juglans nigra</t>
        </is>
      </c>
      <c r="F485" s="181" t="n">
        <v>1</v>
      </c>
      <c r="G485" s="181" t="inlineStr">
        <is>
          <t>multi-target signaling modulation</t>
        </is>
      </c>
      <c r="H485" s="181" t="inlineStr">
        <is>
          <t>inferred_plus_trusted_gov</t>
        </is>
      </c>
    </row>
    <row r="486">
      <c r="A486" s="181" t="inlineStr">
        <is>
          <t>general or unknown targets</t>
        </is>
      </c>
      <c r="B486" s="181" t="inlineStr">
        <is>
          <t>alpha-pinene</t>
        </is>
      </c>
      <c r="C486" s="181" t="inlineStr">
        <is>
          <t>alpha-pinene</t>
        </is>
      </c>
      <c r="D486" s="181" t="inlineStr">
        <is>
          <t>juniperus-sibirica</t>
        </is>
      </c>
      <c r="E486" s="181" t="inlineStr">
        <is>
          <t>juniperus sibirica</t>
        </is>
      </c>
      <c r="F486" s="181" t="n">
        <v>1</v>
      </c>
      <c r="G486" s="181" t="inlineStr">
        <is>
          <t>multi-target signaling modulation</t>
        </is>
      </c>
      <c r="H486" s="181" t="inlineStr">
        <is>
          <t>inferred_plus_trusted_gov</t>
        </is>
      </c>
    </row>
    <row r="487">
      <c r="A487" s="181" t="inlineStr">
        <is>
          <t>general or unknown targets</t>
        </is>
      </c>
      <c r="B487" s="181" t="inlineStr">
        <is>
          <t>ethyl cinnamate</t>
        </is>
      </c>
      <c r="C487" s="181" t="inlineStr">
        <is>
          <t>ethyl cinnamate</t>
        </is>
      </c>
      <c r="D487" s="181" t="inlineStr">
        <is>
          <t>kaempferia-galanga</t>
        </is>
      </c>
      <c r="E487" s="181" t="inlineStr">
        <is>
          <t>kaempferia galanga</t>
        </is>
      </c>
      <c r="F487" s="181" t="n">
        <v>1</v>
      </c>
      <c r="G487" s="181" t="inlineStr">
        <is>
          <t>multi-target signaling modulation</t>
        </is>
      </c>
      <c r="H487" s="181" t="inlineStr">
        <is>
          <t>inferred_plus_trusted_gov</t>
        </is>
      </c>
    </row>
    <row r="488">
      <c r="A488" s="181" t="inlineStr">
        <is>
          <t>general or unknown targets</t>
        </is>
      </c>
      <c r="B488" s="181" t="inlineStr">
        <is>
          <t>kaempferol</t>
        </is>
      </c>
      <c r="C488" s="181" t="inlineStr">
        <is>
          <t>kaempferol</t>
        </is>
      </c>
      <c r="D488" s="181" t="inlineStr">
        <is>
          <t>kaempferia-galanga</t>
        </is>
      </c>
      <c r="E488" s="181" t="inlineStr">
        <is>
          <t>kaempferia galanga</t>
        </is>
      </c>
      <c r="F488" s="181" t="n">
        <v>1</v>
      </c>
      <c r="G488" s="181" t="inlineStr">
        <is>
          <t>multi-target signaling modulation</t>
        </is>
      </c>
      <c r="H488" s="181" t="inlineStr">
        <is>
          <t>inferred_plus_trusted_gov</t>
        </is>
      </c>
    </row>
    <row r="489">
      <c r="A489" s="181" t="inlineStr">
        <is>
          <t>dopaminergic_modulation</t>
        </is>
      </c>
      <c r="B489" s="181" t="inlineStr">
        <is>
          <t>kavain</t>
        </is>
      </c>
      <c r="C489" s="181" t="inlineStr">
        <is>
          <t>kavain</t>
        </is>
      </c>
      <c r="D489" s="181" t="inlineStr">
        <is>
          <t>kava; piper-methysticum</t>
        </is>
      </c>
      <c r="E489" s="181" t="inlineStr">
        <is>
          <t>kava; piper methysticum</t>
        </is>
      </c>
      <c r="F489" s="181" t="n">
        <v>2</v>
      </c>
      <c r="G489" s="181" t="inlineStr">
        <is>
          <t>GABAergic modulation; multi-target signaling modulation</t>
        </is>
      </c>
      <c r="H489" s="181" t="inlineStr">
        <is>
          <t>trusted_gov_added</t>
        </is>
      </c>
    </row>
    <row r="490">
      <c r="A490" s="181" t="inlineStr">
        <is>
          <t>gabaergic_modulation</t>
        </is>
      </c>
      <c r="B490" s="181" t="inlineStr">
        <is>
          <t>kavain</t>
        </is>
      </c>
      <c r="C490" s="181" t="inlineStr">
        <is>
          <t>kavain</t>
        </is>
      </c>
      <c r="D490" s="181" t="inlineStr">
        <is>
          <t>kava; piper-methysticum</t>
        </is>
      </c>
      <c r="E490" s="181" t="inlineStr">
        <is>
          <t>kava; piper methysticum</t>
        </is>
      </c>
      <c r="F490" s="181" t="n">
        <v>2</v>
      </c>
      <c r="G490" s="181" t="inlineStr">
        <is>
          <t>GABAergic modulation; multi-target signaling modulation</t>
        </is>
      </c>
      <c r="H490" s="181" t="inlineStr">
        <is>
          <t>trusted_gov_added</t>
        </is>
      </c>
    </row>
    <row r="491">
      <c r="A491" s="181" t="inlineStr">
        <is>
          <t>dopaminergic_modulation</t>
        </is>
      </c>
      <c r="B491" s="181" t="inlineStr">
        <is>
          <t>dihydrokavain</t>
        </is>
      </c>
      <c r="C491" s="181" t="inlineStr">
        <is>
          <t>dihydrokavain</t>
        </is>
      </c>
      <c r="D491" s="181" t="inlineStr">
        <is>
          <t>kava; piper-methysticum</t>
        </is>
      </c>
      <c r="E491" s="181" t="inlineStr">
        <is>
          <t>kava; piper methysticum</t>
        </is>
      </c>
      <c r="F491" s="181" t="n">
        <v>2</v>
      </c>
      <c r="G491" s="181" t="inlineStr">
        <is>
          <t>GABAergic modulation; multi-target signaling modulation</t>
        </is>
      </c>
      <c r="H491" s="181" t="inlineStr">
        <is>
          <t>trusted_gov_added</t>
        </is>
      </c>
    </row>
    <row r="492">
      <c r="A492" s="181" t="inlineStr">
        <is>
          <t>gabaergic_modulation</t>
        </is>
      </c>
      <c r="B492" s="181" t="inlineStr">
        <is>
          <t>dihydrokavain</t>
        </is>
      </c>
      <c r="C492" s="181" t="inlineStr">
        <is>
          <t>dihydrokavain</t>
        </is>
      </c>
      <c r="D492" s="181" t="inlineStr">
        <is>
          <t>kava; piper-methysticum</t>
        </is>
      </c>
      <c r="E492" s="181" t="inlineStr">
        <is>
          <t>kava; piper methysticum</t>
        </is>
      </c>
      <c r="F492" s="181" t="n">
        <v>2</v>
      </c>
      <c r="G492" s="181" t="inlineStr">
        <is>
          <t>GABAergic modulation; multi-target signaling modulation</t>
        </is>
      </c>
      <c r="H492" s="181" t="inlineStr">
        <is>
          <t>trusted_gov_added</t>
        </is>
      </c>
    </row>
    <row r="493">
      <c r="A493" s="181" t="inlineStr">
        <is>
          <t>dopaminergic_modulation</t>
        </is>
      </c>
      <c r="B493" s="181" t="inlineStr">
        <is>
          <t>yangonin</t>
        </is>
      </c>
      <c r="C493" s="181" t="inlineStr">
        <is>
          <t>yangonin</t>
        </is>
      </c>
      <c r="D493" s="181" t="inlineStr">
        <is>
          <t>kava; piper-methysticum</t>
        </is>
      </c>
      <c r="E493" s="181" t="inlineStr">
        <is>
          <t>kava; piper methysticum</t>
        </is>
      </c>
      <c r="F493" s="181" t="n">
        <v>2</v>
      </c>
      <c r="G493" s="181" t="inlineStr">
        <is>
          <t>GABAergic modulation; multi-target signaling modulation</t>
        </is>
      </c>
      <c r="H493" s="181" t="inlineStr">
        <is>
          <t>trusted_gov_added</t>
        </is>
      </c>
    </row>
    <row r="494">
      <c r="A494" s="181" t="inlineStr">
        <is>
          <t>gabaergic_modulation</t>
        </is>
      </c>
      <c r="B494" s="181" t="inlineStr">
        <is>
          <t>yangonin</t>
        </is>
      </c>
      <c r="C494" s="181" t="inlineStr">
        <is>
          <t>yangonin</t>
        </is>
      </c>
      <c r="D494" s="181" t="inlineStr">
        <is>
          <t>kava; piper-methysticum</t>
        </is>
      </c>
      <c r="E494" s="181" t="inlineStr">
        <is>
          <t>kava; piper methysticum</t>
        </is>
      </c>
      <c r="F494" s="181" t="n">
        <v>2</v>
      </c>
      <c r="G494" s="181" t="inlineStr">
        <is>
          <t>GABAergic modulation; multi-target signaling modulation</t>
        </is>
      </c>
      <c r="H494" s="181" t="inlineStr">
        <is>
          <t>trusted_gov_added</t>
        </is>
      </c>
    </row>
    <row r="495">
      <c r="A495" s="181" t="inlineStr">
        <is>
          <t>dopaminergic_modulation</t>
        </is>
      </c>
      <c r="B495" s="181" t="inlineStr">
        <is>
          <t>desmethoxyyangonin</t>
        </is>
      </c>
      <c r="C495" s="181" t="inlineStr">
        <is>
          <t>desmethoxyyangonin</t>
        </is>
      </c>
      <c r="D495" s="181" t="inlineStr">
        <is>
          <t>kava; piper-methysticum</t>
        </is>
      </c>
      <c r="E495" s="181" t="inlineStr">
        <is>
          <t>kava; piper methysticum</t>
        </is>
      </c>
      <c r="F495" s="181" t="n">
        <v>2</v>
      </c>
      <c r="G495" s="181" t="inlineStr">
        <is>
          <t>GABAergic modulation; multi-target signaling modulation</t>
        </is>
      </c>
      <c r="H495" s="181" t="inlineStr">
        <is>
          <t>trusted_gov_added</t>
        </is>
      </c>
    </row>
    <row r="496">
      <c r="A496" s="181" t="inlineStr">
        <is>
          <t>gabaergic_modulation</t>
        </is>
      </c>
      <c r="B496" s="181" t="inlineStr">
        <is>
          <t>desmethoxyyangonin</t>
        </is>
      </c>
      <c r="C496" s="181" t="inlineStr">
        <is>
          <t>desmethoxyyangonin</t>
        </is>
      </c>
      <c r="D496" s="181" t="inlineStr">
        <is>
          <t>kava; piper-methysticum</t>
        </is>
      </c>
      <c r="E496" s="181" t="inlineStr">
        <is>
          <t>kava; piper methysticum</t>
        </is>
      </c>
      <c r="F496" s="181" t="n">
        <v>2</v>
      </c>
      <c r="G496" s="181" t="inlineStr">
        <is>
          <t>GABAergic modulation; multi-target signaling modulation</t>
        </is>
      </c>
      <c r="H496" s="181" t="inlineStr">
        <is>
          <t>trusted_gov_added</t>
        </is>
      </c>
    </row>
    <row r="497">
      <c r="A497" s="181" t="inlineStr">
        <is>
          <t>dopaminergic_modulation</t>
        </is>
      </c>
      <c r="B497" s="181" t="inlineStr">
        <is>
          <t>dihydromethysticin</t>
        </is>
      </c>
      <c r="C497" s="181" t="inlineStr">
        <is>
          <t>dihydromethysticin</t>
        </is>
      </c>
      <c r="D497" s="181" t="inlineStr">
        <is>
          <t>kava</t>
        </is>
      </c>
      <c r="E497" s="181" t="inlineStr">
        <is>
          <t>kava</t>
        </is>
      </c>
      <c r="F497" s="181" t="n">
        <v>1</v>
      </c>
      <c r="G497" s="181" t="inlineStr">
        <is>
          <t>multi-target signaling modulation</t>
        </is>
      </c>
      <c r="H497" s="181" t="inlineStr">
        <is>
          <t>trusted_gov_added</t>
        </is>
      </c>
    </row>
    <row r="498">
      <c r="A498" s="181" t="inlineStr">
        <is>
          <t>gabaergic_modulation</t>
        </is>
      </c>
      <c r="B498" s="181" t="inlineStr">
        <is>
          <t>dihydromethysticin</t>
        </is>
      </c>
      <c r="C498" s="181" t="inlineStr">
        <is>
          <t>dihydromethysticin</t>
        </is>
      </c>
      <c r="D498" s="181" t="inlineStr">
        <is>
          <t>kava</t>
        </is>
      </c>
      <c r="E498" s="181" t="inlineStr">
        <is>
          <t>kava</t>
        </is>
      </c>
      <c r="F498" s="181" t="n">
        <v>1</v>
      </c>
      <c r="G498" s="181" t="inlineStr">
        <is>
          <t>multi-target signaling modulation</t>
        </is>
      </c>
      <c r="H498" s="181" t="inlineStr">
        <is>
          <t>trusted_gov_added</t>
        </is>
      </c>
    </row>
    <row r="499">
      <c r="A499" s="181" t="inlineStr">
        <is>
          <t>dopaminergic_modulation</t>
        </is>
      </c>
      <c r="B499" s="181" t="inlineStr">
        <is>
          <t>methysticin</t>
        </is>
      </c>
      <c r="C499" s="181" t="inlineStr">
        <is>
          <t>methysticin</t>
        </is>
      </c>
      <c r="D499" s="181" t="inlineStr">
        <is>
          <t>kava; piper-methysticum</t>
        </is>
      </c>
      <c r="E499" s="181" t="inlineStr">
        <is>
          <t>kava; piper methysticum</t>
        </is>
      </c>
      <c r="F499" s="181" t="n">
        <v>2</v>
      </c>
      <c r="G499" s="181" t="inlineStr">
        <is>
          <t>GABAergic modulation; multi-target signaling modulation</t>
        </is>
      </c>
      <c r="H499" s="181" t="inlineStr">
        <is>
          <t>trusted_gov_added</t>
        </is>
      </c>
    </row>
    <row r="500">
      <c r="A500" s="181" t="inlineStr">
        <is>
          <t>gabaergic_modulation</t>
        </is>
      </c>
      <c r="B500" s="181" t="inlineStr">
        <is>
          <t>methysticin</t>
        </is>
      </c>
      <c r="C500" s="181" t="inlineStr">
        <is>
          <t>methysticin</t>
        </is>
      </c>
      <c r="D500" s="181" t="inlineStr">
        <is>
          <t>kava; piper-methysticum</t>
        </is>
      </c>
      <c r="E500" s="181" t="inlineStr">
        <is>
          <t>kava; piper methysticum</t>
        </is>
      </c>
      <c r="F500" s="181" t="n">
        <v>2</v>
      </c>
      <c r="G500" s="181" t="inlineStr">
        <is>
          <t>GABAergic modulation; multi-target signaling modulation</t>
        </is>
      </c>
      <c r="H500" s="181" t="inlineStr">
        <is>
          <t>trusted_gov_added</t>
        </is>
      </c>
    </row>
    <row r="501">
      <c r="A501" s="181" t="inlineStr">
        <is>
          <t>general or unknown targets</t>
        </is>
      </c>
      <c r="B501" s="181" t="inlineStr">
        <is>
          <t>7-hydroxymitragynine</t>
        </is>
      </c>
      <c r="C501" s="181" t="inlineStr">
        <is>
          <t>7-hydroxymitragynine</t>
        </is>
      </c>
      <c r="D501" s="181" t="inlineStr">
        <is>
          <t>kratom-hybrids; mitragyna-speciosa</t>
        </is>
      </c>
      <c r="E501" s="181" t="inlineStr">
        <is>
          <t>kratom hybrids; mitragyna speciosa</t>
        </is>
      </c>
      <c r="F501" s="181" t="n">
        <v>2</v>
      </c>
      <c r="G501" s="181" t="inlineStr">
        <is>
          <t>multi-target signaling modulation</t>
        </is>
      </c>
      <c r="H501" s="181" t="inlineStr">
        <is>
          <t>inferred_plus_trusted_gov; trusted_gov_added</t>
        </is>
      </c>
    </row>
    <row r="502">
      <c r="A502" s="181" t="inlineStr">
        <is>
          <t>general or unknown targets</t>
        </is>
      </c>
      <c r="B502" s="181" t="inlineStr">
        <is>
          <t>mitragynine</t>
        </is>
      </c>
      <c r="C502" s="181" t="inlineStr">
        <is>
          <t>mitragynine</t>
        </is>
      </c>
      <c r="D502" s="181" t="inlineStr">
        <is>
          <t>kratom-hybrids; mitragyna-speciosa</t>
        </is>
      </c>
      <c r="E502" s="181" t="inlineStr">
        <is>
          <t>kratom hybrids; mitragyna speciosa</t>
        </is>
      </c>
      <c r="F502" s="181" t="n">
        <v>2</v>
      </c>
      <c r="G502" s="181" t="inlineStr">
        <is>
          <t>multi-target signaling modulation</t>
        </is>
      </c>
      <c r="H502" s="181" t="inlineStr">
        <is>
          <t>inferred_plus_trusted_gov; trusted_gov_added</t>
        </is>
      </c>
    </row>
    <row r="503">
      <c r="A503" s="181" t="inlineStr">
        <is>
          <t>general or unknown targets</t>
        </is>
      </c>
      <c r="B503" s="181" t="inlineStr">
        <is>
          <t>lactucopicrin</t>
        </is>
      </c>
      <c r="C503" s="181" t="inlineStr">
        <is>
          <t>lactucopicrin</t>
        </is>
      </c>
      <c r="D503" s="181" t="inlineStr">
        <is>
          <t>lactuca-virosa</t>
        </is>
      </c>
      <c r="E503" s="181" t="inlineStr">
        <is>
          <t>lactuca virosa</t>
        </is>
      </c>
      <c r="F503" s="181" t="n">
        <v>1</v>
      </c>
      <c r="G503" s="181" t="inlineStr">
        <is>
          <t>multi-target signaling modulation</t>
        </is>
      </c>
      <c r="H503" s="181" t="inlineStr">
        <is>
          <t>inferred_plus_trusted_gov</t>
        </is>
      </c>
    </row>
    <row r="504">
      <c r="A504" s="181" t="inlineStr">
        <is>
          <t>general or unknown targets</t>
        </is>
      </c>
      <c r="B504" s="181" t="inlineStr">
        <is>
          <t>lactucin</t>
        </is>
      </c>
      <c r="C504" s="181" t="inlineStr">
        <is>
          <t>lactucin</t>
        </is>
      </c>
      <c r="D504" s="181" t="inlineStr">
        <is>
          <t>lactuca-virosa</t>
        </is>
      </c>
      <c r="E504" s="181" t="inlineStr">
        <is>
          <t>lactuca virosa</t>
        </is>
      </c>
      <c r="F504" s="181" t="n">
        <v>1</v>
      </c>
      <c r="G504" s="181" t="inlineStr">
        <is>
          <t>multi-target signaling modulation</t>
        </is>
      </c>
      <c r="H504" s="181" t="inlineStr">
        <is>
          <t>inferred_plus_trusted_gov</t>
        </is>
      </c>
    </row>
    <row r="505">
      <c r="A505" s="181" t="inlineStr">
        <is>
          <t>gabaergic_modulation</t>
        </is>
      </c>
      <c r="B505" s="181" t="inlineStr">
        <is>
          <t>linalyl acetate</t>
        </is>
      </c>
      <c r="C505" s="181" t="inlineStr">
        <is>
          <t>linalyl acetate</t>
        </is>
      </c>
      <c r="D505" s="181" t="inlineStr">
        <is>
          <t>lavender</t>
        </is>
      </c>
      <c r="E505" s="181" t="inlineStr">
        <is>
          <t>lavender</t>
        </is>
      </c>
      <c r="F505" s="181" t="n">
        <v>1</v>
      </c>
      <c r="G505" s="181" t="inlineStr">
        <is>
          <t>GABAergic modulation</t>
        </is>
      </c>
      <c r="H505" s="181" t="inlineStr">
        <is>
          <t>inferred_plus_trusted_gov</t>
        </is>
      </c>
    </row>
    <row r="506">
      <c r="A506" s="181" t="inlineStr">
        <is>
          <t>gabaergic_modulation</t>
        </is>
      </c>
      <c r="B506" s="181" t="inlineStr">
        <is>
          <t>linalool</t>
        </is>
      </c>
      <c r="C506" s="181" t="inlineStr">
        <is>
          <t>linalool</t>
        </is>
      </c>
      <c r="D506" s="181" t="inlineStr">
        <is>
          <t>lavender</t>
        </is>
      </c>
      <c r="E506" s="181" t="inlineStr">
        <is>
          <t>lavender</t>
        </is>
      </c>
      <c r="F506" s="181" t="n">
        <v>1</v>
      </c>
      <c r="G506" s="181" t="inlineStr">
        <is>
          <t>GABAergic modulation</t>
        </is>
      </c>
      <c r="H506" s="181" t="inlineStr">
        <is>
          <t>inferred_plus_trusted_gov</t>
        </is>
      </c>
    </row>
    <row r="507">
      <c r="A507" s="181" t="inlineStr">
        <is>
          <t>general or unknown targets</t>
        </is>
      </c>
      <c r="B507" s="181" t="inlineStr">
        <is>
          <t>ledol</t>
        </is>
      </c>
      <c r="C507" s="181" t="inlineStr">
        <is>
          <t>ledol</t>
        </is>
      </c>
      <c r="D507" s="181" t="inlineStr">
        <is>
          <t>rhododendron-tomentosum</t>
        </is>
      </c>
      <c r="E507" s="181" t="inlineStr">
        <is>
          <t>ledum palustre; rhododendron tomentosum</t>
        </is>
      </c>
      <c r="F507" s="181" t="n">
        <v>1</v>
      </c>
      <c r="G507" s="181" t="inlineStr">
        <is>
          <t>multi-target signaling modulation</t>
        </is>
      </c>
      <c r="H507" s="181" t="inlineStr">
        <is>
          <t>inferred_plus_trusted_gov</t>
        </is>
      </c>
    </row>
    <row r="508">
      <c r="A508" s="181" t="inlineStr">
        <is>
          <t>general or unknown targets</t>
        </is>
      </c>
      <c r="B508" s="181" t="inlineStr">
        <is>
          <t>palustrol</t>
        </is>
      </c>
      <c r="C508" s="181" t="inlineStr">
        <is>
          <t>palustrol</t>
        </is>
      </c>
      <c r="D508" s="181" t="inlineStr">
        <is>
          <t>rhododendron-tomentosum</t>
        </is>
      </c>
      <c r="E508" s="181" t="inlineStr">
        <is>
          <t>ledum palustre; rhododendron tomentosum</t>
        </is>
      </c>
      <c r="F508" s="181" t="n">
        <v>1</v>
      </c>
      <c r="G508" s="181" t="inlineStr">
        <is>
          <t>multi-target signaling modulation</t>
        </is>
      </c>
      <c r="H508" s="181" t="inlineStr">
        <is>
          <t>inferred_plus_trusted_gov</t>
        </is>
      </c>
    </row>
    <row r="509">
      <c r="A509" s="181" t="inlineStr">
        <is>
          <t>gabaergic_modulation</t>
        </is>
      </c>
      <c r="B509" s="181" t="inlineStr">
        <is>
          <t>citronellal</t>
        </is>
      </c>
      <c r="C509" s="181" t="inlineStr">
        <is>
          <t>citronellal</t>
        </is>
      </c>
      <c r="D509" s="181" t="inlineStr">
        <is>
          <t>melissa-officinalis; melissa-officinalis-lemon-balm</t>
        </is>
      </c>
      <c r="E509" s="181" t="inlineStr">
        <is>
          <t>lemon balm; melissa officinalis (lemon balm)</t>
        </is>
      </c>
      <c r="F509" s="181" t="n">
        <v>2</v>
      </c>
      <c r="G509" s="181" t="inlineStr">
        <is>
          <t>GABAergic modulation</t>
        </is>
      </c>
      <c r="H509" s="181" t="inlineStr">
        <is>
          <t>trusted_gov_added</t>
        </is>
      </c>
    </row>
    <row r="510">
      <c r="A510" s="181" t="inlineStr">
        <is>
          <t>general or unknown targets</t>
        </is>
      </c>
      <c r="B510" s="181" t="inlineStr">
        <is>
          <t>stachydrine</t>
        </is>
      </c>
      <c r="C510" s="181" t="inlineStr">
        <is>
          <t>stachydrine</t>
        </is>
      </c>
      <c r="D510" s="181" t="inlineStr">
        <is>
          <t>leonurus-cardiaca; leonurus-japonicus</t>
        </is>
      </c>
      <c r="E510" s="181" t="inlineStr">
        <is>
          <t>leonurus cardiaca; leonurus japonicus</t>
        </is>
      </c>
      <c r="F510" s="181" t="n">
        <v>2</v>
      </c>
      <c r="G510" s="181" t="inlineStr">
        <is>
          <t>multi-target signaling modulation</t>
        </is>
      </c>
      <c r="H510" s="181" t="inlineStr">
        <is>
          <t>inferred_plus_trusted_gov</t>
        </is>
      </c>
    </row>
    <row r="511">
      <c r="A511" s="181" t="inlineStr">
        <is>
          <t>general or unknown targets</t>
        </is>
      </c>
      <c r="B511" s="181" t="inlineStr">
        <is>
          <t>leonurine</t>
        </is>
      </c>
      <c r="C511" s="181" t="inlineStr">
        <is>
          <t>leonurine</t>
        </is>
      </c>
      <c r="D511" s="181" t="inlineStr">
        <is>
          <t>leonurus-cardiaca; leonurus-japonicus</t>
        </is>
      </c>
      <c r="E511" s="181" t="inlineStr">
        <is>
          <t>leonurus cardiaca; leonurus japonicus</t>
        </is>
      </c>
      <c r="F511" s="181" t="n">
        <v>2</v>
      </c>
      <c r="G511" s="181" t="inlineStr">
        <is>
          <t>multi-target signaling modulation</t>
        </is>
      </c>
      <c r="H511" s="181" t="inlineStr">
        <is>
          <t>inferred_plus_trusted_gov</t>
        </is>
      </c>
    </row>
    <row r="512">
      <c r="A512" s="181" t="inlineStr">
        <is>
          <t>general or unknown targets</t>
        </is>
      </c>
      <c r="B512" s="181" t="inlineStr">
        <is>
          <t>triketones leptospermone</t>
        </is>
      </c>
      <c r="C512" s="181" t="inlineStr">
        <is>
          <t>triketones (leptospermone)</t>
        </is>
      </c>
      <c r="D512" s="181" t="inlineStr">
        <is>
          <t>leptospermum-scoparium</t>
        </is>
      </c>
      <c r="E512" s="181" t="inlineStr">
        <is>
          <t>leptospermum scoparium</t>
        </is>
      </c>
      <c r="F512" s="181" t="n">
        <v>1</v>
      </c>
      <c r="G512" s="181" t="inlineStr">
        <is>
          <t>multi-target signaling modulation</t>
        </is>
      </c>
      <c r="H512" s="181" t="inlineStr">
        <is>
          <t>inferred_plus_trusted_gov</t>
        </is>
      </c>
    </row>
    <row r="513">
      <c r="A513" s="181" t="inlineStr">
        <is>
          <t>general or unknown targets</t>
        </is>
      </c>
      <c r="B513" s="181" t="inlineStr">
        <is>
          <t>tetramethylpyrazine</t>
        </is>
      </c>
      <c r="C513" s="181" t="inlineStr">
        <is>
          <t>tetramethylpyrazine</t>
        </is>
      </c>
      <c r="D513" s="181" t="inlineStr">
        <is>
          <t>ligusticum-chuanxiong</t>
        </is>
      </c>
      <c r="E513" s="181" t="inlineStr">
        <is>
          <t>ligusticum chuanxiong</t>
        </is>
      </c>
      <c r="F513" s="181" t="n">
        <v>1</v>
      </c>
      <c r="G513" s="181" t="inlineStr">
        <is>
          <t>multi-target signaling modulation</t>
        </is>
      </c>
      <c r="H513" s="181" t="inlineStr">
        <is>
          <t>inferred_plus_trusted_gov</t>
        </is>
      </c>
    </row>
    <row r="514">
      <c r="A514" s="181" t="inlineStr">
        <is>
          <t>cholinergic_modulation</t>
        </is>
      </c>
      <c r="B514" s="181" t="inlineStr">
        <is>
          <t>lobeline</t>
        </is>
      </c>
      <c r="C514" s="181" t="inlineStr">
        <is>
          <t>lobeline</t>
        </is>
      </c>
      <c r="D514" s="181" t="inlineStr">
        <is>
          <t>lobelia-inflata</t>
        </is>
      </c>
      <c r="E514" s="181" t="inlineStr">
        <is>
          <t>lobelia inflata</t>
        </is>
      </c>
      <c r="F514" s="181" t="n">
        <v>1</v>
      </c>
      <c r="G514" s="181" t="inlineStr">
        <is>
          <t>muscarinic receptor interaction</t>
        </is>
      </c>
      <c r="H514" s="181" t="inlineStr">
        <is>
          <t>trusted_gov_added</t>
        </is>
      </c>
    </row>
    <row r="515">
      <c r="A515" s="181" t="inlineStr">
        <is>
          <t>dopaminergic_modulation</t>
        </is>
      </c>
      <c r="B515" s="181" t="inlineStr">
        <is>
          <t>lobeline</t>
        </is>
      </c>
      <c r="C515" s="181" t="inlineStr">
        <is>
          <t>lobeline</t>
        </is>
      </c>
      <c r="D515" s="181" t="inlineStr">
        <is>
          <t>lobelia-inflata</t>
        </is>
      </c>
      <c r="E515" s="181" t="inlineStr">
        <is>
          <t>lobelia inflata</t>
        </is>
      </c>
      <c r="F515" s="181" t="n">
        <v>1</v>
      </c>
      <c r="G515" s="181" t="inlineStr">
        <is>
          <t>muscarinic receptor interaction</t>
        </is>
      </c>
      <c r="H515" s="181" t="inlineStr">
        <is>
          <t>trusted_gov_added</t>
        </is>
      </c>
    </row>
    <row r="516">
      <c r="A516" s="181" t="inlineStr">
        <is>
          <t>cholinergic_modulation</t>
        </is>
      </c>
      <c r="B516" s="181" t="inlineStr">
        <is>
          <t>lobelanidine</t>
        </is>
      </c>
      <c r="C516" s="181" t="inlineStr">
        <is>
          <t>lobelanidine</t>
        </is>
      </c>
      <c r="D516" s="181" t="inlineStr">
        <is>
          <t>lobelia-inflata</t>
        </is>
      </c>
      <c r="E516" s="181" t="inlineStr">
        <is>
          <t>lobelia inflata</t>
        </is>
      </c>
      <c r="F516" s="181" t="n">
        <v>1</v>
      </c>
      <c r="G516" s="181" t="inlineStr">
        <is>
          <t>muscarinic receptor interaction</t>
        </is>
      </c>
      <c r="H516" s="181" t="inlineStr">
        <is>
          <t>trusted_gov_added</t>
        </is>
      </c>
    </row>
    <row r="517">
      <c r="A517" s="181" t="inlineStr">
        <is>
          <t>dopaminergic_modulation</t>
        </is>
      </c>
      <c r="B517" s="181" t="inlineStr">
        <is>
          <t>lobelanidine</t>
        </is>
      </c>
      <c r="C517" s="181" t="inlineStr">
        <is>
          <t>lobelanidine</t>
        </is>
      </c>
      <c r="D517" s="181" t="inlineStr">
        <is>
          <t>lobelia-inflata</t>
        </is>
      </c>
      <c r="E517" s="181" t="inlineStr">
        <is>
          <t>lobelia inflata</t>
        </is>
      </c>
      <c r="F517" s="181" t="n">
        <v>1</v>
      </c>
      <c r="G517" s="181" t="inlineStr">
        <is>
          <t>muscarinic receptor interaction</t>
        </is>
      </c>
      <c r="H517" s="181" t="inlineStr">
        <is>
          <t>trusted_gov_added</t>
        </is>
      </c>
    </row>
    <row r="518">
      <c r="A518" s="181" t="inlineStr">
        <is>
          <t>serotonergic_5HT2A_agonism</t>
        </is>
      </c>
      <c r="B518" s="181" t="inlineStr">
        <is>
          <t>mescaline</t>
        </is>
      </c>
      <c r="C518" s="181" t="inlineStr">
        <is>
          <t>mescaline</t>
        </is>
      </c>
      <c r="D518" s="181" t="inlineStr">
        <is>
          <t>lophophora-williamsii; trichocereus-bridgesii</t>
        </is>
      </c>
      <c r="E518" s="181" t="inlineStr">
        <is>
          <t>lophophora williamsii; peyote; trichocereus bridgesii</t>
        </is>
      </c>
      <c r="F518" s="181" t="n">
        <v>2</v>
      </c>
      <c r="G518" s="181" t="inlineStr">
        <is>
          <t>serotonin receptor interaction</t>
        </is>
      </c>
      <c r="H518" s="181" t="inlineStr">
        <is>
          <t>inferred_plus_trusted_gov</t>
        </is>
      </c>
    </row>
    <row r="519">
      <c r="A519" s="181" t="inlineStr">
        <is>
          <t>dopaminergic_modulation</t>
        </is>
      </c>
      <c r="B519" s="181" t="inlineStr">
        <is>
          <t>lsd ergoline derivative</t>
        </is>
      </c>
      <c r="C519" s="181" t="inlineStr">
        <is>
          <t>lsd (ergoline derivative)</t>
        </is>
      </c>
      <c r="D519" s="181" t="inlineStr">
        <is>
          <t>lsd</t>
        </is>
      </c>
      <c r="E519" s="181" t="inlineStr">
        <is>
          <t>lsd</t>
        </is>
      </c>
      <c r="F519" s="181" t="n">
        <v>1</v>
      </c>
      <c r="G519" s="181" t="inlineStr">
        <is>
          <t>serotonin receptor interaction</t>
        </is>
      </c>
      <c r="H519" s="181" t="inlineStr">
        <is>
          <t>inferred_plus_trusted_gov</t>
        </is>
      </c>
    </row>
    <row r="520">
      <c r="A520" s="181" t="inlineStr">
        <is>
          <t>serotonergic_5HT2A_agonism</t>
        </is>
      </c>
      <c r="B520" s="181" t="inlineStr">
        <is>
          <t>lsd ergoline derivative</t>
        </is>
      </c>
      <c r="C520" s="181" t="inlineStr">
        <is>
          <t>lsd (ergoline derivative)</t>
        </is>
      </c>
      <c r="D520" s="181" t="inlineStr">
        <is>
          <t>lsd</t>
        </is>
      </c>
      <c r="E520" s="181" t="inlineStr">
        <is>
          <t>lsd</t>
        </is>
      </c>
      <c r="F520" s="181" t="n">
        <v>1</v>
      </c>
      <c r="G520" s="181" t="inlineStr">
        <is>
          <t>serotonin receptor interaction</t>
        </is>
      </c>
      <c r="H520" s="181" t="inlineStr">
        <is>
          <t>inferred_plus_trusted_gov</t>
        </is>
      </c>
    </row>
    <row r="521">
      <c r="A521" s="181" t="inlineStr">
        <is>
          <t>general or unknown targets</t>
        </is>
      </c>
      <c r="B521" s="181" t="inlineStr">
        <is>
          <t>lycopodine</t>
        </is>
      </c>
      <c r="C521" s="181" t="inlineStr">
        <is>
          <t>lycopodine</t>
        </is>
      </c>
      <c r="D521" s="181" t="inlineStr">
        <is>
          <t>lycopodium-clavatum</t>
        </is>
      </c>
      <c r="E521" s="181" t="inlineStr">
        <is>
          <t>lycopodium clavatum</t>
        </is>
      </c>
      <c r="F521" s="181" t="n">
        <v>1</v>
      </c>
      <c r="G521" s="181" t="inlineStr">
        <is>
          <t>multi-target signaling modulation</t>
        </is>
      </c>
      <c r="H521" s="181" t="inlineStr">
        <is>
          <t>inferred_plus_trusted_gov</t>
        </is>
      </c>
    </row>
    <row r="522">
      <c r="A522" s="181" t="inlineStr">
        <is>
          <t>general or unknown targets</t>
        </is>
      </c>
      <c r="B522" s="181" t="inlineStr">
        <is>
          <t>lithospermic acid</t>
        </is>
      </c>
      <c r="C522" s="181" t="inlineStr">
        <is>
          <t>lithospermic acid</t>
        </is>
      </c>
      <c r="D522" s="181" t="inlineStr">
        <is>
          <t>lycopus-virginicus</t>
        </is>
      </c>
      <c r="E522" s="181" t="inlineStr">
        <is>
          <t>lycopus virginicus</t>
        </is>
      </c>
      <c r="F522" s="181" t="n">
        <v>1</v>
      </c>
      <c r="G522" s="181" t="inlineStr">
        <is>
          <t>multi-target signaling modulation</t>
        </is>
      </c>
      <c r="H522" s="181" t="inlineStr">
        <is>
          <t>inferred_plus_trusted_gov</t>
        </is>
      </c>
    </row>
    <row r="523">
      <c r="A523" s="181" t="inlineStr">
        <is>
          <t>general or unknown targets</t>
        </is>
      </c>
      <c r="B523" s="181" t="inlineStr">
        <is>
          <t>dillapiole</t>
        </is>
      </c>
      <c r="C523" s="181" t="inlineStr">
        <is>
          <t>dillapiole</t>
        </is>
      </c>
      <c r="D523" s="181" t="inlineStr">
        <is>
          <t>macropiper-excelsum; piper-auritum</t>
        </is>
      </c>
      <c r="E523" s="181" t="inlineStr">
        <is>
          <t>macropiper excelsum; piper auritum</t>
        </is>
      </c>
      <c r="F523" s="181" t="n">
        <v>2</v>
      </c>
      <c r="G523" s="181" t="inlineStr">
        <is>
          <t>multi-target signaling modulation</t>
        </is>
      </c>
      <c r="H523" s="181" t="inlineStr">
        <is>
          <t>inferred_plus_trusted_gov</t>
        </is>
      </c>
    </row>
    <row r="524">
      <c r="A524" s="181" t="inlineStr">
        <is>
          <t>general or unknown targets</t>
        </is>
      </c>
      <c r="B524" s="181" t="inlineStr">
        <is>
          <t>myristicin</t>
        </is>
      </c>
      <c r="C524" s="181" t="inlineStr">
        <is>
          <t>myristicin</t>
        </is>
      </c>
      <c r="D524" s="181" t="inlineStr">
        <is>
          <t>macropiper-excelsum</t>
        </is>
      </c>
      <c r="E524" s="181" t="inlineStr">
        <is>
          <t>macropiper excelsum</t>
        </is>
      </c>
      <c r="F524" s="181" t="n">
        <v>1</v>
      </c>
      <c r="G524" s="181" t="inlineStr">
        <is>
          <t>multi-target signaling modulation</t>
        </is>
      </c>
      <c r="H524" s="181" t="inlineStr">
        <is>
          <t>inferred_plus_trusted_gov</t>
        </is>
      </c>
    </row>
    <row r="525">
      <c r="A525" s="181" t="inlineStr">
        <is>
          <t>general or unknown targets</t>
        </is>
      </c>
      <c r="B525" s="181" t="inlineStr">
        <is>
          <t>bisabolol</t>
        </is>
      </c>
      <c r="C525" s="181" t="inlineStr">
        <is>
          <t>bisabolol</t>
        </is>
      </c>
      <c r="D525" s="181" t="inlineStr">
        <is>
          <t>matricaria-chamomilla</t>
        </is>
      </c>
      <c r="E525" s="181" t="inlineStr">
        <is>
          <t>matricaria chamomilla</t>
        </is>
      </c>
      <c r="F525" s="181" t="n">
        <v>1</v>
      </c>
      <c r="G525" s="181" t="inlineStr">
        <is>
          <t>multi-target signaling modulation</t>
        </is>
      </c>
      <c r="H525" s="181" t="inlineStr">
        <is>
          <t>inferred_plus_trusted_gov</t>
        </is>
      </c>
    </row>
    <row r="526">
      <c r="A526" s="181" t="inlineStr">
        <is>
          <t>general or unknown targets</t>
        </is>
      </c>
      <c r="B526" s="181" t="inlineStr">
        <is>
          <t>terpinen-4-ol</t>
        </is>
      </c>
      <c r="C526" s="181" t="inlineStr">
        <is>
          <t>terpinen-4-ol</t>
        </is>
      </c>
      <c r="D526" s="181" t="inlineStr">
        <is>
          <t>melaleuca-alternifolia</t>
        </is>
      </c>
      <c r="E526" s="181" t="inlineStr">
        <is>
          <t>melaleuca alternifolia</t>
        </is>
      </c>
      <c r="F526" s="181" t="n">
        <v>1</v>
      </c>
      <c r="G526" s="181" t="inlineStr">
        <is>
          <t>multi-target signaling modulation</t>
        </is>
      </c>
      <c r="H526" s="181" t="inlineStr">
        <is>
          <t>inferred_plus_trusted_gov</t>
        </is>
      </c>
    </row>
    <row r="527">
      <c r="A527" s="181" t="inlineStr">
        <is>
          <t>general or unknown targets</t>
        </is>
      </c>
      <c r="B527" s="181" t="inlineStr">
        <is>
          <t>menthone</t>
        </is>
      </c>
      <c r="C527" s="181" t="inlineStr">
        <is>
          <t>menthone</t>
        </is>
      </c>
      <c r="D527" s="181" t="inlineStr">
        <is>
          <t>mentha-piperita</t>
        </is>
      </c>
      <c r="E527" s="181" t="inlineStr">
        <is>
          <t>mentha piperita; peppermint</t>
        </is>
      </c>
      <c r="F527" s="181" t="n">
        <v>1</v>
      </c>
      <c r="G527" s="181" t="inlineStr">
        <is>
          <t>multi-target signaling modulation</t>
        </is>
      </c>
      <c r="H527" s="181" t="inlineStr">
        <is>
          <t>inferred_plus_trusted_gov; trusted_gov_added</t>
        </is>
      </c>
    </row>
    <row r="528">
      <c r="A528" s="181" t="inlineStr">
        <is>
          <t>dopaminergic_modulation</t>
        </is>
      </c>
      <c r="B528" s="181" t="inlineStr">
        <is>
          <t>mescaline derivative</t>
        </is>
      </c>
      <c r="C528" s="181" t="inlineStr">
        <is>
          <t>mescaline derivative</t>
        </is>
      </c>
      <c r="D528" s="181" t="inlineStr">
        <is>
          <t>mescaline</t>
        </is>
      </c>
      <c r="E528" s="181" t="inlineStr">
        <is>
          <t>mescaline</t>
        </is>
      </c>
      <c r="F528" s="181" t="n">
        <v>1</v>
      </c>
      <c r="G528" s="181" t="inlineStr">
        <is>
          <t>serotonin receptor interaction</t>
        </is>
      </c>
      <c r="H528" s="181" t="inlineStr">
        <is>
          <t>inferred_plus_trusted_gov</t>
        </is>
      </c>
    </row>
    <row r="529">
      <c r="A529" s="181" t="inlineStr">
        <is>
          <t>serotonergic_5HT2A_agonism</t>
        </is>
      </c>
      <c r="B529" s="181" t="inlineStr">
        <is>
          <t>mescaline derivative</t>
        </is>
      </c>
      <c r="C529" s="181" t="inlineStr">
        <is>
          <t>mescaline derivative</t>
        </is>
      </c>
      <c r="D529" s="181" t="inlineStr">
        <is>
          <t>mescaline</t>
        </is>
      </c>
      <c r="E529" s="181" t="inlineStr">
        <is>
          <t>mescaline</t>
        </is>
      </c>
      <c r="F529" s="181" t="n">
        <v>1</v>
      </c>
      <c r="G529" s="181" t="inlineStr">
        <is>
          <t>serotonin receptor interaction</t>
        </is>
      </c>
      <c r="H529" s="181" t="inlineStr">
        <is>
          <t>inferred_plus_trusted_gov</t>
        </is>
      </c>
    </row>
    <row r="530">
      <c r="A530" s="181" t="inlineStr">
        <is>
          <t>general or unknown targets</t>
        </is>
      </c>
      <c r="B530" s="181" t="inlineStr">
        <is>
          <t>viscotoxin</t>
        </is>
      </c>
      <c r="C530" s="181" t="inlineStr">
        <is>
          <t>viscotoxin</t>
        </is>
      </c>
      <c r="D530" s="181" t="inlineStr">
        <is>
          <t>viscum-album</t>
        </is>
      </c>
      <c r="E530" s="181" t="inlineStr">
        <is>
          <t>mistletoe</t>
        </is>
      </c>
      <c r="F530" s="181" t="n">
        <v>1</v>
      </c>
      <c r="G530" s="181" t="inlineStr">
        <is>
          <t>multi-target signaling modulation</t>
        </is>
      </c>
      <c r="H530" s="181" t="inlineStr">
        <is>
          <t>citation_or_url_present</t>
        </is>
      </c>
    </row>
    <row r="531">
      <c r="A531" s="181" t="inlineStr">
        <is>
          <t>general or unknown targets</t>
        </is>
      </c>
      <c r="B531" s="181" t="inlineStr">
        <is>
          <t>mitrajavine</t>
        </is>
      </c>
      <c r="C531" s="181" t="inlineStr">
        <is>
          <t>mitrajavine</t>
        </is>
      </c>
      <c r="D531" s="181" t="inlineStr">
        <is>
          <t>mitragyna-javanica</t>
        </is>
      </c>
      <c r="E531" s="181" t="inlineStr">
        <is>
          <t>mitragyna javanica</t>
        </is>
      </c>
      <c r="F531" s="181" t="n">
        <v>1</v>
      </c>
      <c r="G531" s="181" t="inlineStr">
        <is>
          <t>multi-target signaling modulation</t>
        </is>
      </c>
      <c r="H531" s="181" t="inlineStr">
        <is>
          <t>inferred_plus_trusted_gov</t>
        </is>
      </c>
    </row>
    <row r="532">
      <c r="A532" s="181" t="inlineStr">
        <is>
          <t>general or unknown targets</t>
        </is>
      </c>
      <c r="B532" s="181" t="inlineStr">
        <is>
          <t>mitraphylline</t>
        </is>
      </c>
      <c r="C532" s="181" t="inlineStr">
        <is>
          <t>mitraphylline</t>
        </is>
      </c>
      <c r="D532" s="181" t="inlineStr">
        <is>
          <t>mitragyna-javanica; mitragyna-parvifolia</t>
        </is>
      </c>
      <c r="E532" s="181" t="inlineStr">
        <is>
          <t>mitragyna javanica; mitragyna parvifolia</t>
        </is>
      </c>
      <c r="F532" s="181" t="n">
        <v>2</v>
      </c>
      <c r="G532" s="181" t="inlineStr">
        <is>
          <t>multi-target signaling modulation</t>
        </is>
      </c>
      <c r="H532" s="181" t="inlineStr">
        <is>
          <t>inferred_plus_trusted_gov</t>
        </is>
      </c>
    </row>
    <row r="533">
      <c r="A533" s="181" t="inlineStr">
        <is>
          <t>general or unknown targets</t>
        </is>
      </c>
      <c r="B533" s="181" t="inlineStr">
        <is>
          <t>isomitraphylline</t>
        </is>
      </c>
      <c r="C533" s="181" t="inlineStr">
        <is>
          <t>isomitraphylline</t>
        </is>
      </c>
      <c r="D533" s="181" t="inlineStr">
        <is>
          <t>mitragyna-parvifolia</t>
        </is>
      </c>
      <c r="E533" s="181" t="inlineStr">
        <is>
          <t>mitragyna parvifolia</t>
        </is>
      </c>
      <c r="F533" s="181" t="n">
        <v>1</v>
      </c>
      <c r="G533" s="181" t="inlineStr">
        <is>
          <t>multi-target signaling modulation</t>
        </is>
      </c>
      <c r="H533" s="181" t="inlineStr">
        <is>
          <t>inferred_plus_trusted_gov</t>
        </is>
      </c>
    </row>
    <row r="534">
      <c r="A534" s="181" t="inlineStr">
        <is>
          <t>general or unknown targets</t>
        </is>
      </c>
      <c r="B534" s="181" t="inlineStr">
        <is>
          <t>charantin</t>
        </is>
      </c>
      <c r="C534" s="181" t="inlineStr">
        <is>
          <t>charantin</t>
        </is>
      </c>
      <c r="D534" s="181" t="inlineStr">
        <is>
          <t>momordica-charantia</t>
        </is>
      </c>
      <c r="E534" s="181" t="inlineStr">
        <is>
          <t>momordica charantia</t>
        </is>
      </c>
      <c r="F534" s="181" t="n">
        <v>1</v>
      </c>
      <c r="G534" s="181" t="inlineStr">
        <is>
          <t>multi-target signaling modulation</t>
        </is>
      </c>
      <c r="H534" s="181" t="inlineStr">
        <is>
          <t>inferred_plus_trusted_gov</t>
        </is>
      </c>
    </row>
    <row r="535">
      <c r="A535" s="181" t="inlineStr">
        <is>
          <t>general or unknown targets</t>
        </is>
      </c>
      <c r="B535" s="181" t="inlineStr">
        <is>
          <t>vicine</t>
        </is>
      </c>
      <c r="C535" s="181" t="inlineStr">
        <is>
          <t>vicine</t>
        </is>
      </c>
      <c r="D535" s="181" t="inlineStr">
        <is>
          <t>momordica-charantia</t>
        </is>
      </c>
      <c r="E535" s="181" t="inlineStr">
        <is>
          <t>momordica charantia</t>
        </is>
      </c>
      <c r="F535" s="181" t="n">
        <v>1</v>
      </c>
      <c r="G535" s="181" t="inlineStr">
        <is>
          <t>multi-target signaling modulation</t>
        </is>
      </c>
      <c r="H535" s="181" t="inlineStr">
        <is>
          <t>inferred_plus_trusted_gov</t>
        </is>
      </c>
    </row>
    <row r="536">
      <c r="A536" s="181" t="inlineStr">
        <is>
          <t>general or unknown targets</t>
        </is>
      </c>
      <c r="B536" s="181" t="inlineStr">
        <is>
          <t>polypeptide-p</t>
        </is>
      </c>
      <c r="C536" s="181" t="inlineStr">
        <is>
          <t>polypeptide-p</t>
        </is>
      </c>
      <c r="D536" s="181" t="inlineStr">
        <is>
          <t>momordica-charantia</t>
        </is>
      </c>
      <c r="E536" s="181" t="inlineStr">
        <is>
          <t>momordica charantia</t>
        </is>
      </c>
      <c r="F536" s="181" t="n">
        <v>1</v>
      </c>
      <c r="G536" s="181" t="inlineStr">
        <is>
          <t>multi-target signaling modulation</t>
        </is>
      </c>
      <c r="H536" s="181" t="inlineStr">
        <is>
          <t>inferred_plus_trusted_gov</t>
        </is>
      </c>
    </row>
    <row r="537">
      <c r="A537" s="181" t="inlineStr">
        <is>
          <t>general or unknown targets</t>
        </is>
      </c>
      <c r="B537" s="181" t="inlineStr">
        <is>
          <t>thymol</t>
        </is>
      </c>
      <c r="C537" s="181" t="inlineStr">
        <is>
          <t>thymol</t>
        </is>
      </c>
      <c r="D537" s="181" t="inlineStr">
        <is>
          <t>monarda-fistulosa; origanum-vulgare; thymus-vulgaris</t>
        </is>
      </c>
      <c r="E537" s="181" t="inlineStr">
        <is>
          <t>monarda fistulosa; origanum vulgare; thymus vulgaris</t>
        </is>
      </c>
      <c r="F537" s="181" t="n">
        <v>3</v>
      </c>
      <c r="G537" s="181" t="inlineStr">
        <is>
          <t>multi-target signaling modulation</t>
        </is>
      </c>
      <c r="H537" s="181" t="inlineStr">
        <is>
          <t>inferred_plus_trusted_gov; trusted_gov_added</t>
        </is>
      </c>
    </row>
    <row r="538">
      <c r="A538" s="181" t="inlineStr">
        <is>
          <t>general or unknown targets</t>
        </is>
      </c>
      <c r="B538" s="181" t="inlineStr">
        <is>
          <t>damnacanthal</t>
        </is>
      </c>
      <c r="C538" s="181" t="inlineStr">
        <is>
          <t>damnacanthal</t>
        </is>
      </c>
      <c r="D538" s="181" t="inlineStr">
        <is>
          <t>morinda-citrifolia</t>
        </is>
      </c>
      <c r="E538" s="181" t="inlineStr">
        <is>
          <t>morinda citrifolia</t>
        </is>
      </c>
      <c r="F538" s="181" t="n">
        <v>1</v>
      </c>
      <c r="G538" s="181" t="inlineStr">
        <is>
          <t>multi-target signaling modulation</t>
        </is>
      </c>
      <c r="H538" s="181" t="inlineStr">
        <is>
          <t>inferred_plus_trusted_gov</t>
        </is>
      </c>
    </row>
    <row r="539">
      <c r="A539" s="181" t="inlineStr">
        <is>
          <t>general or unknown targets</t>
        </is>
      </c>
      <c r="B539" s="181" t="inlineStr">
        <is>
          <t>scopoletin</t>
        </is>
      </c>
      <c r="C539" s="181" t="inlineStr">
        <is>
          <t>scopoletin</t>
        </is>
      </c>
      <c r="D539" s="181" t="inlineStr">
        <is>
          <t>morinda-citrifolia</t>
        </is>
      </c>
      <c r="E539" s="181" t="inlineStr">
        <is>
          <t>morinda citrifolia</t>
        </is>
      </c>
      <c r="F539" s="181" t="n">
        <v>1</v>
      </c>
      <c r="G539" s="181" t="inlineStr">
        <is>
          <t>multi-target signaling modulation</t>
        </is>
      </c>
      <c r="H539" s="181" t="inlineStr">
        <is>
          <t>inferred_plus_trusted_gov</t>
        </is>
      </c>
    </row>
    <row r="540">
      <c r="A540" s="181" t="inlineStr">
        <is>
          <t>general or unknown targets</t>
        </is>
      </c>
      <c r="B540" s="181" t="inlineStr">
        <is>
          <t>vanillin</t>
        </is>
      </c>
      <c r="C540" s="181" t="inlineStr">
        <is>
          <t>vanillin</t>
        </is>
      </c>
      <c r="D540" s="181" t="inlineStr">
        <is>
          <t>myroxylon-balsamum</t>
        </is>
      </c>
      <c r="E540" s="181" t="inlineStr">
        <is>
          <t>myroxylon balsamum</t>
        </is>
      </c>
      <c r="F540" s="181" t="n">
        <v>1</v>
      </c>
      <c r="G540" s="181" t="inlineStr">
        <is>
          <t>multi-target signaling modulation</t>
        </is>
      </c>
      <c r="H540" s="181" t="inlineStr">
        <is>
          <t>inferred_plus_trusted_gov</t>
        </is>
      </c>
    </row>
    <row r="541">
      <c r="A541" s="181" t="inlineStr">
        <is>
          <t>general or unknown targets</t>
        </is>
      </c>
      <c r="B541" s="181" t="inlineStr">
        <is>
          <t>benzyl benzoate</t>
        </is>
      </c>
      <c r="C541" s="181" t="inlineStr">
        <is>
          <t>benzyl benzoate</t>
        </is>
      </c>
      <c r="D541" s="181" t="inlineStr">
        <is>
          <t>myroxylon-balsamum</t>
        </is>
      </c>
      <c r="E541" s="181" t="inlineStr">
        <is>
          <t>myroxylon balsamum</t>
        </is>
      </c>
      <c r="F541" s="181" t="n">
        <v>1</v>
      </c>
      <c r="G541" s="181" t="inlineStr">
        <is>
          <t>multi-target signaling modulation</t>
        </is>
      </c>
      <c r="H541" s="181" t="inlineStr">
        <is>
          <t>inferred_plus_trusted_gov</t>
        </is>
      </c>
    </row>
    <row r="542">
      <c r="A542" s="181" t="inlineStr">
        <is>
          <t>general or unknown targets</t>
        </is>
      </c>
      <c r="B542" s="181" t="inlineStr">
        <is>
          <t>valeranone</t>
        </is>
      </c>
      <c r="C542" s="181" t="inlineStr">
        <is>
          <t>valeranone</t>
        </is>
      </c>
      <c r="D542" s="181" t="inlineStr">
        <is>
          <t>nardostachys-jatamansi</t>
        </is>
      </c>
      <c r="E542" s="181" t="inlineStr">
        <is>
          <t>nardostachys jatamansi</t>
        </is>
      </c>
      <c r="F542" s="181" t="n">
        <v>1</v>
      </c>
      <c r="G542" s="181" t="inlineStr">
        <is>
          <t>multi-target signaling modulation</t>
        </is>
      </c>
      <c r="H542" s="181" t="inlineStr">
        <is>
          <t>inferred_plus_trusted_gov</t>
        </is>
      </c>
    </row>
    <row r="543">
      <c r="A543" s="181" t="inlineStr">
        <is>
          <t>general or unknown targets</t>
        </is>
      </c>
      <c r="B543" s="181" t="inlineStr">
        <is>
          <t>jatamansone</t>
        </is>
      </c>
      <c r="C543" s="181" t="inlineStr">
        <is>
          <t>jatamansone</t>
        </is>
      </c>
      <c r="D543" s="181" t="inlineStr">
        <is>
          <t>nardostachys-jatamansi</t>
        </is>
      </c>
      <c r="E543" s="181" t="inlineStr">
        <is>
          <t>nardostachys jatamansi</t>
        </is>
      </c>
      <c r="F543" s="181" t="n">
        <v>1</v>
      </c>
      <c r="G543" s="181" t="inlineStr">
        <is>
          <t>multi-target signaling modulation</t>
        </is>
      </c>
      <c r="H543" s="181" t="inlineStr">
        <is>
          <t>inferred_plus_trusted_gov</t>
        </is>
      </c>
    </row>
    <row r="544">
      <c r="A544" s="181" t="inlineStr">
        <is>
          <t>general or unknown targets</t>
        </is>
      </c>
      <c r="B544" s="181" t="inlineStr">
        <is>
          <t>oleandrin</t>
        </is>
      </c>
      <c r="C544" s="181" t="inlineStr">
        <is>
          <t>oleandrin</t>
        </is>
      </c>
      <c r="D544" s="181" t="inlineStr">
        <is>
          <t>nerium-oleander</t>
        </is>
      </c>
      <c r="E544" s="181" t="inlineStr">
        <is>
          <t>nerium oleander</t>
        </is>
      </c>
      <c r="F544" s="181" t="n">
        <v>1</v>
      </c>
      <c r="G544" s="181" t="inlineStr">
        <is>
          <t>multi-target signaling modulation</t>
        </is>
      </c>
      <c r="H544" s="181" t="inlineStr">
        <is>
          <t>inferred_plus_trusted_gov</t>
        </is>
      </c>
    </row>
    <row r="545">
      <c r="A545" s="181" t="inlineStr">
        <is>
          <t>general or unknown targets</t>
        </is>
      </c>
      <c r="B545" s="181" t="inlineStr">
        <is>
          <t>neriine</t>
        </is>
      </c>
      <c r="C545" s="181" t="inlineStr">
        <is>
          <t>neriine</t>
        </is>
      </c>
      <c r="D545" s="181" t="inlineStr">
        <is>
          <t>nerium-oleander</t>
        </is>
      </c>
      <c r="E545" s="181" t="inlineStr">
        <is>
          <t>nerium oleander</t>
        </is>
      </c>
      <c r="F545" s="181" t="n">
        <v>1</v>
      </c>
      <c r="G545" s="181" t="inlineStr">
        <is>
          <t>multi-target signaling modulation</t>
        </is>
      </c>
      <c r="H545" s="181" t="inlineStr">
        <is>
          <t>inferred_plus_trusted_gov</t>
        </is>
      </c>
    </row>
    <row r="546">
      <c r="A546" s="181" t="inlineStr">
        <is>
          <t>cholinergic_modulation</t>
        </is>
      </c>
      <c r="B546" s="181" t="inlineStr">
        <is>
          <t>anabasine</t>
        </is>
      </c>
      <c r="C546" s="181" t="inlineStr">
        <is>
          <t>anabasine</t>
        </is>
      </c>
      <c r="D546" s="181" t="inlineStr">
        <is>
          <t>nicotiana-rustica</t>
        </is>
      </c>
      <c r="E546" s="181" t="inlineStr">
        <is>
          <t>nicotiana rustica</t>
        </is>
      </c>
      <c r="F546" s="181" t="n">
        <v>1</v>
      </c>
      <c r="G546" s="181" t="inlineStr">
        <is>
          <t>muscarinic receptor interaction</t>
        </is>
      </c>
      <c r="H546" s="181" t="inlineStr">
        <is>
          <t>trusted_gov_added</t>
        </is>
      </c>
    </row>
    <row r="547">
      <c r="A547" s="181" t="inlineStr">
        <is>
          <t>dopaminergic_modulation</t>
        </is>
      </c>
      <c r="B547" s="181" t="inlineStr">
        <is>
          <t>anabasine</t>
        </is>
      </c>
      <c r="C547" s="181" t="inlineStr">
        <is>
          <t>anabasine</t>
        </is>
      </c>
      <c r="D547" s="181" t="inlineStr">
        <is>
          <t>nicotiana-rustica</t>
        </is>
      </c>
      <c r="E547" s="181" t="inlineStr">
        <is>
          <t>nicotiana rustica</t>
        </is>
      </c>
      <c r="F547" s="181" t="n">
        <v>1</v>
      </c>
      <c r="G547" s="181" t="inlineStr">
        <is>
          <t>muscarinic receptor interaction</t>
        </is>
      </c>
      <c r="H547" s="181" t="inlineStr">
        <is>
          <t>trusted_gov_added</t>
        </is>
      </c>
    </row>
    <row r="548">
      <c r="A548" s="181" t="inlineStr">
        <is>
          <t>cholinergic_modulation</t>
        </is>
      </c>
      <c r="B548" s="181" t="inlineStr">
        <is>
          <t>nornicotine</t>
        </is>
      </c>
      <c r="C548" s="181" t="inlineStr">
        <is>
          <t>nornicotine</t>
        </is>
      </c>
      <c r="D548" s="181" t="inlineStr">
        <is>
          <t>duboisia-hopwoodii; nicotiana-rustica</t>
        </is>
      </c>
      <c r="E548" s="181" t="inlineStr">
        <is>
          <t>nicotiana rustica; pituri</t>
        </is>
      </c>
      <c r="F548" s="181" t="n">
        <v>2</v>
      </c>
      <c r="G548" s="181" t="inlineStr">
        <is>
          <t>multi-target signaling modulation; muscarinic receptor interaction</t>
        </is>
      </c>
      <c r="H548" s="181" t="inlineStr">
        <is>
          <t>inferred_plus_trusted_gov; trusted_gov_added</t>
        </is>
      </c>
    </row>
    <row r="549">
      <c r="A549" s="181" t="inlineStr">
        <is>
          <t>dopaminergic_modulation</t>
        </is>
      </c>
      <c r="B549" s="181" t="inlineStr">
        <is>
          <t>nornicotine</t>
        </is>
      </c>
      <c r="C549" s="181" t="inlineStr">
        <is>
          <t>nornicotine</t>
        </is>
      </c>
      <c r="D549" s="181" t="inlineStr">
        <is>
          <t>duboisia-hopwoodii; nicotiana-rustica</t>
        </is>
      </c>
      <c r="E549" s="181" t="inlineStr">
        <is>
          <t>nicotiana rustica; pituri</t>
        </is>
      </c>
      <c r="F549" s="181" t="n">
        <v>2</v>
      </c>
      <c r="G549" s="181" t="inlineStr">
        <is>
          <t>multi-target signaling modulation; muscarinic receptor interaction</t>
        </is>
      </c>
      <c r="H549" s="181" t="inlineStr">
        <is>
          <t>inferred_plus_trusted_gov; trusted_gov_added</t>
        </is>
      </c>
    </row>
    <row r="550">
      <c r="A550" s="181" t="inlineStr">
        <is>
          <t>general or unknown targets</t>
        </is>
      </c>
      <c r="B550" s="181" t="inlineStr">
        <is>
          <t>nornicotine</t>
        </is>
      </c>
      <c r="C550" s="181" t="inlineStr">
        <is>
          <t>nornicotine</t>
        </is>
      </c>
      <c r="D550" s="181" t="inlineStr">
        <is>
          <t>duboisia-hopwoodii; nicotiana-rustica</t>
        </is>
      </c>
      <c r="E550" s="181" t="inlineStr">
        <is>
          <t>nicotiana rustica; pituri</t>
        </is>
      </c>
      <c r="F550" s="181" t="n">
        <v>2</v>
      </c>
      <c r="G550" s="181" t="inlineStr">
        <is>
          <t>multi-target signaling modulation; muscarinic receptor interaction</t>
        </is>
      </c>
      <c r="H550" s="181" t="inlineStr">
        <is>
          <t>inferred_plus_trusted_gov; trusted_gov_added</t>
        </is>
      </c>
    </row>
    <row r="551">
      <c r="A551" s="181" t="inlineStr">
        <is>
          <t>cholinergic_modulation</t>
        </is>
      </c>
      <c r="B551" s="181" t="inlineStr">
        <is>
          <t>nicotine</t>
        </is>
      </c>
      <c r="C551" s="181" t="inlineStr">
        <is>
          <t>nicotine</t>
        </is>
      </c>
      <c r="D551" s="181" t="inlineStr">
        <is>
          <t>duboisia-hopwoodii; nicotiana-rustica; nicotiana-spp-polynesian</t>
        </is>
      </c>
      <c r="E551" s="181" t="inlineStr">
        <is>
          <t>nicotiana rustica; pituri; polynesian nicotiana spp.</t>
        </is>
      </c>
      <c r="F551" s="181" t="n">
        <v>3</v>
      </c>
      <c r="G551" s="181" t="inlineStr">
        <is>
          <t>multi-target signaling modulation; muscarinic receptor interaction</t>
        </is>
      </c>
      <c r="H551" s="181" t="inlineStr">
        <is>
          <t>inferred_plus_trusted_gov; trusted_gov_added</t>
        </is>
      </c>
    </row>
    <row r="552">
      <c r="A552" s="181" t="inlineStr">
        <is>
          <t>dopaminergic_modulation</t>
        </is>
      </c>
      <c r="B552" s="181" t="inlineStr">
        <is>
          <t>nicotine</t>
        </is>
      </c>
      <c r="C552" s="181" t="inlineStr">
        <is>
          <t>nicotine</t>
        </is>
      </c>
      <c r="D552" s="181" t="inlineStr">
        <is>
          <t>duboisia-hopwoodii; nicotiana-rustica; nicotiana-spp-polynesian</t>
        </is>
      </c>
      <c r="E552" s="181" t="inlineStr">
        <is>
          <t>nicotiana rustica; pituri; polynesian nicotiana spp.</t>
        </is>
      </c>
      <c r="F552" s="181" t="n">
        <v>3</v>
      </c>
      <c r="G552" s="181" t="inlineStr">
        <is>
          <t>multi-target signaling modulation; muscarinic receptor interaction</t>
        </is>
      </c>
      <c r="H552" s="181" t="inlineStr">
        <is>
          <t>inferred_plus_trusted_gov; trusted_gov_added</t>
        </is>
      </c>
    </row>
    <row r="553">
      <c r="A553" s="181" t="inlineStr">
        <is>
          <t>general or unknown targets</t>
        </is>
      </c>
      <c r="B553" s="181" t="inlineStr">
        <is>
          <t>nicotine</t>
        </is>
      </c>
      <c r="C553" s="181" t="inlineStr">
        <is>
          <t>nicotine</t>
        </is>
      </c>
      <c r="D553" s="181" t="inlineStr">
        <is>
          <t>duboisia-hopwoodii; nicotiana-rustica; nicotiana-spp-polynesian</t>
        </is>
      </c>
      <c r="E553" s="181" t="inlineStr">
        <is>
          <t>nicotiana rustica; pituri; polynesian nicotiana spp.</t>
        </is>
      </c>
      <c r="F553" s="181" t="n">
        <v>3</v>
      </c>
      <c r="G553" s="181" t="inlineStr">
        <is>
          <t>multi-target signaling modulation; muscarinic receptor interaction</t>
        </is>
      </c>
      <c r="H553" s="181" t="inlineStr">
        <is>
          <t>inferred_plus_trusted_gov; trusted_gov_added</t>
        </is>
      </c>
    </row>
    <row r="554">
      <c r="A554" s="181" t="inlineStr">
        <is>
          <t>general or unknown targets</t>
        </is>
      </c>
      <c r="B554" s="181" t="inlineStr">
        <is>
          <t>thymoquinone</t>
        </is>
      </c>
      <c r="C554" s="181" t="inlineStr">
        <is>
          <t>thymoquinone</t>
        </is>
      </c>
      <c r="D554" s="181" t="inlineStr">
        <is>
          <t>nigella-sativa</t>
        </is>
      </c>
      <c r="E554" s="181" t="inlineStr">
        <is>
          <t>nigella sativa</t>
        </is>
      </c>
      <c r="F554" s="181" t="n">
        <v>1</v>
      </c>
      <c r="G554" s="181" t="inlineStr">
        <is>
          <t>multi-target signaling modulation</t>
        </is>
      </c>
      <c r="H554" s="181" t="inlineStr">
        <is>
          <t>inferred_plus_trusted_gov</t>
        </is>
      </c>
    </row>
    <row r="555">
      <c r="A555" s="181" t="inlineStr">
        <is>
          <t>general or unknown targets</t>
        </is>
      </c>
      <c r="B555" s="181" t="inlineStr">
        <is>
          <t>nigellone</t>
        </is>
      </c>
      <c r="C555" s="181" t="inlineStr">
        <is>
          <t>nigellone</t>
        </is>
      </c>
      <c r="D555" s="181" t="inlineStr">
        <is>
          <t>nigella-sativa</t>
        </is>
      </c>
      <c r="E555" s="181" t="inlineStr">
        <is>
          <t>nigella sativa</t>
        </is>
      </c>
      <c r="F555" s="181" t="n">
        <v>1</v>
      </c>
      <c r="G555" s="181" t="inlineStr">
        <is>
          <t>multi-target signaling modulation</t>
        </is>
      </c>
      <c r="H555" s="181" t="inlineStr">
        <is>
          <t>inferred_plus_trusted_gov</t>
        </is>
      </c>
    </row>
    <row r="556">
      <c r="A556" s="181" t="inlineStr">
        <is>
          <t>general or unknown targets</t>
        </is>
      </c>
      <c r="B556" s="181" t="inlineStr">
        <is>
          <t>linoleic acid</t>
        </is>
      </c>
      <c r="C556" s="181" t="inlineStr">
        <is>
          <t>linoleic acid</t>
        </is>
      </c>
      <c r="D556" s="181" t="inlineStr">
        <is>
          <t>oenothera-biennis</t>
        </is>
      </c>
      <c r="E556" s="181" t="inlineStr">
        <is>
          <t>oenothera biennis</t>
        </is>
      </c>
      <c r="F556" s="181" t="n">
        <v>1</v>
      </c>
      <c r="G556" s="181" t="inlineStr">
        <is>
          <t>multi-target signaling modulation</t>
        </is>
      </c>
      <c r="H556" s="181" t="inlineStr">
        <is>
          <t>inferred_plus_trusted_gov</t>
        </is>
      </c>
    </row>
    <row r="557">
      <c r="A557" s="181" t="inlineStr">
        <is>
          <t>general or unknown targets</t>
        </is>
      </c>
      <c r="B557" s="181" t="inlineStr">
        <is>
          <t>ginsenosides rb1</t>
        </is>
      </c>
      <c r="C557" s="181" t="inlineStr">
        <is>
          <t>ginsenosides (rb1</t>
        </is>
      </c>
      <c r="D557" s="181" t="inlineStr">
        <is>
          <t>panax-quinquefolius</t>
        </is>
      </c>
      <c r="E557" s="181" t="inlineStr">
        <is>
          <t>panax quinquefolius</t>
        </is>
      </c>
      <c r="F557" s="181" t="n">
        <v>1</v>
      </c>
      <c r="G557" s="181" t="inlineStr">
        <is>
          <t>multi-target signaling modulation</t>
        </is>
      </c>
      <c r="H557" s="181" t="inlineStr">
        <is>
          <t>inferred_plus_trusted_gov</t>
        </is>
      </c>
    </row>
    <row r="558">
      <c r="A558" s="181" t="inlineStr">
        <is>
          <t>general or unknown targets</t>
        </is>
      </c>
      <c r="B558" s="181" t="inlineStr">
        <is>
          <t>re</t>
        </is>
      </c>
      <c r="C558" s="181" t="inlineStr">
        <is>
          <t>re)</t>
        </is>
      </c>
      <c r="D558" s="181" t="inlineStr">
        <is>
          <t>panax-quinquefolius</t>
        </is>
      </c>
      <c r="E558" s="181" t="inlineStr">
        <is>
          <t>panax quinquefolius</t>
        </is>
      </c>
      <c r="F558" s="181" t="n">
        <v>1</v>
      </c>
      <c r="G558" s="181" t="inlineStr">
        <is>
          <t>multi-target signaling modulation</t>
        </is>
      </c>
      <c r="H558" s="181" t="inlineStr">
        <is>
          <t>inferred_plus_trusted_gov</t>
        </is>
      </c>
    </row>
    <row r="559">
      <c r="A559" s="181" t="inlineStr">
        <is>
          <t>general or unknown targets</t>
        </is>
      </c>
      <c r="B559" s="181" t="inlineStr">
        <is>
          <t>morphine</t>
        </is>
      </c>
      <c r="C559" s="181" t="inlineStr">
        <is>
          <t>morphine</t>
        </is>
      </c>
      <c r="D559" s="181" t="inlineStr">
        <is>
          <t>papaver-somniferum</t>
        </is>
      </c>
      <c r="E559" s="181" t="inlineStr">
        <is>
          <t>papaver somniferum</t>
        </is>
      </c>
      <c r="F559" s="181" t="n">
        <v>1</v>
      </c>
      <c r="G559" s="181" t="inlineStr">
        <is>
          <t>multi-target signaling modulation</t>
        </is>
      </c>
      <c r="H559" s="181" t="inlineStr">
        <is>
          <t>inferred_plus_trusted_gov</t>
        </is>
      </c>
    </row>
    <row r="560">
      <c r="A560" s="181" t="inlineStr">
        <is>
          <t>general or unknown targets</t>
        </is>
      </c>
      <c r="B560" s="181" t="inlineStr">
        <is>
          <t>codeine</t>
        </is>
      </c>
      <c r="C560" s="181" t="inlineStr">
        <is>
          <t>codeine</t>
        </is>
      </c>
      <c r="D560" s="181" t="inlineStr">
        <is>
          <t>papaver-somniferum</t>
        </is>
      </c>
      <c r="E560" s="181" t="inlineStr">
        <is>
          <t>papaver somniferum</t>
        </is>
      </c>
      <c r="F560" s="181" t="n">
        <v>1</v>
      </c>
      <c r="G560" s="181" t="inlineStr">
        <is>
          <t>multi-target signaling modulation</t>
        </is>
      </c>
      <c r="H560" s="181" t="inlineStr">
        <is>
          <t>inferred_plus_trusted_gov</t>
        </is>
      </c>
    </row>
    <row r="561">
      <c r="A561" s="181" t="inlineStr">
        <is>
          <t>general or unknown targets</t>
        </is>
      </c>
      <c r="B561" s="181" t="inlineStr">
        <is>
          <t>thebaine</t>
        </is>
      </c>
      <c r="C561" s="181" t="inlineStr">
        <is>
          <t>thebaine</t>
        </is>
      </c>
      <c r="D561" s="181" t="inlineStr">
        <is>
          <t>papaver-somniferum</t>
        </is>
      </c>
      <c r="E561" s="181" t="inlineStr">
        <is>
          <t>papaver somniferum</t>
        </is>
      </c>
      <c r="F561" s="181" t="n">
        <v>1</v>
      </c>
      <c r="G561" s="181" t="inlineStr">
        <is>
          <t>multi-target signaling modulation</t>
        </is>
      </c>
      <c r="H561" s="181" t="inlineStr">
        <is>
          <t>inferred_plus_trusted_gov</t>
        </is>
      </c>
    </row>
    <row r="562">
      <c r="A562" s="181" t="inlineStr">
        <is>
          <t>general or unknown targets</t>
        </is>
      </c>
      <c r="B562" s="181" t="inlineStr">
        <is>
          <t>maltol</t>
        </is>
      </c>
      <c r="C562" s="181" t="inlineStr">
        <is>
          <t>maltol</t>
        </is>
      </c>
      <c r="D562" s="181" t="inlineStr">
        <is>
          <t>passiflora-incarnata</t>
        </is>
      </c>
      <c r="E562" s="181" t="inlineStr">
        <is>
          <t>passiflora incarnata</t>
        </is>
      </c>
      <c r="F562" s="181" t="n">
        <v>1</v>
      </c>
      <c r="G562" s="181" t="inlineStr">
        <is>
          <t>multi-target signaling modulation</t>
        </is>
      </c>
      <c r="H562" s="181" t="inlineStr">
        <is>
          <t>inferred_plus_trusted_gov</t>
        </is>
      </c>
    </row>
    <row r="563">
      <c r="A563" s="181" t="inlineStr">
        <is>
          <t>general or unknown targets</t>
        </is>
      </c>
      <c r="B563" s="181" t="inlineStr">
        <is>
          <t>harmalol</t>
        </is>
      </c>
      <c r="C563" s="181" t="inlineStr">
        <is>
          <t>harmalol</t>
        </is>
      </c>
      <c r="D563" s="181" t="inlineStr">
        <is>
          <t>peganum-harmala</t>
        </is>
      </c>
      <c r="E563" s="181" t="inlineStr">
        <is>
          <t>peganum harmala</t>
        </is>
      </c>
      <c r="F563" s="181" t="n">
        <v>1</v>
      </c>
      <c r="G563" s="181" t="inlineStr">
        <is>
          <t>multi-target signaling modulation</t>
        </is>
      </c>
      <c r="H563" s="181" t="inlineStr">
        <is>
          <t>inferred_plus_trusted_gov</t>
        </is>
      </c>
    </row>
    <row r="564">
      <c r="A564" s="181" t="inlineStr">
        <is>
          <t>general or unknown targets</t>
        </is>
      </c>
      <c r="B564" s="181" t="inlineStr">
        <is>
          <t>umckalin</t>
        </is>
      </c>
      <c r="C564" s="181" t="inlineStr">
        <is>
          <t>umckalin</t>
        </is>
      </c>
      <c r="D564" s="181" t="inlineStr">
        <is>
          <t>pelargonium-sidoides</t>
        </is>
      </c>
      <c r="E564" s="181" t="inlineStr">
        <is>
          <t>pelargonium sidoides</t>
        </is>
      </c>
      <c r="F564" s="181" t="n">
        <v>1</v>
      </c>
      <c r="G564" s="181" t="inlineStr">
        <is>
          <t>multi-target signaling modulation</t>
        </is>
      </c>
      <c r="H564" s="181" t="inlineStr">
        <is>
          <t>inferred_plus_trusted_gov</t>
        </is>
      </c>
    </row>
    <row r="565">
      <c r="A565" s="181" t="inlineStr">
        <is>
          <t>general or unknown targets</t>
        </is>
      </c>
      <c r="B565" s="181" t="inlineStr">
        <is>
          <t>pellucidin a</t>
        </is>
      </c>
      <c r="C565" s="181" t="inlineStr">
        <is>
          <t>pellucidin a</t>
        </is>
      </c>
      <c r="D565" s="181" t="inlineStr">
        <is>
          <t>peperomia-pellucida</t>
        </is>
      </c>
      <c r="E565" s="181" t="inlineStr">
        <is>
          <t>peperomia pellucida</t>
        </is>
      </c>
      <c r="F565" s="181" t="n">
        <v>1</v>
      </c>
      <c r="G565" s="181" t="inlineStr">
        <is>
          <t>multi-target signaling modulation</t>
        </is>
      </c>
      <c r="H565" s="181" t="inlineStr">
        <is>
          <t>inferred_plus_trusted_gov</t>
        </is>
      </c>
    </row>
    <row r="566">
      <c r="A566" s="181" t="inlineStr">
        <is>
          <t>general or unknown targets</t>
        </is>
      </c>
      <c r="B566" s="181" t="inlineStr">
        <is>
          <t>dibenzyl trisulfide</t>
        </is>
      </c>
      <c r="C566" s="181" t="inlineStr">
        <is>
          <t>dibenzyl trisulfide</t>
        </is>
      </c>
      <c r="D566" s="181" t="inlineStr">
        <is>
          <t>petiveria-alliacea</t>
        </is>
      </c>
      <c r="E566" s="181" t="inlineStr">
        <is>
          <t>petiveria alliacea</t>
        </is>
      </c>
      <c r="F566" s="181" t="n">
        <v>1</v>
      </c>
      <c r="G566" s="181" t="inlineStr">
        <is>
          <t>multi-target signaling modulation</t>
        </is>
      </c>
      <c r="H566" s="181" t="inlineStr">
        <is>
          <t>inferred_plus_trusted_gov</t>
        </is>
      </c>
    </row>
    <row r="567">
      <c r="A567" s="181" t="inlineStr">
        <is>
          <t>general or unknown targets</t>
        </is>
      </c>
      <c r="B567" s="181" t="inlineStr">
        <is>
          <t>gramine</t>
        </is>
      </c>
      <c r="C567" s="181" t="inlineStr">
        <is>
          <t>gramine</t>
        </is>
      </c>
      <c r="D567" s="181" t="inlineStr">
        <is>
          <t>phalaris-arundinacea</t>
        </is>
      </c>
      <c r="E567" s="181" t="inlineStr">
        <is>
          <t>phalaris arundinacea</t>
        </is>
      </c>
      <c r="F567" s="181" t="n">
        <v>1</v>
      </c>
      <c r="G567" s="181" t="inlineStr">
        <is>
          <t>multi-target signaling modulation</t>
        </is>
      </c>
      <c r="H567" s="181" t="inlineStr">
        <is>
          <t>inferred_plus_trusted_gov</t>
        </is>
      </c>
    </row>
    <row r="568">
      <c r="A568" s="181" t="inlineStr">
        <is>
          <t>general or unknown targets</t>
        </is>
      </c>
      <c r="B568" s="181" t="inlineStr">
        <is>
          <t>kutkoside</t>
        </is>
      </c>
      <c r="C568" s="181" t="inlineStr">
        <is>
          <t>kutkoside</t>
        </is>
      </c>
      <c r="D568" s="181" t="inlineStr">
        <is>
          <t>picrorhiza-kurroa</t>
        </is>
      </c>
      <c r="E568" s="181" t="inlineStr">
        <is>
          <t>picrorhiza kurroa</t>
        </is>
      </c>
      <c r="F568" s="181" t="n">
        <v>1</v>
      </c>
      <c r="G568" s="181" t="inlineStr">
        <is>
          <t>multi-target signaling modulation</t>
        </is>
      </c>
      <c r="H568" s="181" t="inlineStr">
        <is>
          <t>inferred_plus_trusted_gov</t>
        </is>
      </c>
    </row>
    <row r="569">
      <c r="A569" s="181" t="inlineStr">
        <is>
          <t>general or unknown targets</t>
        </is>
      </c>
      <c r="B569" s="181" t="inlineStr">
        <is>
          <t>myrcene</t>
        </is>
      </c>
      <c r="C569" s="181" t="inlineStr">
        <is>
          <t>myrcene</t>
        </is>
      </c>
      <c r="D569" s="181" t="inlineStr">
        <is>
          <t>pimenta-racemosa</t>
        </is>
      </c>
      <c r="E569" s="181" t="inlineStr">
        <is>
          <t>pimenta racemosa</t>
        </is>
      </c>
      <c r="F569" s="181" t="n">
        <v>1</v>
      </c>
      <c r="G569" s="181" t="inlineStr">
        <is>
          <t>multi-target signaling modulation</t>
        </is>
      </c>
      <c r="H569" s="181" t="inlineStr">
        <is>
          <t>inferred_plus_trusted_gov</t>
        </is>
      </c>
    </row>
    <row r="570">
      <c r="A570" s="181" t="inlineStr">
        <is>
          <t>general or unknown targets</t>
        </is>
      </c>
      <c r="B570" s="181" t="inlineStr">
        <is>
          <t>chavicol</t>
        </is>
      </c>
      <c r="C570" s="181" t="inlineStr">
        <is>
          <t>chavicol</t>
        </is>
      </c>
      <c r="D570" s="181" t="inlineStr">
        <is>
          <t>pimenta-racemosa</t>
        </is>
      </c>
      <c r="E570" s="181" t="inlineStr">
        <is>
          <t>pimenta racemosa</t>
        </is>
      </c>
      <c r="F570" s="181" t="n">
        <v>1</v>
      </c>
      <c r="G570" s="181" t="inlineStr">
        <is>
          <t>multi-target signaling modulation</t>
        </is>
      </c>
      <c r="H570" s="181" t="inlineStr">
        <is>
          <t>inferred_plus_trusted_gov</t>
        </is>
      </c>
    </row>
    <row r="571">
      <c r="A571" s="181" t="inlineStr">
        <is>
          <t>general or unknown targets</t>
        </is>
      </c>
      <c r="B571" s="181" t="inlineStr">
        <is>
          <t>safrole</t>
        </is>
      </c>
      <c r="C571" s="181" t="inlineStr">
        <is>
          <t>safrole</t>
        </is>
      </c>
      <c r="D571" s="181" t="inlineStr">
        <is>
          <t>piper-auritum</t>
        </is>
      </c>
      <c r="E571" s="181" t="inlineStr">
        <is>
          <t>piper auritum</t>
        </is>
      </c>
      <c r="F571" s="181" t="n">
        <v>1</v>
      </c>
      <c r="G571" s="181" t="inlineStr">
        <is>
          <t>multi-target signaling modulation</t>
        </is>
      </c>
      <c r="H571" s="181" t="inlineStr">
        <is>
          <t>inferred_plus_trusted_gov</t>
        </is>
      </c>
    </row>
    <row r="572">
      <c r="A572" s="181" t="inlineStr">
        <is>
          <t>general or unknown targets</t>
        </is>
      </c>
      <c r="B572" s="181" t="inlineStr">
        <is>
          <t>aucubin</t>
        </is>
      </c>
      <c r="C572" s="181" t="inlineStr">
        <is>
          <t>aucubin</t>
        </is>
      </c>
      <c r="D572" s="181" t="inlineStr">
        <is>
          <t>plantago-major</t>
        </is>
      </c>
      <c r="E572" s="181" t="inlineStr">
        <is>
          <t>plantago major</t>
        </is>
      </c>
      <c r="F572" s="181" t="n">
        <v>1</v>
      </c>
      <c r="G572" s="181" t="inlineStr">
        <is>
          <t>multi-target signaling modulation</t>
        </is>
      </c>
      <c r="H572" s="181" t="inlineStr">
        <is>
          <t>inferred_plus_trusted_gov</t>
        </is>
      </c>
    </row>
    <row r="573">
      <c r="A573" s="181" t="inlineStr">
        <is>
          <t>general or unknown targets</t>
        </is>
      </c>
      <c r="B573" s="181" t="inlineStr">
        <is>
          <t>allantoin</t>
        </is>
      </c>
      <c r="C573" s="181" t="inlineStr">
        <is>
          <t>allantoin</t>
        </is>
      </c>
      <c r="D573" s="181" t="inlineStr">
        <is>
          <t>plantago-major; symphytum-officinale</t>
        </is>
      </c>
      <c r="E573" s="181" t="inlineStr">
        <is>
          <t>plantago major; symphytum officinale</t>
        </is>
      </c>
      <c r="F573" s="181" t="n">
        <v>2</v>
      </c>
      <c r="G573" s="181" t="inlineStr">
        <is>
          <t>multi-target signaling modulation</t>
        </is>
      </c>
      <c r="H573" s="181" t="inlineStr">
        <is>
          <t>inferred_plus_trusted_gov</t>
        </is>
      </c>
    </row>
    <row r="574">
      <c r="A574" s="181" t="inlineStr">
        <is>
          <t>general or unknown targets</t>
        </is>
      </c>
      <c r="B574" s="181" t="inlineStr">
        <is>
          <t>podophyllotoxin</t>
        </is>
      </c>
      <c r="C574" s="181" t="inlineStr">
        <is>
          <t>podophyllotoxin</t>
        </is>
      </c>
      <c r="D574" s="181" t="inlineStr">
        <is>
          <t>podophyllum-peltatum</t>
        </is>
      </c>
      <c r="E574" s="181" t="inlineStr">
        <is>
          <t>podophyllum peltatum</t>
        </is>
      </c>
      <c r="F574" s="181" t="n">
        <v>1</v>
      </c>
      <c r="G574" s="181" t="inlineStr">
        <is>
          <t>multi-target signaling modulation</t>
        </is>
      </c>
      <c r="H574" s="181" t="inlineStr">
        <is>
          <t>inferred_plus_trusted_gov</t>
        </is>
      </c>
    </row>
    <row r="575">
      <c r="A575" s="181" t="inlineStr">
        <is>
          <t>general or unknown targets</t>
        </is>
      </c>
      <c r="B575" s="181" t="inlineStr">
        <is>
          <t>pachymic acid</t>
        </is>
      </c>
      <c r="C575" s="181" t="inlineStr">
        <is>
          <t>pachymic acid</t>
        </is>
      </c>
      <c r="D575" s="181" t="inlineStr">
        <is>
          <t>poria-cocos</t>
        </is>
      </c>
      <c r="E575" s="181" t="inlineStr">
        <is>
          <t>poria cocos</t>
        </is>
      </c>
      <c r="F575" s="181" t="n">
        <v>1</v>
      </c>
      <c r="G575" s="181" t="inlineStr">
        <is>
          <t>multi-target signaling modulation</t>
        </is>
      </c>
      <c r="H575" s="181" t="inlineStr">
        <is>
          <t>inferred_plus_trusted_gov</t>
        </is>
      </c>
    </row>
    <row r="576">
      <c r="A576" s="181" t="inlineStr">
        <is>
          <t>serotonergic_5HT2A_agonism</t>
        </is>
      </c>
      <c r="B576" s="181" t="inlineStr">
        <is>
          <t>psilocin</t>
        </is>
      </c>
      <c r="C576" s="181" t="inlineStr">
        <is>
          <t>psilocin</t>
        </is>
      </c>
      <c r="D576" s="181" t="inlineStr">
        <is>
          <t>psilocybe-mexicana</t>
        </is>
      </c>
      <c r="E576" s="181" t="inlineStr">
        <is>
          <t>psilocybe mexicana</t>
        </is>
      </c>
      <c r="F576" s="181" t="n">
        <v>1</v>
      </c>
      <c r="G576" s="181" t="inlineStr">
        <is>
          <t>serotonin receptor interaction</t>
        </is>
      </c>
      <c r="H576" s="181" t="inlineStr">
        <is>
          <t>inferred_plus_trusted_gov</t>
        </is>
      </c>
    </row>
    <row r="577">
      <c r="A577" s="181" t="inlineStr">
        <is>
          <t>serotonergic_5HT2A_agonism</t>
        </is>
      </c>
      <c r="B577" s="181" t="inlineStr">
        <is>
          <t>psilocybin</t>
        </is>
      </c>
      <c r="C577" s="181" t="inlineStr">
        <is>
          <t>psilocybin</t>
        </is>
      </c>
      <c r="D577" s="181" t="inlineStr">
        <is>
          <t>psilocybe-mexicana; psilocybin</t>
        </is>
      </c>
      <c r="E577" s="181" t="inlineStr">
        <is>
          <t>psilocybe mexicana; psilocybin</t>
        </is>
      </c>
      <c r="F577" s="181" t="n">
        <v>2</v>
      </c>
      <c r="G577" s="181" t="inlineStr">
        <is>
          <t>serotonin receptor interaction</t>
        </is>
      </c>
      <c r="H577" s="181" t="inlineStr">
        <is>
          <t>inferred_plus_trusted_gov</t>
        </is>
      </c>
    </row>
    <row r="578">
      <c r="A578" s="181" t="inlineStr">
        <is>
          <t>general or unknown targets</t>
        </is>
      </c>
      <c r="B578" s="181" t="inlineStr">
        <is>
          <t>miroestrol</t>
        </is>
      </c>
      <c r="C578" s="181" t="inlineStr">
        <is>
          <t>miroestrol</t>
        </is>
      </c>
      <c r="D578" s="181" t="inlineStr">
        <is>
          <t>pueraria-mirifica</t>
        </is>
      </c>
      <c r="E578" s="181" t="inlineStr">
        <is>
          <t>pueraria mirifica</t>
        </is>
      </c>
      <c r="F578" s="181" t="n">
        <v>1</v>
      </c>
      <c r="G578" s="181" t="inlineStr">
        <is>
          <t>multi-target signaling modulation</t>
        </is>
      </c>
      <c r="H578" s="181" t="inlineStr">
        <is>
          <t>inferred_plus_trusted_gov</t>
        </is>
      </c>
    </row>
    <row r="579">
      <c r="A579" s="181" t="inlineStr">
        <is>
          <t>general or unknown targets</t>
        </is>
      </c>
      <c r="B579" s="181" t="inlineStr">
        <is>
          <t>deoxymiroestrol</t>
        </is>
      </c>
      <c r="C579" s="181" t="inlineStr">
        <is>
          <t>deoxymiroestrol</t>
        </is>
      </c>
      <c r="D579" s="181" t="inlineStr">
        <is>
          <t>pueraria-mirifica</t>
        </is>
      </c>
      <c r="E579" s="181" t="inlineStr">
        <is>
          <t>pueraria mirifica</t>
        </is>
      </c>
      <c r="F579" s="181" t="n">
        <v>1</v>
      </c>
      <c r="G579" s="181" t="inlineStr">
        <is>
          <t>multi-target signaling modulation</t>
        </is>
      </c>
      <c r="H579" s="181" t="inlineStr">
        <is>
          <t>inferred_plus_trusted_gov</t>
        </is>
      </c>
    </row>
    <row r="580">
      <c r="A580" s="181" t="inlineStr">
        <is>
          <t>general or unknown targets</t>
        </is>
      </c>
      <c r="B580" s="181" t="inlineStr">
        <is>
          <t>neoquassin</t>
        </is>
      </c>
      <c r="C580" s="181" t="inlineStr">
        <is>
          <t>neoquassin</t>
        </is>
      </c>
      <c r="D580" s="181" t="inlineStr">
        <is>
          <t>quassia-amara</t>
        </is>
      </c>
      <c r="E580" s="181" t="inlineStr">
        <is>
          <t>quassia amara</t>
        </is>
      </c>
      <c r="F580" s="181" t="n">
        <v>1</v>
      </c>
      <c r="G580" s="181" t="inlineStr">
        <is>
          <t>multi-target signaling modulation</t>
        </is>
      </c>
      <c r="H580" s="181" t="inlineStr">
        <is>
          <t>inferred_plus_trusted_gov</t>
        </is>
      </c>
    </row>
    <row r="581">
      <c r="A581" s="181" t="inlineStr">
        <is>
          <t>general or unknown targets</t>
        </is>
      </c>
      <c r="B581" s="181" t="inlineStr">
        <is>
          <t>quassin</t>
        </is>
      </c>
      <c r="C581" s="181" t="inlineStr">
        <is>
          <t>quassin</t>
        </is>
      </c>
      <c r="D581" s="181" t="inlineStr">
        <is>
          <t>quassia-amara</t>
        </is>
      </c>
      <c r="E581" s="181" t="inlineStr">
        <is>
          <t>quassia amara</t>
        </is>
      </c>
      <c r="F581" s="181" t="n">
        <v>1</v>
      </c>
      <c r="G581" s="181" t="inlineStr">
        <is>
          <t>multi-target signaling modulation</t>
        </is>
      </c>
      <c r="H581" s="181" t="inlineStr">
        <is>
          <t>inferred_plus_trusted_gov</t>
        </is>
      </c>
    </row>
    <row r="582">
      <c r="A582" s="181" t="inlineStr">
        <is>
          <t>general or unknown targets</t>
        </is>
      </c>
      <c r="B582" s="181" t="inlineStr">
        <is>
          <t>serpentine</t>
        </is>
      </c>
      <c r="C582" s="181" t="inlineStr">
        <is>
          <t>serpentine</t>
        </is>
      </c>
      <c r="D582" s="181" t="inlineStr">
        <is>
          <t>rauvolfia-serpentina</t>
        </is>
      </c>
      <c r="E582" s="181" t="inlineStr">
        <is>
          <t>rauvolfia serpentina</t>
        </is>
      </c>
      <c r="F582" s="181" t="n">
        <v>1</v>
      </c>
      <c r="G582" s="181" t="inlineStr">
        <is>
          <t>multi-target signaling modulation</t>
        </is>
      </c>
      <c r="H582" s="181" t="inlineStr">
        <is>
          <t>inferred_plus_trusted_gov</t>
        </is>
      </c>
    </row>
    <row r="583">
      <c r="A583" s="181" t="inlineStr">
        <is>
          <t>general or unknown targets</t>
        </is>
      </c>
      <c r="B583" s="181" t="inlineStr">
        <is>
          <t>reserpine</t>
        </is>
      </c>
      <c r="C583" s="181" t="inlineStr">
        <is>
          <t>reserpine</t>
        </is>
      </c>
      <c r="D583" s="181" t="inlineStr">
        <is>
          <t>rauvolfia-serpentina; rauvolfia-vomitoria</t>
        </is>
      </c>
      <c r="E583" s="181" t="inlineStr">
        <is>
          <t>rauvolfia serpentina; rauvolfia vomitoria</t>
        </is>
      </c>
      <c r="F583" s="181" t="n">
        <v>2</v>
      </c>
      <c r="G583" s="181" t="inlineStr">
        <is>
          <t>multi-target signaling modulation</t>
        </is>
      </c>
      <c r="H583" s="181" t="inlineStr">
        <is>
          <t>inferred_plus_trusted_gov</t>
        </is>
      </c>
    </row>
    <row r="584">
      <c r="A584" s="181" t="inlineStr">
        <is>
          <t>general or unknown targets</t>
        </is>
      </c>
      <c r="B584" s="181" t="inlineStr">
        <is>
          <t>ajmaline</t>
        </is>
      </c>
      <c r="C584" s="181" t="inlineStr">
        <is>
          <t>ajmaline</t>
        </is>
      </c>
      <c r="D584" s="181" t="inlineStr">
        <is>
          <t>rauvolfia-serpentina; rauvolfia-vomitoria</t>
        </is>
      </c>
      <c r="E584" s="181" t="inlineStr">
        <is>
          <t>rauvolfia serpentina; rauvolfia vomitoria</t>
        </is>
      </c>
      <c r="F584" s="181" t="n">
        <v>2</v>
      </c>
      <c r="G584" s="181" t="inlineStr">
        <is>
          <t>multi-target signaling modulation</t>
        </is>
      </c>
      <c r="H584" s="181" t="inlineStr">
        <is>
          <t>inferred_plus_trusted_gov</t>
        </is>
      </c>
    </row>
    <row r="585">
      <c r="A585" s="181" t="inlineStr">
        <is>
          <t>general or unknown targets</t>
        </is>
      </c>
      <c r="B585" s="181" t="inlineStr">
        <is>
          <t>rosavin</t>
        </is>
      </c>
      <c r="C585" s="181" t="inlineStr">
        <is>
          <t>rosavin</t>
        </is>
      </c>
      <c r="D585" s="181" t="inlineStr">
        <is>
          <t>rhodiola</t>
        </is>
      </c>
      <c r="E585" s="181" t="inlineStr">
        <is>
          <t>rhodiola</t>
        </is>
      </c>
      <c r="F585" s="181" t="n">
        <v>1</v>
      </c>
      <c r="G585" s="181" t="inlineStr">
        <is>
          <t>multi-target signaling modulation</t>
        </is>
      </c>
      <c r="H585" s="181" t="inlineStr">
        <is>
          <t>inferred_plus_trusted_gov</t>
        </is>
      </c>
    </row>
    <row r="586">
      <c r="A586" s="181" t="inlineStr">
        <is>
          <t>general or unknown targets</t>
        </is>
      </c>
      <c r="B586" s="181" t="inlineStr">
        <is>
          <t>ricin</t>
        </is>
      </c>
      <c r="C586" s="181" t="inlineStr">
        <is>
          <t>ricin</t>
        </is>
      </c>
      <c r="D586" s="181" t="inlineStr">
        <is>
          <t>ricinus-communis</t>
        </is>
      </c>
      <c r="E586" s="181" t="inlineStr">
        <is>
          <t>ricinus communis</t>
        </is>
      </c>
      <c r="F586" s="181" t="n">
        <v>1</v>
      </c>
      <c r="G586" s="181" t="inlineStr">
        <is>
          <t>multi-target signaling modulation</t>
        </is>
      </c>
      <c r="H586" s="181" t="inlineStr">
        <is>
          <t>inferred_plus_trusted_gov</t>
        </is>
      </c>
    </row>
    <row r="587">
      <c r="A587" s="181" t="inlineStr">
        <is>
          <t>general or unknown targets</t>
        </is>
      </c>
      <c r="B587" s="181" t="inlineStr">
        <is>
          <t>ricinoleic acid</t>
        </is>
      </c>
      <c r="C587" s="181" t="inlineStr">
        <is>
          <t>ricinoleic acid</t>
        </is>
      </c>
      <c r="D587" s="181" t="inlineStr">
        <is>
          <t>ricinus-communis</t>
        </is>
      </c>
      <c r="E587" s="181" t="inlineStr">
        <is>
          <t>ricinus communis</t>
        </is>
      </c>
      <c r="F587" s="181" t="n">
        <v>1</v>
      </c>
      <c r="G587" s="181" t="inlineStr">
        <is>
          <t>multi-target signaling modulation</t>
        </is>
      </c>
      <c r="H587" s="181" t="inlineStr">
        <is>
          <t>inferred_plus_trusted_gov</t>
        </is>
      </c>
    </row>
    <row r="588">
      <c r="A588" s="181" t="inlineStr">
        <is>
          <t>general or unknown targets</t>
        </is>
      </c>
      <c r="B588" s="181" t="inlineStr">
        <is>
          <t>vitamin c</t>
        </is>
      </c>
      <c r="C588" s="181" t="inlineStr">
        <is>
          <t>vitamin c</t>
        </is>
      </c>
      <c r="D588" s="181" t="inlineStr">
        <is>
          <t>rosa-canina</t>
        </is>
      </c>
      <c r="E588" s="181" t="inlineStr">
        <is>
          <t>rosa canina</t>
        </is>
      </c>
      <c r="F588" s="181" t="n">
        <v>1</v>
      </c>
      <c r="G588" s="181" t="inlineStr">
        <is>
          <t>multi-target signaling modulation</t>
        </is>
      </c>
      <c r="H588" s="181" t="inlineStr">
        <is>
          <t>inferred_plus_trusted_gov</t>
        </is>
      </c>
    </row>
    <row r="589">
      <c r="A589" s="181" t="inlineStr">
        <is>
          <t>general or unknown targets</t>
        </is>
      </c>
      <c r="B589" s="181" t="inlineStr">
        <is>
          <t>carnosic acid</t>
        </is>
      </c>
      <c r="C589" s="181" t="inlineStr">
        <is>
          <t>carnosic acid</t>
        </is>
      </c>
      <c r="D589" s="181" t="inlineStr">
        <is>
          <t>rosmarinus-officinalis</t>
        </is>
      </c>
      <c r="E589" s="181" t="inlineStr">
        <is>
          <t>rosmarinus officinalis</t>
        </is>
      </c>
      <c r="F589" s="181" t="n">
        <v>1</v>
      </c>
      <c r="G589" s="181" t="inlineStr">
        <is>
          <t>multi-target signaling modulation</t>
        </is>
      </c>
      <c r="H589" s="181" t="inlineStr">
        <is>
          <t>inferred_plus_trusted_gov</t>
        </is>
      </c>
    </row>
    <row r="590">
      <c r="A590" s="181" t="inlineStr">
        <is>
          <t>general or unknown targets</t>
        </is>
      </c>
      <c r="B590" s="181" t="inlineStr">
        <is>
          <t>kotalanol</t>
        </is>
      </c>
      <c r="C590" s="181" t="inlineStr">
        <is>
          <t>kotalanol</t>
        </is>
      </c>
      <c r="D590" s="181" t="inlineStr">
        <is>
          <t>salacia-reticulata</t>
        </is>
      </c>
      <c r="E590" s="181" t="inlineStr">
        <is>
          <t>salacia reticulata</t>
        </is>
      </c>
      <c r="F590" s="181" t="n">
        <v>1</v>
      </c>
      <c r="G590" s="181" t="inlineStr">
        <is>
          <t>multi-target signaling modulation</t>
        </is>
      </c>
      <c r="H590" s="181" t="inlineStr">
        <is>
          <t>inferred_plus_trusted_gov</t>
        </is>
      </c>
    </row>
    <row r="591">
      <c r="A591" s="181" t="inlineStr">
        <is>
          <t>general or unknown targets</t>
        </is>
      </c>
      <c r="B591" s="181" t="inlineStr">
        <is>
          <t>salacinol</t>
        </is>
      </c>
      <c r="C591" s="181" t="inlineStr">
        <is>
          <t>salacinol</t>
        </is>
      </c>
      <c r="D591" s="181" t="inlineStr">
        <is>
          <t>salacia-reticulata</t>
        </is>
      </c>
      <c r="E591" s="181" t="inlineStr">
        <is>
          <t>salacia reticulata</t>
        </is>
      </c>
      <c r="F591" s="181" t="n">
        <v>1</v>
      </c>
      <c r="G591" s="181" t="inlineStr">
        <is>
          <t>multi-target signaling modulation</t>
        </is>
      </c>
      <c r="H591" s="181" t="inlineStr">
        <is>
          <t>inferred_plus_trusted_gov</t>
        </is>
      </c>
    </row>
    <row r="592">
      <c r="A592" s="181" t="inlineStr">
        <is>
          <t>general or unknown targets</t>
        </is>
      </c>
      <c r="B592" s="181" t="inlineStr">
        <is>
          <t>salicin</t>
        </is>
      </c>
      <c r="C592" s="181" t="inlineStr">
        <is>
          <t>salicin</t>
        </is>
      </c>
      <c r="D592" s="181" t="inlineStr">
        <is>
          <t>salix-alba; viburnum-opulus</t>
        </is>
      </c>
      <c r="E592" s="181" t="inlineStr">
        <is>
          <t>salix alba; viburnum opulus</t>
        </is>
      </c>
      <c r="F592" s="181" t="n">
        <v>2</v>
      </c>
      <c r="G592" s="181" t="inlineStr">
        <is>
          <t>multi-target signaling modulation</t>
        </is>
      </c>
      <c r="H592" s="181" t="inlineStr">
        <is>
          <t>inferred_plus_trusted_gov</t>
        </is>
      </c>
    </row>
    <row r="593">
      <c r="A593" s="181" t="inlineStr">
        <is>
          <t>general or unknown targets</t>
        </is>
      </c>
      <c r="B593" s="181" t="inlineStr">
        <is>
          <t>salvinorin a</t>
        </is>
      </c>
      <c r="C593" s="181" t="inlineStr">
        <is>
          <t>salvinorin a</t>
        </is>
      </c>
      <c r="D593" s="181" t="inlineStr">
        <is>
          <t>salvia-divinorum</t>
        </is>
      </c>
      <c r="E593" s="181" t="inlineStr">
        <is>
          <t>salvia divinorum</t>
        </is>
      </c>
      <c r="F593" s="181" t="n">
        <v>1</v>
      </c>
      <c r="G593" s="181" t="inlineStr">
        <is>
          <t>multi-target signaling modulation</t>
        </is>
      </c>
      <c r="H593" s="181" t="inlineStr">
        <is>
          <t>inferred_plus_trusted_gov</t>
        </is>
      </c>
    </row>
    <row r="594">
      <c r="A594" s="181" t="inlineStr">
        <is>
          <t>general or unknown targets</t>
        </is>
      </c>
      <c r="B594" s="181" t="inlineStr">
        <is>
          <t>sambunigrin</t>
        </is>
      </c>
      <c r="C594" s="181" t="inlineStr">
        <is>
          <t>sambunigrin</t>
        </is>
      </c>
      <c r="D594" s="181" t="inlineStr">
        <is>
          <t>sambucus-nigra</t>
        </is>
      </c>
      <c r="E594" s="181" t="inlineStr">
        <is>
          <t>sambucus nigra</t>
        </is>
      </c>
      <c r="F594" s="181" t="n">
        <v>1</v>
      </c>
      <c r="G594" s="181" t="inlineStr">
        <is>
          <t>multi-target signaling modulation</t>
        </is>
      </c>
      <c r="H594" s="181" t="inlineStr">
        <is>
          <t>inferred_plus_trusted_gov</t>
        </is>
      </c>
    </row>
    <row r="595">
      <c r="A595" s="181" t="inlineStr">
        <is>
          <t>general or unknown targets</t>
        </is>
      </c>
      <c r="B595" s="181" t="inlineStr">
        <is>
          <t>sanguinarine</t>
        </is>
      </c>
      <c r="C595" s="181" t="inlineStr">
        <is>
          <t>sanguinarine</t>
        </is>
      </c>
      <c r="D595" s="181" t="inlineStr">
        <is>
          <t>sanguinaria-canadensis</t>
        </is>
      </c>
      <c r="E595" s="181" t="inlineStr">
        <is>
          <t>sanguinaria canadensis</t>
        </is>
      </c>
      <c r="F595" s="181" t="n">
        <v>1</v>
      </c>
      <c r="G595" s="181" t="inlineStr">
        <is>
          <t>multi-target signaling modulation</t>
        </is>
      </c>
      <c r="H595" s="181" t="inlineStr">
        <is>
          <t>inferred_plus_trusted_gov</t>
        </is>
      </c>
    </row>
    <row r="596">
      <c r="A596" s="181" t="inlineStr">
        <is>
          <t>general or unknown targets</t>
        </is>
      </c>
      <c r="B596" s="181" t="inlineStr">
        <is>
          <t>chelerythrine</t>
        </is>
      </c>
      <c r="C596" s="181" t="inlineStr">
        <is>
          <t>chelerythrine</t>
        </is>
      </c>
      <c r="D596" s="181" t="inlineStr">
        <is>
          <t>sanguinaria-canadensis</t>
        </is>
      </c>
      <c r="E596" s="181" t="inlineStr">
        <is>
          <t>sanguinaria canadensis</t>
        </is>
      </c>
      <c r="F596" s="181" t="n">
        <v>1</v>
      </c>
      <c r="G596" s="181" t="inlineStr">
        <is>
          <t>multi-target signaling modulation</t>
        </is>
      </c>
      <c r="H596" s="181" t="inlineStr">
        <is>
          <t>inferred_plus_trusted_gov</t>
        </is>
      </c>
    </row>
    <row r="597">
      <c r="A597" s="181" t="inlineStr">
        <is>
          <t>general or unknown targets</t>
        </is>
      </c>
      <c r="B597" s="181" t="inlineStr">
        <is>
          <t>mesembrenone</t>
        </is>
      </c>
      <c r="C597" s="181" t="inlineStr">
        <is>
          <t>mesembrenone</t>
        </is>
      </c>
      <c r="D597" s="181" t="inlineStr">
        <is>
          <t>sceletium-expansum; sceletium-tortuosum; sceletium-tortuosum-kanna</t>
        </is>
      </c>
      <c r="E597" s="181" t="inlineStr">
        <is>
          <t>sceletium expansum; sceletium tortuosum; sceletium tortuosum (kanna)</t>
        </is>
      </c>
      <c r="F597" s="181" t="n">
        <v>3</v>
      </c>
      <c r="G597" s="181" t="inlineStr">
        <is>
          <t>multi-target signaling modulation</t>
        </is>
      </c>
      <c r="H597" s="181" t="inlineStr">
        <is>
          <t>inferred_plus_trusted_gov</t>
        </is>
      </c>
    </row>
    <row r="598">
      <c r="A598" s="181" t="inlineStr">
        <is>
          <t>general or unknown targets</t>
        </is>
      </c>
      <c r="B598" s="181" t="inlineStr">
        <is>
          <t>mesembranol</t>
        </is>
      </c>
      <c r="C598" s="181" t="inlineStr">
        <is>
          <t>mesembranol</t>
        </is>
      </c>
      <c r="D598" s="181" t="inlineStr">
        <is>
          <t>sceletium-tortuosum; sceletium-tortuosum-kanna</t>
        </is>
      </c>
      <c r="E598" s="181" t="inlineStr">
        <is>
          <t>sceletium tortuosum; sceletium tortuosum (kanna)</t>
        </is>
      </c>
      <c r="F598" s="181" t="n">
        <v>2</v>
      </c>
      <c r="G598" s="181" t="inlineStr">
        <is>
          <t>multi-target signaling modulation</t>
        </is>
      </c>
      <c r="H598" s="181" t="inlineStr">
        <is>
          <t>inferred_plus_trusted_gov</t>
        </is>
      </c>
    </row>
    <row r="599">
      <c r="A599" s="181" t="inlineStr">
        <is>
          <t>general or unknown targets</t>
        </is>
      </c>
      <c r="B599" s="181" t="inlineStr">
        <is>
          <t>mesembrine</t>
        </is>
      </c>
      <c r="C599" s="181" t="inlineStr">
        <is>
          <t>mesembrine</t>
        </is>
      </c>
      <c r="D599" s="181" t="inlineStr">
        <is>
          <t>sceletium-tortuosum; sceletium-tortuosum-kanna</t>
        </is>
      </c>
      <c r="E599" s="181" t="inlineStr">
        <is>
          <t>sceletium tortuosum; sceletium tortuosum (kanna)</t>
        </is>
      </c>
      <c r="F599" s="181" t="n">
        <v>2</v>
      </c>
      <c r="G599" s="181" t="inlineStr">
        <is>
          <t>multi-target signaling modulation</t>
        </is>
      </c>
      <c r="H599" s="181" t="inlineStr">
        <is>
          <t>inferred_plus_trusted_gov</t>
        </is>
      </c>
    </row>
    <row r="600">
      <c r="A600" s="181" t="inlineStr">
        <is>
          <t>general or unknown targets</t>
        </is>
      </c>
      <c r="B600" s="181" t="inlineStr">
        <is>
          <t>mesembrenol</t>
        </is>
      </c>
      <c r="C600" s="181" t="inlineStr">
        <is>
          <t>mesembrenol</t>
        </is>
      </c>
      <c r="D600" s="181" t="inlineStr">
        <is>
          <t>sceletium-tortuosum; sceletium-tortuosum-kanna</t>
        </is>
      </c>
      <c r="E600" s="181" t="inlineStr">
        <is>
          <t>sceletium tortuosum; sceletium tortuosum (kanna)</t>
        </is>
      </c>
      <c r="F600" s="181" t="n">
        <v>2</v>
      </c>
      <c r="G600" s="181" t="inlineStr">
        <is>
          <t>multi-target signaling modulation</t>
        </is>
      </c>
      <c r="H600" s="181" t="inlineStr">
        <is>
          <t>inferred_plus_trusted_gov</t>
        </is>
      </c>
    </row>
    <row r="601">
      <c r="A601" s="181" t="inlineStr">
        <is>
          <t>general or unknown targets</t>
        </is>
      </c>
      <c r="B601" s="181" t="inlineStr">
        <is>
          <t>gomisin</t>
        </is>
      </c>
      <c r="C601" s="181" t="inlineStr">
        <is>
          <t>gomisin</t>
        </is>
      </c>
      <c r="D601" s="181" t="inlineStr">
        <is>
          <t>schisandra-chinensis</t>
        </is>
      </c>
      <c r="E601" s="181" t="inlineStr">
        <is>
          <t>schisandra chinensis</t>
        </is>
      </c>
      <c r="F601" s="181" t="n">
        <v>1</v>
      </c>
      <c r="G601" s="181" t="inlineStr">
        <is>
          <t>multi-target signaling modulation</t>
        </is>
      </c>
      <c r="H601" s="181" t="inlineStr">
        <is>
          <t>inferred_plus_trusted_gov</t>
        </is>
      </c>
    </row>
    <row r="602">
      <c r="A602" s="181" t="inlineStr">
        <is>
          <t>general or unknown targets</t>
        </is>
      </c>
      <c r="B602" s="181" t="inlineStr">
        <is>
          <t>schisandrin</t>
        </is>
      </c>
      <c r="C602" s="181" t="inlineStr">
        <is>
          <t>schisandrin</t>
        </is>
      </c>
      <c r="D602" s="181" t="inlineStr">
        <is>
          <t>schisandra-chinensis</t>
        </is>
      </c>
      <c r="E602" s="181" t="inlineStr">
        <is>
          <t>schisandra chinensis</t>
        </is>
      </c>
      <c r="F602" s="181" t="n">
        <v>1</v>
      </c>
      <c r="G602" s="181" t="inlineStr">
        <is>
          <t>multi-target signaling modulation</t>
        </is>
      </c>
      <c r="H602" s="181" t="inlineStr">
        <is>
          <t>inferred_plus_trusted_gov</t>
        </is>
      </c>
    </row>
    <row r="603">
      <c r="A603" s="181" t="inlineStr">
        <is>
          <t>general or unknown targets</t>
        </is>
      </c>
      <c r="B603" s="181" t="inlineStr">
        <is>
          <t>scopadulcic acid</t>
        </is>
      </c>
      <c r="C603" s="181" t="inlineStr">
        <is>
          <t>scopadulcic acid</t>
        </is>
      </c>
      <c r="D603" s="181" t="inlineStr">
        <is>
          <t>scoparia-dulcis</t>
        </is>
      </c>
      <c r="E603" s="181" t="inlineStr">
        <is>
          <t>scoparia dulcis</t>
        </is>
      </c>
      <c r="F603" s="181" t="n">
        <v>1</v>
      </c>
      <c r="G603" s="181" t="inlineStr">
        <is>
          <t>multi-target signaling modulation</t>
        </is>
      </c>
      <c r="H603" s="181" t="inlineStr">
        <is>
          <t>inferred_plus_trusted_gov</t>
        </is>
      </c>
    </row>
    <row r="604">
      <c r="A604" s="181" t="inlineStr">
        <is>
          <t>general or unknown targets</t>
        </is>
      </c>
      <c r="B604" s="181" t="inlineStr">
        <is>
          <t>scoparin</t>
        </is>
      </c>
      <c r="C604" s="181" t="inlineStr">
        <is>
          <t>scoparin</t>
        </is>
      </c>
      <c r="D604" s="181" t="inlineStr">
        <is>
          <t>scoparia-dulcis</t>
        </is>
      </c>
      <c r="E604" s="181" t="inlineStr">
        <is>
          <t>scoparia dulcis</t>
        </is>
      </c>
      <c r="F604" s="181" t="n">
        <v>1</v>
      </c>
      <c r="G604" s="181" t="inlineStr">
        <is>
          <t>multi-target signaling modulation</t>
        </is>
      </c>
      <c r="H604" s="181" t="inlineStr">
        <is>
          <t>inferred_plus_trusted_gov</t>
        </is>
      </c>
    </row>
    <row r="605">
      <c r="A605" s="181" t="inlineStr">
        <is>
          <t>gabaergic_modulation</t>
        </is>
      </c>
      <c r="B605" s="181" t="inlineStr">
        <is>
          <t>baicalin</t>
        </is>
      </c>
      <c r="C605" s="181" t="inlineStr">
        <is>
          <t>baicalin</t>
        </is>
      </c>
      <c r="D605" s="181" t="inlineStr">
        <is>
          <t>scutellaria-baicalensis; scutellaria-lateriflora</t>
        </is>
      </c>
      <c r="E605" s="181" t="inlineStr">
        <is>
          <t>scutellaria baicalensis; scutellaria lateriflora</t>
        </is>
      </c>
      <c r="F605" s="181" t="n">
        <v>2</v>
      </c>
      <c r="G605" s="181" t="inlineStr">
        <is>
          <t>GABAergic modulation; multi-target signaling modulation</t>
        </is>
      </c>
      <c r="H605" s="181" t="inlineStr">
        <is>
          <t>inferred_plus_trusted_gov; trusted_gov_added</t>
        </is>
      </c>
    </row>
    <row r="606">
      <c r="A606" s="181" t="inlineStr">
        <is>
          <t>general or unknown targets</t>
        </is>
      </c>
      <c r="B606" s="181" t="inlineStr">
        <is>
          <t>baicalin</t>
        </is>
      </c>
      <c r="C606" s="181" t="inlineStr">
        <is>
          <t>baicalin</t>
        </is>
      </c>
      <c r="D606" s="181" t="inlineStr">
        <is>
          <t>scutellaria-baicalensis; scutellaria-lateriflora</t>
        </is>
      </c>
      <c r="E606" s="181" t="inlineStr">
        <is>
          <t>scutellaria baicalensis; scutellaria lateriflora</t>
        </is>
      </c>
      <c r="F606" s="181" t="n">
        <v>2</v>
      </c>
      <c r="G606" s="181" t="inlineStr">
        <is>
          <t>GABAergic modulation; multi-target signaling modulation</t>
        </is>
      </c>
      <c r="H606" s="181" t="inlineStr">
        <is>
          <t>inferred_plus_trusted_gov; trusted_gov_added</t>
        </is>
      </c>
    </row>
    <row r="607">
      <c r="A607" s="181" t="inlineStr">
        <is>
          <t>gabaergic_modulation</t>
        </is>
      </c>
      <c r="B607" s="181" t="inlineStr">
        <is>
          <t>wogonin</t>
        </is>
      </c>
      <c r="C607" s="181" t="inlineStr">
        <is>
          <t>wogonin</t>
        </is>
      </c>
      <c r="D607" s="181" t="inlineStr">
        <is>
          <t>scutellaria-baicalensis; scutellaria-lateriflora</t>
        </is>
      </c>
      <c r="E607" s="181" t="inlineStr">
        <is>
          <t>scutellaria baicalensis; scutellaria lateriflora</t>
        </is>
      </c>
      <c r="F607" s="181" t="n">
        <v>2</v>
      </c>
      <c r="G607" s="181" t="inlineStr">
        <is>
          <t>GABAergic modulation; multi-target signaling modulation</t>
        </is>
      </c>
      <c r="H607" s="181" t="inlineStr">
        <is>
          <t>inferred_plus_trusted_gov; trusted_gov_added</t>
        </is>
      </c>
    </row>
    <row r="608">
      <c r="A608" s="181" t="inlineStr">
        <is>
          <t>general or unknown targets</t>
        </is>
      </c>
      <c r="B608" s="181" t="inlineStr">
        <is>
          <t>wogonin</t>
        </is>
      </c>
      <c r="C608" s="181" t="inlineStr">
        <is>
          <t>wogonin</t>
        </is>
      </c>
      <c r="D608" s="181" t="inlineStr">
        <is>
          <t>scutellaria-baicalensis; scutellaria-lateriflora</t>
        </is>
      </c>
      <c r="E608" s="181" t="inlineStr">
        <is>
          <t>scutellaria baicalensis; scutellaria lateriflora</t>
        </is>
      </c>
      <c r="F608" s="181" t="n">
        <v>2</v>
      </c>
      <c r="G608" s="181" t="inlineStr">
        <is>
          <t>GABAergic modulation; multi-target signaling modulation</t>
        </is>
      </c>
      <c r="H608" s="181" t="inlineStr">
        <is>
          <t>inferred_plus_trusted_gov; trusted_gov_added</t>
        </is>
      </c>
    </row>
    <row r="609">
      <c r="A609" s="181" t="inlineStr">
        <is>
          <t>gabaergic_modulation</t>
        </is>
      </c>
      <c r="B609" s="181" t="inlineStr">
        <is>
          <t>scutellarin</t>
        </is>
      </c>
      <c r="C609" s="181" t="inlineStr">
        <is>
          <t>scutellarin</t>
        </is>
      </c>
      <c r="D609" s="181" t="inlineStr">
        <is>
          <t>scutellaria-lateriflora</t>
        </is>
      </c>
      <c r="E609" s="181" t="inlineStr">
        <is>
          <t>scutellaria lateriflora</t>
        </is>
      </c>
      <c r="F609" s="181" t="n">
        <v>1</v>
      </c>
      <c r="G609" s="181" t="inlineStr">
        <is>
          <t>GABAergic modulation</t>
        </is>
      </c>
      <c r="H609" s="181" t="inlineStr">
        <is>
          <t>trusted_gov_added</t>
        </is>
      </c>
    </row>
    <row r="610">
      <c r="A610" s="181" t="inlineStr">
        <is>
          <t>general or unknown targets</t>
        </is>
      </c>
      <c r="B610" s="181" t="inlineStr">
        <is>
          <t>amentoflavone</t>
        </is>
      </c>
      <c r="C610" s="181" t="inlineStr">
        <is>
          <t>amentoflavone</t>
        </is>
      </c>
      <c r="D610" s="181" t="inlineStr">
        <is>
          <t>selaginella-tamariscina</t>
        </is>
      </c>
      <c r="E610" s="181" t="inlineStr">
        <is>
          <t>selaginella tamariscina</t>
        </is>
      </c>
      <c r="F610" s="181" t="n">
        <v>1</v>
      </c>
      <c r="G610" s="181" t="inlineStr">
        <is>
          <t>multi-target signaling modulation</t>
        </is>
      </c>
      <c r="H610" s="181" t="inlineStr">
        <is>
          <t>inferred_plus_trusted_gov</t>
        </is>
      </c>
    </row>
    <row r="611">
      <c r="A611" s="181" t="inlineStr">
        <is>
          <t>general or unknown targets</t>
        </is>
      </c>
      <c r="B611" s="181" t="inlineStr">
        <is>
          <t>hinokiflavone</t>
        </is>
      </c>
      <c r="C611" s="181" t="inlineStr">
        <is>
          <t>hinokiflavone</t>
        </is>
      </c>
      <c r="D611" s="181" t="inlineStr">
        <is>
          <t>selaginella-tamariscina</t>
        </is>
      </c>
      <c r="E611" s="181" t="inlineStr">
        <is>
          <t>selaginella tamariscina</t>
        </is>
      </c>
      <c r="F611" s="181" t="n">
        <v>1</v>
      </c>
      <c r="G611" s="181" t="inlineStr">
        <is>
          <t>multi-target signaling modulation</t>
        </is>
      </c>
      <c r="H611" s="181" t="inlineStr">
        <is>
          <t>inferred_plus_trusted_gov</t>
        </is>
      </c>
    </row>
    <row r="612">
      <c r="A612" s="181" t="inlineStr">
        <is>
          <t>inflammatory_pathway_modulation</t>
        </is>
      </c>
      <c r="B612" s="181" t="inlineStr">
        <is>
          <t>zerumbone</t>
        </is>
      </c>
      <c r="C612" s="181" t="inlineStr">
        <is>
          <t>zerumbone</t>
        </is>
      </c>
      <c r="D612" s="181" t="inlineStr">
        <is>
          <t>zingiber-zerumbet</t>
        </is>
      </c>
      <c r="E612" s="181" t="inlineStr">
        <is>
          <t>shampoo ginger</t>
        </is>
      </c>
      <c r="F612" s="181" t="n">
        <v>1</v>
      </c>
      <c r="G612" s="181" t="inlineStr">
        <is>
          <t>COX/NF-kB inhibition</t>
        </is>
      </c>
      <c r="H612" s="181" t="inlineStr">
        <is>
          <t>trusted_gov_added</t>
        </is>
      </c>
    </row>
    <row r="613">
      <c r="A613" s="181" t="inlineStr">
        <is>
          <t>general or unknown targets</t>
        </is>
      </c>
      <c r="B613" s="181" t="inlineStr">
        <is>
          <t>hydroxy-beta-sanshool</t>
        </is>
      </c>
      <c r="C613" s="181" t="inlineStr">
        <is>
          <t>hydroxy-beta-sanshool</t>
        </is>
      </c>
      <c r="D613" s="181" t="inlineStr">
        <is>
          <t>zanthoxylum-bungeanum</t>
        </is>
      </c>
      <c r="E613" s="181" t="inlineStr">
        <is>
          <t>sichuan pepper</t>
        </is>
      </c>
      <c r="F613" s="181" t="n">
        <v>1</v>
      </c>
      <c r="G613" s="181" t="inlineStr">
        <is>
          <t>multi-target signaling modulation</t>
        </is>
      </c>
      <c r="H613" s="181" t="inlineStr">
        <is>
          <t>trusted_gov_added</t>
        </is>
      </c>
    </row>
    <row r="614">
      <c r="A614" s="181" t="inlineStr">
        <is>
          <t>general or unknown targets</t>
        </is>
      </c>
      <c r="B614" s="181" t="inlineStr">
        <is>
          <t>hydroxy-alpha-sanshool</t>
        </is>
      </c>
      <c r="C614" s="181" t="inlineStr">
        <is>
          <t>hydroxy-alpha-sanshool</t>
        </is>
      </c>
      <c r="D614" s="181" t="inlineStr">
        <is>
          <t>zanthoxylum-bungeanum</t>
        </is>
      </c>
      <c r="E614" s="181" t="inlineStr">
        <is>
          <t>sichuan pepper</t>
        </is>
      </c>
      <c r="F614" s="181" t="n">
        <v>1</v>
      </c>
      <c r="G614" s="181" t="inlineStr">
        <is>
          <t>multi-target signaling modulation</t>
        </is>
      </c>
      <c r="H614" s="181" t="inlineStr">
        <is>
          <t>trusted_gov_added</t>
        </is>
      </c>
    </row>
    <row r="615">
      <c r="A615" s="181" t="inlineStr">
        <is>
          <t>general or unknown targets</t>
        </is>
      </c>
      <c r="B615" s="181" t="inlineStr">
        <is>
          <t>silydianin</t>
        </is>
      </c>
      <c r="C615" s="181" t="inlineStr">
        <is>
          <t>silydianin</t>
        </is>
      </c>
      <c r="D615" s="181" t="inlineStr">
        <is>
          <t>silybum-marianum</t>
        </is>
      </c>
      <c r="E615" s="181" t="inlineStr">
        <is>
          <t>silybum marianum</t>
        </is>
      </c>
      <c r="F615" s="181" t="n">
        <v>1</v>
      </c>
      <c r="G615" s="181" t="inlineStr">
        <is>
          <t>multi-target signaling modulation</t>
        </is>
      </c>
      <c r="H615" s="181" t="inlineStr">
        <is>
          <t>trusted_gov_added</t>
        </is>
      </c>
    </row>
    <row r="616">
      <c r="A616" s="181" t="inlineStr">
        <is>
          <t>general or unknown targets</t>
        </is>
      </c>
      <c r="B616" s="181" t="inlineStr">
        <is>
          <t>silychristin</t>
        </is>
      </c>
      <c r="C616" s="181" t="inlineStr">
        <is>
          <t>silychristin)</t>
        </is>
      </c>
      <c r="D616" s="181" t="inlineStr">
        <is>
          <t>silybum-marianum</t>
        </is>
      </c>
      <c r="E616" s="181" t="inlineStr">
        <is>
          <t>silybum marianum</t>
        </is>
      </c>
      <c r="F616" s="181" t="n">
        <v>1</v>
      </c>
      <c r="G616" s="181" t="inlineStr">
        <is>
          <t>multi-target signaling modulation</t>
        </is>
      </c>
      <c r="H616" s="181" t="inlineStr">
        <is>
          <t>trusted_gov_added</t>
        </is>
      </c>
    </row>
    <row r="617">
      <c r="A617" s="181" t="inlineStr">
        <is>
          <t>general or unknown targets</t>
        </is>
      </c>
      <c r="B617" s="181" t="inlineStr">
        <is>
          <t>silymarin silibinin</t>
        </is>
      </c>
      <c r="C617" s="181" t="inlineStr">
        <is>
          <t>silymarin (silibinin</t>
        </is>
      </c>
      <c r="D617" s="181" t="inlineStr">
        <is>
          <t>silybum-marianum</t>
        </is>
      </c>
      <c r="E617" s="181" t="inlineStr">
        <is>
          <t>silybum marianum</t>
        </is>
      </c>
      <c r="F617" s="181" t="n">
        <v>1</v>
      </c>
      <c r="G617" s="181" t="inlineStr">
        <is>
          <t>multi-target signaling modulation</t>
        </is>
      </c>
      <c r="H617" s="181" t="inlineStr">
        <is>
          <t>trusted_gov_added</t>
        </is>
      </c>
    </row>
    <row r="618">
      <c r="A618" s="181" t="inlineStr">
        <is>
          <t>general or unknown targets</t>
        </is>
      </c>
      <c r="B618" s="181" t="inlineStr">
        <is>
          <t>sarsaponin</t>
        </is>
      </c>
      <c r="C618" s="181" t="inlineStr">
        <is>
          <t>sarsaponin</t>
        </is>
      </c>
      <c r="D618" s="181" t="inlineStr">
        <is>
          <t>smilax-ornata</t>
        </is>
      </c>
      <c r="E618" s="181" t="inlineStr">
        <is>
          <t>smilax ornata</t>
        </is>
      </c>
      <c r="F618" s="181" t="n">
        <v>1</v>
      </c>
      <c r="G618" s="181" t="inlineStr">
        <is>
          <t>multi-target signaling modulation</t>
        </is>
      </c>
      <c r="H618" s="181" t="inlineStr">
        <is>
          <t>inferred_plus_trusted_gov</t>
        </is>
      </c>
    </row>
    <row r="619">
      <c r="A619" s="181" t="inlineStr">
        <is>
          <t>general or unknown targets</t>
        </is>
      </c>
      <c r="B619" s="181" t="inlineStr">
        <is>
          <t>solanine</t>
        </is>
      </c>
      <c r="C619" s="181" t="inlineStr">
        <is>
          <t>solanine</t>
        </is>
      </c>
      <c r="D619" s="181" t="inlineStr">
        <is>
          <t>solanum-nigrum</t>
        </is>
      </c>
      <c r="E619" s="181" t="inlineStr">
        <is>
          <t>solanum nigrum</t>
        </is>
      </c>
      <c r="F619" s="181" t="n">
        <v>1</v>
      </c>
      <c r="G619" s="181" t="inlineStr">
        <is>
          <t>multi-target signaling modulation</t>
        </is>
      </c>
      <c r="H619" s="181" t="inlineStr">
        <is>
          <t>inferred_plus_trusted_gov</t>
        </is>
      </c>
    </row>
    <row r="620">
      <c r="A620" s="181" t="inlineStr">
        <is>
          <t>general or unknown targets</t>
        </is>
      </c>
      <c r="B620" s="181" t="inlineStr">
        <is>
          <t>solamargine</t>
        </is>
      </c>
      <c r="C620" s="181" t="inlineStr">
        <is>
          <t>solamargine</t>
        </is>
      </c>
      <c r="D620" s="181" t="inlineStr">
        <is>
          <t>solanum-nigrum</t>
        </is>
      </c>
      <c r="E620" s="181" t="inlineStr">
        <is>
          <t>solanum nigrum</t>
        </is>
      </c>
      <c r="F620" s="181" t="n">
        <v>1</v>
      </c>
      <c r="G620" s="181" t="inlineStr">
        <is>
          <t>multi-target signaling modulation</t>
        </is>
      </c>
      <c r="H620" s="181" t="inlineStr">
        <is>
          <t>inferred_plus_trusted_gov</t>
        </is>
      </c>
    </row>
    <row r="621">
      <c r="A621" s="181" t="inlineStr">
        <is>
          <t>general or unknown targets</t>
        </is>
      </c>
      <c r="B621" s="181" t="inlineStr">
        <is>
          <t>matrine</t>
        </is>
      </c>
      <c r="C621" s="181" t="inlineStr">
        <is>
          <t>matrine</t>
        </is>
      </c>
      <c r="D621" s="181" t="inlineStr">
        <is>
          <t>sophora-flavescens</t>
        </is>
      </c>
      <c r="E621" s="181" t="inlineStr">
        <is>
          <t>sophora flavescens</t>
        </is>
      </c>
      <c r="F621" s="181" t="n">
        <v>1</v>
      </c>
      <c r="G621" s="181" t="inlineStr">
        <is>
          <t>multi-target signaling modulation</t>
        </is>
      </c>
      <c r="H621" s="181" t="inlineStr">
        <is>
          <t>inferred_plus_trusted_gov</t>
        </is>
      </c>
    </row>
    <row r="622">
      <c r="A622" s="181" t="inlineStr">
        <is>
          <t>general or unknown targets</t>
        </is>
      </c>
      <c r="B622" s="181" t="inlineStr">
        <is>
          <t>oxymatrine</t>
        </is>
      </c>
      <c r="C622" s="181" t="inlineStr">
        <is>
          <t>oxymatrine</t>
        </is>
      </c>
      <c r="D622" s="181" t="inlineStr">
        <is>
          <t>sophora-flavescens</t>
        </is>
      </c>
      <c r="E622" s="181" t="inlineStr">
        <is>
          <t>sophora flavescens</t>
        </is>
      </c>
      <c r="F622" s="181" t="n">
        <v>1</v>
      </c>
      <c r="G622" s="181" t="inlineStr">
        <is>
          <t>multi-target signaling modulation</t>
        </is>
      </c>
      <c r="H622" s="181" t="inlineStr">
        <is>
          <t>inferred_plus_trusted_gov</t>
        </is>
      </c>
    </row>
    <row r="623">
      <c r="A623" s="181" t="inlineStr">
        <is>
          <t>general or unknown targets</t>
        </is>
      </c>
      <c r="B623" s="181" t="inlineStr">
        <is>
          <t>kurarinone</t>
        </is>
      </c>
      <c r="C623" s="181" t="inlineStr">
        <is>
          <t>kurarinone</t>
        </is>
      </c>
      <c r="D623" s="181" t="inlineStr">
        <is>
          <t>sophora-flavescens</t>
        </is>
      </c>
      <c r="E623" s="181" t="inlineStr">
        <is>
          <t>sophora flavescens</t>
        </is>
      </c>
      <c r="F623" s="181" t="n">
        <v>1</v>
      </c>
      <c r="G623" s="181" t="inlineStr">
        <is>
          <t>multi-target signaling modulation</t>
        </is>
      </c>
      <c r="H623" s="181" t="inlineStr">
        <is>
          <t>inferred_plus_trusted_gov</t>
        </is>
      </c>
    </row>
    <row r="624">
      <c r="A624" s="181" t="inlineStr">
        <is>
          <t>general or unknown targets</t>
        </is>
      </c>
      <c r="B624" s="181" t="inlineStr">
        <is>
          <t>verbascoside</t>
        </is>
      </c>
      <c r="C624" s="181" t="inlineStr">
        <is>
          <t>verbascoside</t>
        </is>
      </c>
      <c r="D624" s="181" t="inlineStr">
        <is>
          <t>stachytarpheta-cayennensis</t>
        </is>
      </c>
      <c r="E624" s="181" t="inlineStr">
        <is>
          <t>stachytarpheta cayennensis</t>
        </is>
      </c>
      <c r="F624" s="181" t="n">
        <v>1</v>
      </c>
      <c r="G624" s="181" t="inlineStr">
        <is>
          <t>multi-target signaling modulation</t>
        </is>
      </c>
      <c r="H624" s="181" t="inlineStr">
        <is>
          <t>inferred_plus_trusted_gov</t>
        </is>
      </c>
    </row>
    <row r="625">
      <c r="A625" s="181" t="inlineStr">
        <is>
          <t>general or unknown targets</t>
        </is>
      </c>
      <c r="B625" s="181" t="inlineStr">
        <is>
          <t>tetrandrine</t>
        </is>
      </c>
      <c r="C625" s="181" t="inlineStr">
        <is>
          <t>tetrandrine</t>
        </is>
      </c>
      <c r="D625" s="181" t="inlineStr">
        <is>
          <t>stephania-cepharantha; stephania-tetrandra</t>
        </is>
      </c>
      <c r="E625" s="181" t="inlineStr">
        <is>
          <t>stephania cepharantha; stephania tetrandra</t>
        </is>
      </c>
      <c r="F625" s="181" t="n">
        <v>2</v>
      </c>
      <c r="G625" s="181" t="inlineStr">
        <is>
          <t>multi-target signaling modulation</t>
        </is>
      </c>
      <c r="H625" s="181" t="inlineStr">
        <is>
          <t>inferred_plus_trusted_gov</t>
        </is>
      </c>
    </row>
    <row r="626">
      <c r="A626" s="181" t="inlineStr">
        <is>
          <t>general or unknown targets</t>
        </is>
      </c>
      <c r="B626" s="181" t="inlineStr">
        <is>
          <t>cepharanthine</t>
        </is>
      </c>
      <c r="C626" s="181" t="inlineStr">
        <is>
          <t>cepharanthine</t>
        </is>
      </c>
      <c r="D626" s="181" t="inlineStr">
        <is>
          <t>stephania-cepharantha</t>
        </is>
      </c>
      <c r="E626" s="181" t="inlineStr">
        <is>
          <t>stephania cepharantha</t>
        </is>
      </c>
      <c r="F626" s="181" t="n">
        <v>1</v>
      </c>
      <c r="G626" s="181" t="inlineStr">
        <is>
          <t>multi-target signaling modulation</t>
        </is>
      </c>
      <c r="H626" s="181" t="inlineStr">
        <is>
          <t>inferred_plus_trusted_gov</t>
        </is>
      </c>
    </row>
    <row r="627">
      <c r="A627" s="181" t="inlineStr">
        <is>
          <t>general or unknown targets</t>
        </is>
      </c>
      <c r="B627" s="181" t="inlineStr">
        <is>
          <t>fangchinoline</t>
        </is>
      </c>
      <c r="C627" s="181" t="inlineStr">
        <is>
          <t>fangchinoline</t>
        </is>
      </c>
      <c r="D627" s="181" t="inlineStr">
        <is>
          <t>stephania-tetrandra</t>
        </is>
      </c>
      <c r="E627" s="181" t="inlineStr">
        <is>
          <t>stephania tetrandra</t>
        </is>
      </c>
      <c r="F627" s="181" t="n">
        <v>1</v>
      </c>
      <c r="G627" s="181" t="inlineStr">
        <is>
          <t>multi-target signaling modulation</t>
        </is>
      </c>
      <c r="H627" s="181" t="inlineStr">
        <is>
          <t>inferred_plus_trusted_gov</t>
        </is>
      </c>
    </row>
    <row r="628">
      <c r="A628" s="181" t="inlineStr">
        <is>
          <t>general or unknown targets</t>
        </is>
      </c>
      <c r="B628" s="181" t="inlineStr">
        <is>
          <t>beta-lapachone</t>
        </is>
      </c>
      <c r="C628" s="181" t="inlineStr">
        <is>
          <t>beta-lapachone</t>
        </is>
      </c>
      <c r="D628" s="181" t="inlineStr">
        <is>
          <t>tabebuia-impetiginosa</t>
        </is>
      </c>
      <c r="E628" s="181" t="inlineStr">
        <is>
          <t>tabebuia impetiginosa</t>
        </is>
      </c>
      <c r="F628" s="181" t="n">
        <v>1</v>
      </c>
      <c r="G628" s="181" t="inlineStr">
        <is>
          <t>multi-target signaling modulation</t>
        </is>
      </c>
      <c r="H628" s="181" t="inlineStr">
        <is>
          <t>inferred_plus_trusted_gov</t>
        </is>
      </c>
    </row>
    <row r="629">
      <c r="A629" s="181" t="inlineStr">
        <is>
          <t>general or unknown targets</t>
        </is>
      </c>
      <c r="B629" s="181" t="inlineStr">
        <is>
          <t>lapachol</t>
        </is>
      </c>
      <c r="C629" s="181" t="inlineStr">
        <is>
          <t>lapachol</t>
        </is>
      </c>
      <c r="D629" s="181" t="inlineStr">
        <is>
          <t>tabebuia-impetiginosa</t>
        </is>
      </c>
      <c r="E629" s="181" t="inlineStr">
        <is>
          <t>tabebuia impetiginosa</t>
        </is>
      </c>
      <c r="F629" s="181" t="n">
        <v>1</v>
      </c>
      <c r="G629" s="181" t="inlineStr">
        <is>
          <t>multi-target signaling modulation</t>
        </is>
      </c>
      <c r="H629" s="181" t="inlineStr">
        <is>
          <t>inferred_plus_trusted_gov</t>
        </is>
      </c>
    </row>
    <row r="630">
      <c r="A630" s="181" t="inlineStr">
        <is>
          <t>general or unknown targets</t>
        </is>
      </c>
      <c r="B630" s="181" t="inlineStr">
        <is>
          <t>voacangine</t>
        </is>
      </c>
      <c r="C630" s="181" t="inlineStr">
        <is>
          <t>voacangine</t>
        </is>
      </c>
      <c r="D630" s="181" t="inlineStr">
        <is>
          <t>tabernaemontana-divaricata</t>
        </is>
      </c>
      <c r="E630" s="181" t="inlineStr">
        <is>
          <t>tabernaemontana divaricata</t>
        </is>
      </c>
      <c r="F630" s="181" t="n">
        <v>1</v>
      </c>
      <c r="G630" s="181" t="inlineStr">
        <is>
          <t>multi-target signaling modulation</t>
        </is>
      </c>
      <c r="H630" s="181" t="inlineStr">
        <is>
          <t>inferred_plus_trusted_gov</t>
        </is>
      </c>
    </row>
    <row r="631">
      <c r="A631" s="181" t="inlineStr">
        <is>
          <t>general or unknown targets</t>
        </is>
      </c>
      <c r="B631" s="181" t="inlineStr">
        <is>
          <t>coronaridine</t>
        </is>
      </c>
      <c r="C631" s="181" t="inlineStr">
        <is>
          <t>coronaridine</t>
        </is>
      </c>
      <c r="D631" s="181" t="inlineStr">
        <is>
          <t>tabernaemontana-divaricata</t>
        </is>
      </c>
      <c r="E631" s="181" t="inlineStr">
        <is>
          <t>tabernaemontana divaricata</t>
        </is>
      </c>
      <c r="F631" s="181" t="n">
        <v>1</v>
      </c>
      <c r="G631" s="181" t="inlineStr">
        <is>
          <t>multi-target signaling modulation</t>
        </is>
      </c>
      <c r="H631" s="181" t="inlineStr">
        <is>
          <t>inferred_plus_trusted_gov</t>
        </is>
      </c>
    </row>
    <row r="632">
      <c r="A632" s="181" t="inlineStr">
        <is>
          <t>general or unknown targets</t>
        </is>
      </c>
      <c r="B632" s="181" t="inlineStr">
        <is>
          <t>taraxasterol</t>
        </is>
      </c>
      <c r="C632" s="181" t="inlineStr">
        <is>
          <t>taraxasterol</t>
        </is>
      </c>
      <c r="D632" s="181" t="inlineStr">
        <is>
          <t>taraxacum-officinale</t>
        </is>
      </c>
      <c r="E632" s="181" t="inlineStr">
        <is>
          <t>taraxacum officinale</t>
        </is>
      </c>
      <c r="F632" s="181" t="n">
        <v>1</v>
      </c>
      <c r="G632" s="181" t="inlineStr">
        <is>
          <t>multi-target signaling modulation</t>
        </is>
      </c>
      <c r="H632" s="181" t="inlineStr">
        <is>
          <t>inferred_plus_trusted_gov</t>
        </is>
      </c>
    </row>
    <row r="633">
      <c r="A633" s="181" t="inlineStr">
        <is>
          <t>general or unknown targets</t>
        </is>
      </c>
      <c r="B633" s="181" t="inlineStr">
        <is>
          <t>polygodial</t>
        </is>
      </c>
      <c r="C633" s="181" t="inlineStr">
        <is>
          <t>polygodial</t>
        </is>
      </c>
      <c r="D633" s="181" t="inlineStr">
        <is>
          <t>tasmannia-lanceolata</t>
        </is>
      </c>
      <c r="E633" s="181" t="inlineStr">
        <is>
          <t>tasmannia lanceolata</t>
        </is>
      </c>
      <c r="F633" s="181" t="n">
        <v>1</v>
      </c>
      <c r="G633" s="181" t="inlineStr">
        <is>
          <t>multi-target signaling modulation</t>
        </is>
      </c>
      <c r="H633" s="181" t="inlineStr">
        <is>
          <t>inferred_plus_trusted_gov</t>
        </is>
      </c>
    </row>
    <row r="634">
      <c r="A634" s="181" t="inlineStr">
        <is>
          <t>general or unknown targets</t>
        </is>
      </c>
      <c r="B634" s="181" t="inlineStr">
        <is>
          <t>rutaecarpine</t>
        </is>
      </c>
      <c r="C634" s="181" t="inlineStr">
        <is>
          <t>rutaecarpine</t>
        </is>
      </c>
      <c r="D634" s="181" t="inlineStr">
        <is>
          <t>tetradium-ruticarpum</t>
        </is>
      </c>
      <c r="E634" s="181" t="inlineStr">
        <is>
          <t>tetradium ruticarpum</t>
        </is>
      </c>
      <c r="F634" s="181" t="n">
        <v>1</v>
      </c>
      <c r="G634" s="181" t="inlineStr">
        <is>
          <t>multi-target signaling modulation</t>
        </is>
      </c>
      <c r="H634" s="181" t="inlineStr">
        <is>
          <t>inferred_plus_trusted_gov</t>
        </is>
      </c>
    </row>
    <row r="635">
      <c r="A635" s="181" t="inlineStr">
        <is>
          <t>general or unknown targets</t>
        </is>
      </c>
      <c r="B635" s="181" t="inlineStr">
        <is>
          <t>evodiamine</t>
        </is>
      </c>
      <c r="C635" s="181" t="inlineStr">
        <is>
          <t>evodiamine</t>
        </is>
      </c>
      <c r="D635" s="181" t="inlineStr">
        <is>
          <t>tetradium-ruticarpum</t>
        </is>
      </c>
      <c r="E635" s="181" t="inlineStr">
        <is>
          <t>tetradium ruticarpum</t>
        </is>
      </c>
      <c r="F635" s="181" t="n">
        <v>1</v>
      </c>
      <c r="G635" s="181" t="inlineStr">
        <is>
          <t>multi-target signaling modulation</t>
        </is>
      </c>
      <c r="H635" s="181" t="inlineStr">
        <is>
          <t>inferred_plus_trusted_gov</t>
        </is>
      </c>
    </row>
    <row r="636">
      <c r="A636" s="181" t="inlineStr">
        <is>
          <t>adenosine_antagonism</t>
        </is>
      </c>
      <c r="B636" s="181" t="inlineStr">
        <is>
          <t>epicatechin</t>
        </is>
      </c>
      <c r="C636" s="181" t="inlineStr">
        <is>
          <t>epicatechin</t>
        </is>
      </c>
      <c r="D636" s="181" t="inlineStr">
        <is>
          <t>theobroma-cacao</t>
        </is>
      </c>
      <c r="E636" s="181" t="inlineStr">
        <is>
          <t>theobroma cacao</t>
        </is>
      </c>
      <c r="F636" s="181" t="n">
        <v>1</v>
      </c>
      <c r="G636" s="181" t="inlineStr">
        <is>
          <t>adenosine receptor antagonism</t>
        </is>
      </c>
      <c r="H636" s="181" t="inlineStr">
        <is>
          <t>inferred_plus_trusted_gov</t>
        </is>
      </c>
    </row>
    <row r="637">
      <c r="A637" s="181" t="inlineStr">
        <is>
          <t>general or unknown targets</t>
        </is>
      </c>
      <c r="B637" s="181" t="inlineStr">
        <is>
          <t>thevetin b</t>
        </is>
      </c>
      <c r="C637" s="181" t="inlineStr">
        <is>
          <t>thevetin b</t>
        </is>
      </c>
      <c r="D637" s="181" t="inlineStr">
        <is>
          <t>thevetia-peruviana</t>
        </is>
      </c>
      <c r="E637" s="181" t="inlineStr">
        <is>
          <t>thevetia peruviana</t>
        </is>
      </c>
      <c r="F637" s="181" t="n">
        <v>1</v>
      </c>
      <c r="G637" s="181" t="inlineStr">
        <is>
          <t>multi-target signaling modulation</t>
        </is>
      </c>
      <c r="H637" s="181" t="inlineStr">
        <is>
          <t>inferred_plus_trusted_gov</t>
        </is>
      </c>
    </row>
    <row r="638">
      <c r="A638" s="181" t="inlineStr">
        <is>
          <t>general or unknown targets</t>
        </is>
      </c>
      <c r="B638" s="181" t="inlineStr">
        <is>
          <t>thevetin a</t>
        </is>
      </c>
      <c r="C638" s="181" t="inlineStr">
        <is>
          <t>thevetin a</t>
        </is>
      </c>
      <c r="D638" s="181" t="inlineStr">
        <is>
          <t>thevetia-peruviana</t>
        </is>
      </c>
      <c r="E638" s="181" t="inlineStr">
        <is>
          <t>thevetia peruviana</t>
        </is>
      </c>
      <c r="F638" s="181" t="n">
        <v>1</v>
      </c>
      <c r="G638" s="181" t="inlineStr">
        <is>
          <t>multi-target signaling modulation</t>
        </is>
      </c>
      <c r="H638" s="181" t="inlineStr">
        <is>
          <t>inferred_plus_trusted_gov</t>
        </is>
      </c>
    </row>
    <row r="639">
      <c r="A639" s="181" t="inlineStr">
        <is>
          <t>general or unknown targets</t>
        </is>
      </c>
      <c r="B639" s="181" t="inlineStr">
        <is>
          <t>peruvoside</t>
        </is>
      </c>
      <c r="C639" s="181" t="inlineStr">
        <is>
          <t>peruvoside</t>
        </is>
      </c>
      <c r="D639" s="181" t="inlineStr">
        <is>
          <t>thevetia-peruviana</t>
        </is>
      </c>
      <c r="E639" s="181" t="inlineStr">
        <is>
          <t>thevetia peruviana</t>
        </is>
      </c>
      <c r="F639" s="181" t="n">
        <v>1</v>
      </c>
      <c r="G639" s="181" t="inlineStr">
        <is>
          <t>multi-target signaling modulation</t>
        </is>
      </c>
      <c r="H639" s="181" t="inlineStr">
        <is>
          <t>inferred_plus_trusted_gov</t>
        </is>
      </c>
    </row>
    <row r="640">
      <c r="A640" s="181" t="inlineStr">
        <is>
          <t>general or unknown targets</t>
        </is>
      </c>
      <c r="B640" s="181" t="inlineStr">
        <is>
          <t>eurycomanone</t>
        </is>
      </c>
      <c r="C640" s="181" t="inlineStr">
        <is>
          <t>eurycomanone</t>
        </is>
      </c>
      <c r="D640" s="181" t="inlineStr">
        <is>
          <t>eurycoma-longifolia</t>
        </is>
      </c>
      <c r="E640" s="181" t="inlineStr">
        <is>
          <t>tongkat ali</t>
        </is>
      </c>
      <c r="F640" s="181" t="n">
        <v>1</v>
      </c>
      <c r="G640" s="181" t="inlineStr">
        <is>
          <t>multi-target signaling modulation</t>
        </is>
      </c>
      <c r="H640" s="181" t="inlineStr">
        <is>
          <t>inferred_plus_trusted_gov</t>
        </is>
      </c>
    </row>
    <row r="641">
      <c r="A641" s="181" t="inlineStr">
        <is>
          <t>general or unknown targets</t>
        </is>
      </c>
      <c r="B641" s="181" t="inlineStr">
        <is>
          <t>isoflavones genistein</t>
        </is>
      </c>
      <c r="C641" s="181" t="inlineStr">
        <is>
          <t>isoflavones (genistein</t>
        </is>
      </c>
      <c r="D641" s="181" t="inlineStr">
        <is>
          <t>trifolium-pratense</t>
        </is>
      </c>
      <c r="E641" s="181" t="inlineStr">
        <is>
          <t>trifolium pratense</t>
        </is>
      </c>
      <c r="F641" s="181" t="n">
        <v>1</v>
      </c>
      <c r="G641" s="181" t="inlineStr">
        <is>
          <t>multi-target signaling modulation</t>
        </is>
      </c>
      <c r="H641" s="181" t="inlineStr">
        <is>
          <t>inferred_plus_trusted_gov</t>
        </is>
      </c>
    </row>
    <row r="642">
      <c r="A642" s="181" t="inlineStr">
        <is>
          <t>general or unknown targets</t>
        </is>
      </c>
      <c r="B642" s="181" t="inlineStr">
        <is>
          <t>daidzein</t>
        </is>
      </c>
      <c r="C642" s="181" t="inlineStr">
        <is>
          <t>daidzein)</t>
        </is>
      </c>
      <c r="D642" s="181" t="inlineStr">
        <is>
          <t>trifolium-pratense</t>
        </is>
      </c>
      <c r="E642" s="181" t="inlineStr">
        <is>
          <t>trifolium pratense</t>
        </is>
      </c>
      <c r="F642" s="181" t="n">
        <v>1</v>
      </c>
      <c r="G642" s="181" t="inlineStr">
        <is>
          <t>multi-target signaling modulation</t>
        </is>
      </c>
      <c r="H642" s="181" t="inlineStr">
        <is>
          <t>inferred_plus_trusted_gov</t>
        </is>
      </c>
    </row>
    <row r="643">
      <c r="A643" s="181" t="inlineStr">
        <is>
          <t>inflammatory_pathway_modulation</t>
        </is>
      </c>
      <c r="B643" s="181" t="inlineStr">
        <is>
          <t>curcuminoids curcumin</t>
        </is>
      </c>
      <c r="C643" s="181" t="inlineStr">
        <is>
          <t>curcuminoids (curcumin)</t>
        </is>
      </c>
      <c r="D643" s="181" t="inlineStr">
        <is>
          <t>curcuma-longa</t>
        </is>
      </c>
      <c r="E643" s="181" t="inlineStr">
        <is>
          <t>turmeric</t>
        </is>
      </c>
      <c r="F643" s="181" t="n">
        <v>1</v>
      </c>
      <c r="G643" s="181" t="inlineStr">
        <is>
          <t>nf-kb inhibition</t>
        </is>
      </c>
      <c r="H643" s="181" t="inlineStr">
        <is>
          <t>trusted_gov_added</t>
        </is>
      </c>
    </row>
    <row r="644">
      <c r="A644" s="181" t="inlineStr">
        <is>
          <t>general or unknown targets</t>
        </is>
      </c>
      <c r="B644" s="181" t="inlineStr">
        <is>
          <t>tussilagone</t>
        </is>
      </c>
      <c r="C644" s="181" t="inlineStr">
        <is>
          <t>tussilagone</t>
        </is>
      </c>
      <c r="D644" s="181" t="inlineStr">
        <is>
          <t>tussilago-farfara</t>
        </is>
      </c>
      <c r="E644" s="181" t="inlineStr">
        <is>
          <t>tussilago farfara</t>
        </is>
      </c>
      <c r="F644" s="181" t="n">
        <v>1</v>
      </c>
      <c r="G644" s="181" t="inlineStr">
        <is>
          <t>multi-target signaling modulation</t>
        </is>
      </c>
      <c r="H644" s="181" t="inlineStr">
        <is>
          <t>inferred_plus_trusted_gov</t>
        </is>
      </c>
    </row>
    <row r="645">
      <c r="A645" s="181" t="inlineStr">
        <is>
          <t>inflammatory_pathway_modulation</t>
        </is>
      </c>
      <c r="B645" s="181" t="inlineStr">
        <is>
          <t>tylophorine</t>
        </is>
      </c>
      <c r="C645" s="181" t="inlineStr">
        <is>
          <t>tylophorine</t>
        </is>
      </c>
      <c r="D645" s="181" t="inlineStr">
        <is>
          <t>tylophora-indica</t>
        </is>
      </c>
      <c r="E645" s="181" t="inlineStr">
        <is>
          <t>tylophora indica</t>
        </is>
      </c>
      <c r="F645" s="181" t="n">
        <v>1</v>
      </c>
      <c r="G645" s="181" t="inlineStr">
        <is>
          <t>COX/NF-kB inhibition</t>
        </is>
      </c>
      <c r="H645" s="181" t="inlineStr">
        <is>
          <t>citation_or_url_present</t>
        </is>
      </c>
    </row>
    <row r="646">
      <c r="A646" s="181" t="inlineStr">
        <is>
          <t>general or unknown targets</t>
        </is>
      </c>
      <c r="B646" s="181" t="inlineStr">
        <is>
          <t>histamine</t>
        </is>
      </c>
      <c r="C646" s="181" t="inlineStr">
        <is>
          <t>histamine</t>
        </is>
      </c>
      <c r="D646" s="181" t="inlineStr">
        <is>
          <t>urtica-dioica</t>
        </is>
      </c>
      <c r="E646" s="181" t="inlineStr">
        <is>
          <t>urtica dioica</t>
        </is>
      </c>
      <c r="F646" s="181" t="n">
        <v>1</v>
      </c>
      <c r="G646" s="181" t="inlineStr">
        <is>
          <t>multi-target signaling modulation</t>
        </is>
      </c>
      <c r="H646" s="181" t="inlineStr">
        <is>
          <t>trusted_gov_added</t>
        </is>
      </c>
    </row>
    <row r="647">
      <c r="A647" s="181" t="inlineStr">
        <is>
          <t>HTR1A, HTR2A (serotonin receptors)</t>
        </is>
      </c>
      <c r="B647" s="181" t="inlineStr">
        <is>
          <t>serotonin</t>
        </is>
      </c>
      <c r="C647" s="181" t="inlineStr">
        <is>
          <t>serotonin</t>
        </is>
      </c>
      <c r="D647" s="181" t="inlineStr">
        <is>
          <t>urtica-dioica</t>
        </is>
      </c>
      <c r="E647" s="181" t="inlineStr">
        <is>
          <t>urtica dioica</t>
        </is>
      </c>
      <c r="F647" s="181" t="n">
        <v>1</v>
      </c>
      <c r="G647" s="181" t="inlineStr">
        <is>
          <t>serotonergic modulation</t>
        </is>
      </c>
      <c r="H647" s="181" t="inlineStr">
        <is>
          <t>trusted_gov_added</t>
        </is>
      </c>
    </row>
    <row r="648">
      <c r="A648" s="181" t="inlineStr">
        <is>
          <t>general or unknown targets</t>
        </is>
      </c>
      <c r="B648" s="181" t="inlineStr">
        <is>
          <t>usnic acid</t>
        </is>
      </c>
      <c r="C648" s="181" t="inlineStr">
        <is>
          <t>usnic acid</t>
        </is>
      </c>
      <c r="D648" s="181" t="inlineStr">
        <is>
          <t>usnea-barbata</t>
        </is>
      </c>
      <c r="E648" s="181" t="inlineStr">
        <is>
          <t>usnea barbata</t>
        </is>
      </c>
      <c r="F648" s="181" t="n">
        <v>1</v>
      </c>
      <c r="G648" s="181" t="inlineStr">
        <is>
          <t>multi-target signaling modulation</t>
        </is>
      </c>
      <c r="H648" s="181" t="inlineStr">
        <is>
          <t>inferred_plus_trusted_gov</t>
        </is>
      </c>
    </row>
    <row r="649">
      <c r="A649" s="181" t="inlineStr">
        <is>
          <t>gabaergic_modulation</t>
        </is>
      </c>
      <c r="B649" s="181" t="inlineStr">
        <is>
          <t>valerenol</t>
        </is>
      </c>
      <c r="C649" s="181" t="inlineStr">
        <is>
          <t>valerenol</t>
        </is>
      </c>
      <c r="D649" s="181" t="inlineStr">
        <is>
          <t>valeriana-officinalis</t>
        </is>
      </c>
      <c r="E649" s="181" t="inlineStr">
        <is>
          <t>valerian</t>
        </is>
      </c>
      <c r="F649" s="181" t="n">
        <v>1</v>
      </c>
      <c r="G649" s="181" t="inlineStr">
        <is>
          <t>GABAergic modulation</t>
        </is>
      </c>
      <c r="H649" s="181" t="inlineStr">
        <is>
          <t>trusted_gov_added</t>
        </is>
      </c>
    </row>
    <row r="650">
      <c r="A650" s="181" t="inlineStr">
        <is>
          <t>gabaergic_modulation</t>
        </is>
      </c>
      <c r="B650" s="181" t="inlineStr">
        <is>
          <t>valerenic acid</t>
        </is>
      </c>
      <c r="C650" s="181" t="inlineStr">
        <is>
          <t>valerenic acid</t>
        </is>
      </c>
      <c r="D650" s="181" t="inlineStr">
        <is>
          <t>valeriana-officinalis</t>
        </is>
      </c>
      <c r="E650" s="181" t="inlineStr">
        <is>
          <t>valerian; valeriana officinalis</t>
        </is>
      </c>
      <c r="F650" s="181" t="n">
        <v>1</v>
      </c>
      <c r="G650" s="181" t="inlineStr">
        <is>
          <t>GABAergic modulation; multi-target signaling modulation</t>
        </is>
      </c>
      <c r="H650" s="181" t="inlineStr">
        <is>
          <t>inferred_plus_trusted_gov; trusted_gov_added</t>
        </is>
      </c>
    </row>
    <row r="651">
      <c r="A651" s="181" t="inlineStr">
        <is>
          <t>general or unknown targets</t>
        </is>
      </c>
      <c r="B651" s="181" t="inlineStr">
        <is>
          <t>valerenic acid</t>
        </is>
      </c>
      <c r="C651" s="181" t="inlineStr">
        <is>
          <t>valerenic acid</t>
        </is>
      </c>
      <c r="D651" s="181" t="inlineStr">
        <is>
          <t>valeriana-officinalis</t>
        </is>
      </c>
      <c r="E651" s="181" t="inlineStr">
        <is>
          <t>valerian; valeriana officinalis</t>
        </is>
      </c>
      <c r="F651" s="181" t="n">
        <v>1</v>
      </c>
      <c r="G651" s="181" t="inlineStr">
        <is>
          <t>GABAergic modulation; multi-target signaling modulation</t>
        </is>
      </c>
      <c r="H651" s="181" t="inlineStr">
        <is>
          <t>inferred_plus_trusted_gov; trusted_gov_added</t>
        </is>
      </c>
    </row>
    <row r="652">
      <c r="A652" s="181" t="inlineStr">
        <is>
          <t>general or unknown targets</t>
        </is>
      </c>
      <c r="B652" s="181" t="inlineStr">
        <is>
          <t>isovaleric acid</t>
        </is>
      </c>
      <c r="C652" s="181" t="inlineStr">
        <is>
          <t>isovaleric acid</t>
        </is>
      </c>
      <c r="D652" s="181" t="inlineStr">
        <is>
          <t>valeriana-officinalis</t>
        </is>
      </c>
      <c r="E652" s="181" t="inlineStr">
        <is>
          <t>valeriana officinalis</t>
        </is>
      </c>
      <c r="F652" s="181" t="n">
        <v>1</v>
      </c>
      <c r="G652" s="181" t="inlineStr">
        <is>
          <t>multi-target signaling modulation</t>
        </is>
      </c>
      <c r="H652" s="181" t="inlineStr">
        <is>
          <t>inferred_plus_trusted_gov</t>
        </is>
      </c>
    </row>
    <row r="653">
      <c r="A653" s="181" t="inlineStr">
        <is>
          <t>general or unknown targets</t>
        </is>
      </c>
      <c r="B653" s="181" t="inlineStr">
        <is>
          <t>vincamine</t>
        </is>
      </c>
      <c r="C653" s="181" t="inlineStr">
        <is>
          <t>vincamine</t>
        </is>
      </c>
      <c r="D653" s="181" t="inlineStr">
        <is>
          <t>vinca-minor</t>
        </is>
      </c>
      <c r="E653" s="181" t="inlineStr">
        <is>
          <t>vinca minor</t>
        </is>
      </c>
      <c r="F653" s="181" t="n">
        <v>1</v>
      </c>
      <c r="G653" s="181" t="inlineStr">
        <is>
          <t>multi-target signaling modulation</t>
        </is>
      </c>
      <c r="H653" s="181" t="inlineStr">
        <is>
          <t>inferred_plus_trusted_gov</t>
        </is>
      </c>
    </row>
    <row r="654">
      <c r="A654" s="181" t="inlineStr">
        <is>
          <t>general or unknown targets</t>
        </is>
      </c>
      <c r="B654" s="181" t="inlineStr">
        <is>
          <t>agnuside</t>
        </is>
      </c>
      <c r="C654" s="181" t="inlineStr">
        <is>
          <t>agnuside</t>
        </is>
      </c>
      <c r="D654" s="181" t="inlineStr">
        <is>
          <t>vitex-agnus-castus</t>
        </is>
      </c>
      <c r="E654" s="181" t="inlineStr">
        <is>
          <t>vitex agnus-castus</t>
        </is>
      </c>
      <c r="F654" s="181" t="n">
        <v>1</v>
      </c>
      <c r="G654" s="181" t="inlineStr">
        <is>
          <t>multi-target signaling modulation</t>
        </is>
      </c>
      <c r="H654" s="181" t="inlineStr">
        <is>
          <t>inferred_plus_trusted_gov</t>
        </is>
      </c>
    </row>
    <row r="655">
      <c r="A655" s="181" t="inlineStr">
        <is>
          <t>general or unknown targets</t>
        </is>
      </c>
      <c r="B655" s="181" t="inlineStr">
        <is>
          <t>casticin</t>
        </is>
      </c>
      <c r="C655" s="181" t="inlineStr">
        <is>
          <t>casticin</t>
        </is>
      </c>
      <c r="D655" s="181" t="inlineStr">
        <is>
          <t>vitex-trifolia</t>
        </is>
      </c>
      <c r="E655" s="181" t="inlineStr">
        <is>
          <t>vitex trifolia</t>
        </is>
      </c>
      <c r="F655" s="181" t="n">
        <v>1</v>
      </c>
      <c r="G655" s="181" t="inlineStr">
        <is>
          <t>multi-target signaling modulation</t>
        </is>
      </c>
      <c r="H655" s="181" t="inlineStr">
        <is>
          <t>inferred_plus_trusted_gov</t>
        </is>
      </c>
    </row>
    <row r="656">
      <c r="A656" s="181" t="inlineStr">
        <is>
          <t>general or unknown targets</t>
        </is>
      </c>
      <c r="B656" s="181" t="inlineStr">
        <is>
          <t>xanthumin</t>
        </is>
      </c>
      <c r="C656" s="181" t="inlineStr">
        <is>
          <t>xanthumin</t>
        </is>
      </c>
      <c r="D656" s="181" t="inlineStr">
        <is>
          <t>xanthium-strumarium</t>
        </is>
      </c>
      <c r="E656" s="181" t="inlineStr">
        <is>
          <t>xanthium strumarium</t>
        </is>
      </c>
      <c r="F656" s="181" t="n">
        <v>1</v>
      </c>
      <c r="G656" s="181" t="inlineStr">
        <is>
          <t>multi-target signaling modulation</t>
        </is>
      </c>
      <c r="H656" s="181" t="inlineStr">
        <is>
          <t>inferred_plus_trusted_gov</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8" customWidth="1" style="76" min="1" max="1"/>
    <col width="20" customWidth="1" style="76" min="2" max="2"/>
    <col width="12" customWidth="1" style="76" min="3" max="3"/>
    <col width="12" customWidth="1" style="76" min="4" max="4"/>
    <col width="12" customWidth="1" style="76" min="5" max="5"/>
    <col width="12" customWidth="1" style="76" min="6" max="6"/>
    <col width="12" customWidth="1" style="76" min="7" max="7"/>
    <col width="16" customWidth="1" style="76" min="8" max="8"/>
    <col width="14" customWidth="1" style="76" min="9" max="9"/>
    <col width="36" customWidth="1" style="76" min="10" max="10"/>
    <col width="28" customWidth="1" style="76" min="11" max="11"/>
    <col width="28" customWidth="1" style="76" min="12" max="12"/>
  </cols>
  <sheetData>
    <row r="1" ht="24" customHeight="1" s="76">
      <c r="A1" s="122" t="inlineStr">
        <is>
          <t>herbSlug</t>
        </is>
      </c>
      <c r="B1" s="122" t="inlineStr">
        <is>
          <t>herbName</t>
        </is>
      </c>
      <c r="C1" s="122" t="inlineStr">
        <is>
          <t>activeCompoundCount</t>
        </is>
      </c>
      <c r="D1" s="122" t="inlineStr">
        <is>
          <t>exactMappedCount</t>
        </is>
      </c>
      <c r="E1" s="122" t="inlineStr">
        <is>
          <t>datasetLinkedCount</t>
        </is>
      </c>
      <c r="F1" s="122" t="inlineStr">
        <is>
          <t>mappedTotalUnique</t>
        </is>
      </c>
      <c r="G1" s="122" t="inlineStr">
        <is>
          <t>exactCoveragePct</t>
        </is>
      </c>
      <c r="H1" s="122" t="inlineStr">
        <is>
          <t>citationStatus</t>
        </is>
      </c>
      <c r="I1" s="122" t="inlineStr">
        <is>
          <t>readinessFlag</t>
        </is>
      </c>
      <c r="J1" s="122" t="inlineStr">
        <is>
          <t>nextUpgradeAction</t>
        </is>
      </c>
      <c r="K1" s="122" t="inlineStr">
        <is>
          <t>unmappedCompounds</t>
        </is>
      </c>
      <c r="L1" s="122" t="inlineStr">
        <is>
          <t>mappedCompounds</t>
        </is>
      </c>
    </row>
    <row r="2">
      <c r="A2" s="181" t="inlineStr">
        <is>
          <t>ashwagandha</t>
        </is>
      </c>
      <c r="B2" s="181" t="inlineStr">
        <is>
          <t>Ashwagandha</t>
        </is>
      </c>
      <c r="C2" s="181" t="n">
        <v>6</v>
      </c>
      <c r="D2" s="181" t="n">
        <v>1</v>
      </c>
      <c r="E2" s="181" t="n">
        <v>0</v>
      </c>
      <c r="F2" s="181" t="n">
        <v>1</v>
      </c>
      <c r="G2" s="181" t="n">
        <v>0.17</v>
      </c>
      <c r="H2" s="181" t="inlineStr">
        <is>
          <t>needs-source-normalization</t>
        </is>
      </c>
      <c r="I2" s="181" t="inlineStr">
        <is>
          <t>Near ready</t>
        </is>
      </c>
      <c r="J2" s="181" t="inlineStr">
        <is>
          <t>Normalize source strings into locked primary-source citations</t>
        </is>
      </c>
      <c r="K2" s="181" t="inlineStr">
        <is>
          <t>alkaloids; sitoindosides; withaferin A; withanolide A; withanoside IV</t>
        </is>
      </c>
      <c r="L2" s="181" t="inlineStr">
        <is>
          <t>withanolide d</t>
        </is>
      </c>
    </row>
    <row r="3">
      <c r="A3" s="181" t="inlineStr">
        <is>
          <t>black-cohosh</t>
        </is>
      </c>
      <c r="B3" s="181" t="inlineStr">
        <is>
          <t>Black Cohosh</t>
        </is>
      </c>
      <c r="C3" s="181" t="n">
        <v>4</v>
      </c>
      <c r="D3" s="181" t="n">
        <v>0</v>
      </c>
      <c r="E3" s="181" t="n">
        <v>0</v>
      </c>
      <c r="F3" s="181" t="n">
        <v>0</v>
      </c>
      <c r="G3" s="181" t="n">
        <v>0</v>
      </c>
      <c r="H3" s="181" t="inlineStr">
        <is>
          <t>present</t>
        </is>
      </c>
      <c r="I3" s="181" t="inlineStr">
        <is>
          <t>Ready</t>
        </is>
      </c>
      <c r="J3" s="181" t="inlineStr">
        <is>
          <t>Normalize unmapped compounds and connect to compound master</t>
        </is>
      </c>
      <c r="K3" s="181" t="inlineStr">
        <is>
          <t>caffeic acid derivatives; cimifugoside; fukinolic acid; triterpene glycosides (actein, 23-epi-26-deoxyactein)</t>
        </is>
      </c>
      <c r="L3" s="181" t="str"/>
    </row>
    <row r="4">
      <c r="A4" s="181" t="inlineStr">
        <is>
          <t>echinacea-purpurea</t>
        </is>
      </c>
      <c r="B4" s="181" t="inlineStr">
        <is>
          <t>Echinacea Purpurea</t>
        </is>
      </c>
      <c r="C4" s="181" t="n">
        <v>5</v>
      </c>
      <c r="D4" s="181" t="n">
        <v>1</v>
      </c>
      <c r="E4" s="181" t="n">
        <v>0</v>
      </c>
      <c r="F4" s="181" t="n">
        <v>1</v>
      </c>
      <c r="G4" s="181" t="n">
        <v>0.2</v>
      </c>
      <c r="H4" s="181" t="inlineStr">
        <is>
          <t>present</t>
        </is>
      </c>
      <c r="I4" s="181" t="inlineStr">
        <is>
          <t>Near ready</t>
        </is>
      </c>
      <c r="J4" s="181" t="inlineStr">
        <is>
          <t>Deepen monograph and add dosage only if evidence is strong</t>
        </is>
      </c>
      <c r="K4" s="181" t="inlineStr">
        <is>
          <t>alkamides; caffeic acid; chicoric acid; echinacoside</t>
        </is>
      </c>
      <c r="L4" s="181" t="inlineStr">
        <is>
          <t>cynarin</t>
        </is>
      </c>
    </row>
    <row r="5">
      <c r="A5" s="181" t="inlineStr">
        <is>
          <t>garlic</t>
        </is>
      </c>
      <c r="B5" s="181" t="inlineStr">
        <is>
          <t>Garlic</t>
        </is>
      </c>
      <c r="C5" s="181" t="n">
        <v>5</v>
      </c>
      <c r="D5" s="181" t="n">
        <v>1</v>
      </c>
      <c r="E5" s="181" t="n">
        <v>0</v>
      </c>
      <c r="F5" s="181" t="n">
        <v>1</v>
      </c>
      <c r="G5" s="181" t="n">
        <v>0.2</v>
      </c>
      <c r="H5" s="181" t="inlineStr">
        <is>
          <t>present</t>
        </is>
      </c>
      <c r="I5" s="181" t="inlineStr">
        <is>
          <t>Near ready</t>
        </is>
      </c>
      <c r="J5" s="181" t="inlineStr">
        <is>
          <t>Deepen monograph and add dosage only if evidence is strong</t>
        </is>
      </c>
      <c r="K5" s="181" t="inlineStr">
        <is>
          <t>S‑allyl‑cysteine; diallyl disulfide; diallyl sulfide; diallyl trisulfide</t>
        </is>
      </c>
      <c r="L5" s="181" t="inlineStr">
        <is>
          <t>ajoene</t>
        </is>
      </c>
    </row>
    <row r="6">
      <c r="A6" s="181" t="inlineStr">
        <is>
          <t>ginger</t>
        </is>
      </c>
      <c r="B6" s="181" t="inlineStr">
        <is>
          <t>Ginger</t>
        </is>
      </c>
      <c r="C6" s="181" t="n">
        <v>4</v>
      </c>
      <c r="D6" s="181" t="n">
        <v>2</v>
      </c>
      <c r="E6" s="181" t="n">
        <v>0</v>
      </c>
      <c r="F6" s="181" t="n">
        <v>2</v>
      </c>
      <c r="G6" s="181" t="n">
        <v>0.5</v>
      </c>
      <c r="H6" s="181" t="inlineStr">
        <is>
          <t>present</t>
        </is>
      </c>
      <c r="I6" s="181" t="inlineStr">
        <is>
          <t>Near ready</t>
        </is>
      </c>
      <c r="J6" s="181" t="inlineStr">
        <is>
          <t>Normalize unmapped compounds and connect to compound master</t>
        </is>
      </c>
      <c r="K6" s="181" t="inlineStr">
        <is>
          <t>paradols; shogaols</t>
        </is>
      </c>
      <c r="L6" s="181" t="inlineStr">
        <is>
          <t>6-gingerol; zingerone</t>
        </is>
      </c>
    </row>
    <row r="7">
      <c r="A7" s="181" t="inlineStr">
        <is>
          <t>ginkgo-biloba</t>
        </is>
      </c>
      <c r="B7" s="181" t="inlineStr">
        <is>
          <t>Ginkgo Biloba</t>
        </is>
      </c>
      <c r="C7" s="181" t="n">
        <v>5</v>
      </c>
      <c r="D7" s="181" t="n">
        <v>1</v>
      </c>
      <c r="E7" s="181" t="n">
        <v>0</v>
      </c>
      <c r="F7" s="181" t="n">
        <v>1</v>
      </c>
      <c r="G7" s="181" t="n">
        <v>0.2</v>
      </c>
      <c r="H7" s="181" t="inlineStr">
        <is>
          <t>needs-source-normalization</t>
        </is>
      </c>
      <c r="I7" s="181" t="inlineStr">
        <is>
          <t>Near ready</t>
        </is>
      </c>
      <c r="J7" s="181" t="inlineStr">
        <is>
          <t>Normalize source strings into locked primary-source citations</t>
        </is>
      </c>
      <c r="K7" s="181" t="inlineStr">
        <is>
          <t>bilobetin; ginkgetin; ginkgolides A, B, C, J; sciadopitysin</t>
        </is>
      </c>
      <c r="L7" s="181" t="inlineStr">
        <is>
          <t>bilobalide</t>
        </is>
      </c>
    </row>
    <row r="8">
      <c r="A8" s="181" t="inlineStr">
        <is>
          <t>holy-basil</t>
        </is>
      </c>
      <c r="B8" s="181" t="inlineStr">
        <is>
          <t>Holy Basil</t>
        </is>
      </c>
      <c r="C8" s="181" t="n">
        <v>3</v>
      </c>
      <c r="D8" s="181" t="n">
        <v>3</v>
      </c>
      <c r="E8" s="181" t="n">
        <v>0</v>
      </c>
      <c r="F8" s="181" t="n">
        <v>3</v>
      </c>
      <c r="G8" s="181" t="n">
        <v>1</v>
      </c>
      <c r="H8" s="181" t="inlineStr">
        <is>
          <t>present</t>
        </is>
      </c>
      <c r="I8" s="181" t="inlineStr">
        <is>
          <t>Ready</t>
        </is>
      </c>
      <c r="J8" s="181" t="inlineStr">
        <is>
          <t>QA + publish workflow</t>
        </is>
      </c>
      <c r="K8" s="181" t="str"/>
      <c r="L8" s="181" t="inlineStr">
        <is>
          <t>eugenol; rosmarinic acid; ursolic acid</t>
        </is>
      </c>
    </row>
    <row r="9">
      <c r="A9" s="181" t="inlineStr">
        <is>
          <t>kava</t>
        </is>
      </c>
      <c r="B9" s="181" t="inlineStr">
        <is>
          <t>Kava</t>
        </is>
      </c>
      <c r="C9" s="181" t="n">
        <v>7</v>
      </c>
      <c r="D9" s="181" t="n">
        <v>6</v>
      </c>
      <c r="E9" s="181" t="n">
        <v>0</v>
      </c>
      <c r="F9" s="181" t="n">
        <v>6</v>
      </c>
      <c r="G9" s="181" t="n">
        <v>0.86</v>
      </c>
      <c r="H9" s="181" t="inlineStr">
        <is>
          <t>needs-source-normalization</t>
        </is>
      </c>
      <c r="I9" s="181" t="inlineStr">
        <is>
          <t>Near ready</t>
        </is>
      </c>
      <c r="J9" s="181" t="inlineStr">
        <is>
          <t>Normalize source strings into locked primary-source citations</t>
        </is>
      </c>
      <c r="K9" s="181" t="inlineStr">
        <is>
          <t>flavokavain A/B/C</t>
        </is>
      </c>
      <c r="L9" s="181" t="inlineStr">
        <is>
          <t>desmethoxyyangonin; dihydrokavain; dihydromethysticin; kavain; methysticin; yangonin</t>
        </is>
      </c>
    </row>
    <row r="10">
      <c r="A10" s="181" t="inlineStr">
        <is>
          <t>lemon-balm</t>
        </is>
      </c>
      <c r="B10" s="181" t="inlineStr">
        <is>
          <t>Lemon Balm</t>
        </is>
      </c>
      <c r="C10" s="181" t="n">
        <v>5</v>
      </c>
      <c r="D10" s="181" t="n">
        <v>4</v>
      </c>
      <c r="E10" s="181" t="n">
        <v>0</v>
      </c>
      <c r="F10" s="181" t="n">
        <v>4</v>
      </c>
      <c r="G10" s="181" t="n">
        <v>0.8</v>
      </c>
      <c r="H10" s="181" t="inlineStr">
        <is>
          <t>present</t>
        </is>
      </c>
      <c r="I10" s="181" t="inlineStr">
        <is>
          <t>Ready</t>
        </is>
      </c>
      <c r="J10" s="181" t="inlineStr">
        <is>
          <t>Normalize unmapped compounds and connect to compound master</t>
        </is>
      </c>
      <c r="K10" s="181" t="inlineStr">
        <is>
          <t>flavonoids</t>
        </is>
      </c>
      <c r="L10" s="181" t="inlineStr">
        <is>
          <t>citral; citronellal; linalool; rosmarinic acid</t>
        </is>
      </c>
    </row>
    <row r="11">
      <c r="A11" s="181" t="inlineStr">
        <is>
          <t>maca</t>
        </is>
      </c>
      <c r="B11" s="181" t="inlineStr">
        <is>
          <t>Maca</t>
        </is>
      </c>
      <c r="C11" s="181" t="n">
        <v>3</v>
      </c>
      <c r="D11" s="181" t="n">
        <v>0</v>
      </c>
      <c r="E11" s="181" t="n">
        <v>0</v>
      </c>
      <c r="F11" s="181" t="n">
        <v>0</v>
      </c>
      <c r="G11" s="181" t="n">
        <v>0</v>
      </c>
      <c r="H11" s="181" t="inlineStr">
        <is>
          <t>present</t>
        </is>
      </c>
      <c r="I11" s="181" t="inlineStr">
        <is>
          <t>Ready</t>
        </is>
      </c>
      <c r="J11" s="181" t="inlineStr">
        <is>
          <t>Normalize unmapped compounds and connect to compound master</t>
        </is>
      </c>
      <c r="K11" s="181" t="inlineStr">
        <is>
          <t>glucosinolates; macaenes; macamides</t>
        </is>
      </c>
      <c r="L11" s="181" t="str"/>
    </row>
    <row r="12">
      <c r="A12" s="181" t="inlineStr">
        <is>
          <t>milk-thistle</t>
        </is>
      </c>
      <c r="B12" s="181" t="inlineStr">
        <is>
          <t>Milk Thistle</t>
        </is>
      </c>
      <c r="C12" s="181" t="n">
        <v>5</v>
      </c>
      <c r="D12" s="181" t="n">
        <v>2</v>
      </c>
      <c r="E12" s="181" t="n">
        <v>0</v>
      </c>
      <c r="F12" s="181" t="n">
        <v>2</v>
      </c>
      <c r="G12" s="181" t="n">
        <v>0.4</v>
      </c>
      <c r="H12" s="181" t="inlineStr">
        <is>
          <t>needs-source-normalization</t>
        </is>
      </c>
      <c r="I12" s="181" t="inlineStr">
        <is>
          <t>Near ready</t>
        </is>
      </c>
      <c r="J12" s="181" t="inlineStr">
        <is>
          <t>Normalize source strings into locked primary-source citations</t>
        </is>
      </c>
      <c r="K12" s="181" t="inlineStr">
        <is>
          <t>isosilybin A/B; isosilychristin; silybin A/B</t>
        </is>
      </c>
      <c r="L12" s="181" t="inlineStr">
        <is>
          <t>silychristin; silydianin</t>
        </is>
      </c>
    </row>
    <row r="13">
      <c r="A13" s="181" t="inlineStr">
        <is>
          <t>peppermint</t>
        </is>
      </c>
      <c r="B13" s="181" t="inlineStr">
        <is>
          <t>Peppermint</t>
        </is>
      </c>
      <c r="C13" s="181" t="n">
        <v>7</v>
      </c>
      <c r="D13" s="181" t="n">
        <v>1</v>
      </c>
      <c r="E13" s="181" t="n">
        <v>0</v>
      </c>
      <c r="F13" s="181" t="n">
        <v>1</v>
      </c>
      <c r="G13" s="181" t="n">
        <v>0.14</v>
      </c>
      <c r="H13" s="181" t="inlineStr">
        <is>
          <t>present</t>
        </is>
      </c>
      <c r="I13" s="181" t="inlineStr">
        <is>
          <t>Near ready</t>
        </is>
      </c>
      <c r="J13" s="181" t="inlineStr">
        <is>
          <t>Deepen monograph and add dosage only if evidence is strong</t>
        </is>
      </c>
      <c r="K13" s="181" t="inlineStr">
        <is>
          <t>1,8‑cineole (eucalyptol); isomenthone; l‑menthol; l‑menthone; menthofuran; menthyl acetate</t>
        </is>
      </c>
      <c r="L13" s="181" t="inlineStr">
        <is>
          <t>limonene</t>
        </is>
      </c>
    </row>
    <row r="14">
      <c r="A14" s="181" t="inlineStr">
        <is>
          <t>rhodiola-rosea</t>
        </is>
      </c>
      <c r="B14" s="181" t="inlineStr">
        <is>
          <t>Rhodiola Rosea</t>
        </is>
      </c>
      <c r="C14" s="181" t="n">
        <v>5</v>
      </c>
      <c r="D14" s="181" t="n">
        <v>2</v>
      </c>
      <c r="E14" s="181" t="n">
        <v>0</v>
      </c>
      <c r="F14" s="181" t="n">
        <v>2</v>
      </c>
      <c r="G14" s="181" t="n">
        <v>0.4</v>
      </c>
      <c r="H14" s="181" t="inlineStr">
        <is>
          <t>present</t>
        </is>
      </c>
      <c r="I14" s="181" t="inlineStr">
        <is>
          <t>Ready</t>
        </is>
      </c>
      <c r="J14" s="181" t="inlineStr">
        <is>
          <t>Normalize unmapped compounds and connect to compound master</t>
        </is>
      </c>
      <c r="K14" s="181" t="inlineStr">
        <is>
          <t>rosarin; rosin; tyrosol</t>
        </is>
      </c>
      <c r="L14" s="181" t="inlineStr">
        <is>
          <t>rosavin; salidroside</t>
        </is>
      </c>
    </row>
    <row r="15">
      <c r="A15" s="181" t="inlineStr">
        <is>
          <t>saw-palmetto</t>
        </is>
      </c>
      <c r="B15" s="181" t="inlineStr">
        <is>
          <t>Saw Palmetto</t>
        </is>
      </c>
      <c r="C15" s="181" t="n">
        <v>2</v>
      </c>
      <c r="D15" s="181" t="n">
        <v>0</v>
      </c>
      <c r="E15" s="181" t="n">
        <v>0</v>
      </c>
      <c r="F15" s="181" t="n">
        <v>0</v>
      </c>
      <c r="G15" s="181" t="n">
        <v>0</v>
      </c>
      <c r="H15" s="181" t="inlineStr">
        <is>
          <t>present</t>
        </is>
      </c>
      <c r="I15" s="181" t="inlineStr">
        <is>
          <t>Ready</t>
        </is>
      </c>
      <c r="J15" s="181" t="inlineStr">
        <is>
          <t>Normalize unmapped compounds and connect to compound master</t>
        </is>
      </c>
      <c r="K15" s="181" t="inlineStr">
        <is>
          <t>fatty acids; phytosterols (beta-sitosterol)</t>
        </is>
      </c>
      <c r="L15" s="181" t="str"/>
    </row>
    <row r="16">
      <c r="A16" s="181" t="inlineStr">
        <is>
          <t>st-johns-wort</t>
        </is>
      </c>
      <c r="B16" s="181" t="inlineStr">
        <is>
          <t>St Johns Wort</t>
        </is>
      </c>
      <c r="C16" s="181" t="n">
        <v>6</v>
      </c>
      <c r="D16" s="181" t="n">
        <v>5</v>
      </c>
      <c r="E16" s="181" t="n">
        <v>0</v>
      </c>
      <c r="F16" s="181" t="n">
        <v>5</v>
      </c>
      <c r="G16" s="181" t="n">
        <v>0.83</v>
      </c>
      <c r="H16" s="181" t="inlineStr">
        <is>
          <t>needs-source-normalization</t>
        </is>
      </c>
      <c r="I16" s="181" t="inlineStr">
        <is>
          <t>Near ready</t>
        </is>
      </c>
      <c r="J16" s="181" t="inlineStr">
        <is>
          <t>Normalize source strings into locked primary-source citations</t>
        </is>
      </c>
      <c r="K16" s="181" t="inlineStr">
        <is>
          <t>pseudohypericin</t>
        </is>
      </c>
      <c r="L16" s="181" t="inlineStr">
        <is>
          <t>hyperforin; hypericin; kaempferol; quercetin; rutin</t>
        </is>
      </c>
    </row>
    <row r="17">
      <c r="A17" s="181" t="inlineStr">
        <is>
          <t>turmeric</t>
        </is>
      </c>
      <c r="B17" s="181" t="inlineStr">
        <is>
          <t>Turmeric</t>
        </is>
      </c>
      <c r="C17" s="181" t="n">
        <v>3</v>
      </c>
      <c r="D17" s="181" t="n">
        <v>1</v>
      </c>
      <c r="E17" s="181" t="n">
        <v>0</v>
      </c>
      <c r="F17" s="181" t="n">
        <v>1</v>
      </c>
      <c r="G17" s="181" t="n">
        <v>0.33</v>
      </c>
      <c r="H17" s="181" t="inlineStr">
        <is>
          <t>present</t>
        </is>
      </c>
      <c r="I17" s="181" t="inlineStr">
        <is>
          <t>Near ready</t>
        </is>
      </c>
      <c r="J17" s="181" t="inlineStr">
        <is>
          <t>Deepen monograph and add dosage only if evidence is strong</t>
        </is>
      </c>
      <c r="K17" s="181" t="inlineStr">
        <is>
          <t>bisdemethoxycurcumin; demethoxycurcumin</t>
        </is>
      </c>
      <c r="L17" s="181" t="inlineStr">
        <is>
          <t>curcumin</t>
        </is>
      </c>
    </row>
    <row r="18">
      <c r="A18" s="181" t="inlineStr">
        <is>
          <t>valerian</t>
        </is>
      </c>
      <c r="B18" s="181" t="inlineStr">
        <is>
          <t>Valerian</t>
        </is>
      </c>
      <c r="C18" s="181" t="n">
        <v>5</v>
      </c>
      <c r="D18" s="181" t="n">
        <v>2</v>
      </c>
      <c r="E18" s="181" t="n">
        <v>0</v>
      </c>
      <c r="F18" s="181" t="n">
        <v>2</v>
      </c>
      <c r="G18" s="181" t="n">
        <v>0.4</v>
      </c>
      <c r="H18" s="181" t="inlineStr">
        <is>
          <t>needs-source-normalization</t>
        </is>
      </c>
      <c r="I18" s="181" t="inlineStr">
        <is>
          <t>Near ready</t>
        </is>
      </c>
      <c r="J18" s="181" t="inlineStr">
        <is>
          <t>Normalize source strings into locked primary-source citations</t>
        </is>
      </c>
      <c r="K18" s="181" t="inlineStr">
        <is>
          <t>sesquiterpenoids; valepotriates (valtrate, isovaltrate); valerenal</t>
        </is>
      </c>
      <c r="L18" s="181" t="inlineStr">
        <is>
          <t>valerenic acid; valerenol</t>
        </is>
      </c>
    </row>
  </sheetData>
  <conditionalFormatting sqref="G2:G18">
    <cfRule type="colorScale" priority="1">
      <colorScale>
        <cfvo type="min"/>
        <cfvo type="percentile" val="50"/>
        <cfvo type="max"/>
        <color rgb="00FEE2E2"/>
        <color rgb="00FEF3C7"/>
        <color rgb="00DCFCE7"/>
      </colorScale>
    </cfRule>
  </conditionalFormatting>
  <conditionalFormatting sqref="H2:H18">
    <cfRule type="expression" priority="2" dxfId="15">
      <formula>H2="needs-source-normalization"</formula>
    </cfRule>
  </conditionalFormatting>
  <conditionalFormatting sqref="I2:I18">
    <cfRule type="expression" priority="3" dxfId="0">
      <formula>I2="Ready"</formula>
    </cfRule>
  </conditionalFormatting>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style="76" min="1" max="1"/>
    <col width="28" customWidth="1" style="76" min="2" max="2"/>
    <col width="42" customWidth="1" style="76" min="3" max="3"/>
  </cols>
  <sheetData>
    <row r="1" ht="24" customHeight="1" s="76">
      <c r="A1" s="122" t="inlineStr">
        <is>
          <t>Sheet</t>
        </is>
      </c>
      <c r="B1" s="122" t="inlineStr">
        <is>
          <t>Purpose</t>
        </is>
      </c>
      <c r="C1" s="122" t="inlineStr">
        <is>
          <t>How to use</t>
        </is>
      </c>
    </row>
    <row r="2">
      <c r="A2" s="181" t="inlineStr">
        <is>
          <t>Compound Layer Dashboard</t>
        </is>
      </c>
      <c r="B2" s="181" t="inlineStr">
        <is>
          <t>KPI summary for the integrated compound system</t>
        </is>
      </c>
      <c r="C2" s="181" t="inlineStr">
        <is>
          <t>Start here to see scale, linkage health, and normalization debt.</t>
        </is>
      </c>
    </row>
    <row r="3">
      <c r="A3" s="181" t="inlineStr">
        <is>
          <t>Compound Master V2</t>
        </is>
      </c>
      <c r="B3" s="181" t="inlineStr">
        <is>
          <t>Canonical compound registry</t>
        </is>
      </c>
      <c r="C3" s="181" t="inlineStr">
        <is>
          <t>Use canonicalCompoundId as the stable join key across sheets.</t>
        </is>
      </c>
    </row>
    <row r="4">
      <c r="A4" s="181" t="inlineStr">
        <is>
          <t>Herb Compound Map V2</t>
        </is>
      </c>
      <c r="B4" s="181" t="inlineStr">
        <is>
          <t>Bridge table between herbs and compounds</t>
        </is>
      </c>
      <c r="C4" s="181" t="inlineStr">
        <is>
          <t>Filter by herbSlug or canonicalCompoundId to move between layers.</t>
        </is>
      </c>
    </row>
    <row r="5">
      <c r="A5" s="181" t="inlineStr">
        <is>
          <t>Compound Reverse Lookup</t>
        </is>
      </c>
      <c r="B5" s="181" t="inlineStr">
        <is>
          <t>Find herbs associated with a given compound</t>
        </is>
      </c>
      <c r="C5" s="181" t="inlineStr">
        <is>
          <t>Use for formulation discovery and mechanism-first browsing.</t>
        </is>
      </c>
    </row>
    <row r="6">
      <c r="A6" s="181" t="inlineStr">
        <is>
          <t>Pathway Index</t>
        </is>
      </c>
      <c r="B6" s="181" t="inlineStr">
        <is>
          <t>Compound-to-pathway registry</t>
        </is>
      </c>
      <c r="C6" s="181" t="inlineStr">
        <is>
          <t>Use to ask which compounds and herbs connect to a specific pathway target.</t>
        </is>
      </c>
    </row>
    <row r="7">
      <c r="A7" s="181" t="inlineStr">
        <is>
          <t>Herb Enrichment Queue V2</t>
        </is>
      </c>
      <c r="B7" s="181" t="inlineStr">
        <is>
          <t>Current herb upgrade queue</t>
        </is>
      </c>
      <c r="C7" s="181" t="inlineStr">
        <is>
          <t>Use nextUpgradeAction + unmappedCompounds to continue enrichment cleanly.</t>
        </is>
      </c>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cols>
    <col width="30" customWidth="1" style="76" min="1" max="1"/>
    <col width="12" customWidth="1" style="76" min="2" max="2"/>
    <col width="48" customWidth="1" style="76" min="3" max="3"/>
    <col width="38" customWidth="1" style="76" min="5" max="5"/>
  </cols>
  <sheetData>
    <row r="1" ht="24" customHeight="1" s="76">
      <c r="A1" s="129" t="inlineStr">
        <is>
          <t>metric</t>
        </is>
      </c>
      <c r="D1" s="181" t="n"/>
      <c r="E1" s="181" t="n"/>
      <c r="F1" s="181" t="n"/>
      <c r="G1" s="181" t="n"/>
      <c r="H1" s="181" t="n"/>
      <c r="I1" s="181" t="n"/>
      <c r="J1" s="181" t="n"/>
      <c r="K1" s="181" t="n"/>
      <c r="L1" s="181" t="n"/>
      <c r="M1" s="181" t="n"/>
      <c r="N1" s="181" t="n"/>
      <c r="O1" s="181" t="n"/>
      <c r="P1" s="181" t="n"/>
      <c r="Q1" s="181" t="n"/>
    </row>
    <row r="2">
      <c r="A2" s="134" t="inlineStr">
        <is>
          <t>compound_master_rows</t>
        </is>
      </c>
      <c r="B2" s="134" t="n">
        <v>531</v>
      </c>
      <c r="C2" s="134" t="inlineStr">
        <is>
          <t>canonical unique compounds</t>
        </is>
      </c>
    </row>
    <row r="3">
      <c r="A3" s="134" t="inlineStr">
        <is>
          <t>master_linked_mappings</t>
        </is>
      </c>
      <c r="B3" s="134" t="n">
        <v>80</v>
      </c>
      <c r="C3" s="134" t="inlineStr">
        <is>
          <t>all mappings tied to master</t>
        </is>
      </c>
    </row>
    <row r="4">
      <c r="A4" s="134" t="inlineStr">
        <is>
          <t>provisional_compounds</t>
        </is>
      </c>
      <c r="B4" s="134" t="n">
        <v>0</v>
      </c>
      <c r="C4" s="134" t="inlineStr">
        <is>
          <t>fully resolved system</t>
        </is>
      </c>
    </row>
    <row r="5">
      <c r="A5" s="134" t="inlineStr">
        <is>
          <t>Compound master rows (V3)</t>
        </is>
      </c>
      <c r="B5" s="134" t="n">
        <v>531</v>
      </c>
      <c r="C5" s="134" t="inlineStr">
        <is>
          <t>Canonical nonblank master rows after residual-resolution cleanup</t>
        </is>
      </c>
    </row>
    <row r="6">
      <c r="A6" s="134" t="inlineStr">
        <is>
          <t>Master-linked mappings</t>
        </is>
      </c>
      <c r="B6" s="134" t="n">
        <v>80</v>
      </c>
      <c r="C6" s="134" t="inlineStr">
        <is>
          <t>Map rows linked directly to current canonical master records</t>
        </is>
      </c>
    </row>
    <row r="7">
      <c r="A7" s="134" t="inlineStr">
        <is>
          <t>Dataset-supported mappings</t>
        </is>
      </c>
      <c r="B7" s="134" t="n">
        <v>0</v>
      </c>
      <c r="C7" s="134" t="inlineStr">
        <is>
          <t>Supported by integrated cleaned high-signal dataset</t>
        </is>
      </c>
    </row>
    <row r="8">
      <c r="A8" s="134" t="inlineStr">
        <is>
          <t>Provisional specific compounds</t>
        </is>
      </c>
      <c r="B8" s="134" t="n">
        <v>0</v>
      </c>
      <c r="C8" s="134" t="inlineStr">
        <is>
          <t>Residual provisional map rows after Pass 24</t>
        </is>
      </c>
    </row>
    <row r="9">
      <c r="A9" s="134" t="inlineStr">
        <is>
          <t>Broad class carryovers</t>
        </is>
      </c>
      <c r="B9" s="134" t="n">
        <v>12</v>
      </c>
      <c r="C9" s="134" t="inlineStr">
        <is>
          <t>Kept as context, not atomic compounds</t>
        </is>
      </c>
    </row>
    <row r="10">
      <c r="A10" s="134" t="inlineStr">
        <is>
          <t>Average herb coverage</t>
        </is>
      </c>
      <c r="B10" s="134" t="n">
        <v>0.9399999999999999</v>
      </c>
      <c r="C10" s="134" t="inlineStr">
        <is>
          <t>Resolved atomic compounds ÷ normalized atomic entries across queue herbs</t>
        </is>
      </c>
    </row>
    <row r="11">
      <c r="A11" s="134" t="inlineStr">
        <is>
          <t>Recommended next step</t>
        </is>
      </c>
      <c r="B11" s="134" t="inlineStr">
        <is>
          <t>Validate calibrated rankings against editorial expectations and retire stale narrative text</t>
        </is>
      </c>
      <c r="C11" s="134" t="inlineStr">
        <is>
          <t>Scoring weights now exist; use them before changing core data again</t>
        </is>
      </c>
      <c r="D11" t="inlineStr">
        <is>
          <t>Prefer canonical labels over legacy mixed tags</t>
        </is>
      </c>
    </row>
    <row r="12">
      <c r="A12" s="181" t="inlineStr">
        <is>
          <t>Batch 18 Engine Pass</t>
        </is>
      </c>
      <c r="B12" s="181" t="inlineStr">
        <is>
          <t>Scoring + blend + contraindication sheets added</t>
        </is>
      </c>
      <c r="C12" s="181" t="inlineStr">
        <is>
          <t>Ready for product logic prototyping</t>
        </is>
      </c>
    </row>
    <row r="13">
      <c r="A13" s="181" t="inlineStr">
        <is>
          <t>Pass 21-23 Cleanup</t>
        </is>
      </c>
      <c r="B13" s="181" t="inlineStr">
        <is>
          <t>Deduplication + integrity + reverse-lookup optimization complete</t>
        </is>
      </c>
      <c r="C13" s="181" t="inlineStr">
        <is>
          <t>System is cleaner and query-ready</t>
        </is>
      </c>
    </row>
    <row r="14" ht="34.1796875" customHeight="1" s="76">
      <c r="A14" s="159" t="inlineStr">
        <is>
          <t>Pass 24 Residual Resolution</t>
        </is>
      </c>
      <c r="B14" s="159" t="inlineStr">
        <is>
          <t>S-allyl-cysteine, 1,8-cineole, and menthofuran relinked to canonical master rows</t>
        </is>
      </c>
      <c r="C14" s="159" t="inlineStr">
        <is>
          <t>Queue/map/dashboard stale provisional leakage removed</t>
        </is>
      </c>
      <c r="D14" s="159" t="n"/>
      <c r="E14" s="159" t="n"/>
    </row>
    <row r="15" ht="26" customHeight="1" s="76">
      <c r="A15" s="134" t="inlineStr">
        <is>
          <t>St Johns Wort</t>
        </is>
      </c>
      <c r="B15" s="134" t="inlineStr">
        <is>
          <t>source-upgraded</t>
        </is>
      </c>
      <c r="C15" s="134" t="n">
        <v>0</v>
      </c>
      <c r="D15" s="134" t="n">
        <v>1</v>
      </c>
      <c r="E15" s="134" t="inlineStr">
        <is>
          <t>Run Contraindication Engine review before blend use</t>
        </is>
      </c>
    </row>
    <row r="16" ht="26" customHeight="1" s="76">
      <c r="A16" s="134" t="inlineStr">
        <is>
          <t>Valerian</t>
        </is>
      </c>
      <c r="B16" s="134" t="inlineStr">
        <is>
          <t>source-upgraded</t>
        </is>
      </c>
      <c r="C16" s="134" t="n">
        <v>0</v>
      </c>
      <c r="D16" s="134" t="n">
        <v>1</v>
      </c>
      <c r="E16" s="134" t="inlineStr">
        <is>
          <t>Use GABA/Sedation score in blend-builder testing</t>
        </is>
      </c>
    </row>
    <row r="17" ht="26" customHeight="1" s="76">
      <c r="A17" s="134" t="inlineStr">
        <is>
          <t>Pass 25 Canonicalization</t>
        </is>
      </c>
      <c r="B17" s="134" t="inlineStr">
        <is>
          <t>Dashboard + engine labels normalized</t>
        </is>
      </c>
      <c r="C17" s="134" t="inlineStr">
        <is>
          <t>System aligned for stable scoring + API output</t>
        </is>
      </c>
      <c r="D17" s="134" t="n">
        <v>1</v>
      </c>
      <c r="E17" s="134" t="inlineStr">
        <is>
          <t>QA + publish workflow</t>
        </is>
      </c>
    </row>
    <row r="18" ht="26" customHeight="1" s="76">
      <c r="A18" s="134" t="inlineStr">
        <is>
          <t>Pass 27 Blend Recalibration</t>
        </is>
      </c>
      <c r="B18" s="134" t="inlineStr">
        <is>
          <t>Top blends rebuilt from calibrated scores</t>
        </is>
      </c>
      <c r="C18" s="134" t="inlineStr">
        <is>
          <t>Outputs now score-driven + safety-aware</t>
        </is>
      </c>
      <c r="D18" s="134" t="n">
        <v>1</v>
      </c>
      <c r="E18" s="134" t="inlineStr">
        <is>
          <t>Route through Contraindication Engine before blend-builder use</t>
        </is>
      </c>
    </row>
    <row r="19" ht="26" customHeight="1" s="76">
      <c r="A19" s="134" t="inlineStr">
        <is>
          <t>Pass 28 Contraindication Hard-Link</t>
        </is>
      </c>
      <c r="B19" s="134" t="inlineStr">
        <is>
          <t>Blend outputs now filter/exclude based on contraindication severity</t>
        </is>
      </c>
      <c r="C19" s="134" t="inlineStr">
        <is>
          <t>High-severity herbs excluded; medium-severity herbs penalized</t>
        </is>
      </c>
      <c r="D19" s="134" t="inlineStr">
        <is>
          <t>n/a</t>
        </is>
      </c>
      <c r="E19" s="134" t="inlineStr">
        <is>
          <t>Prefer standards cleanup over low-value new additions</t>
        </is>
      </c>
    </row>
    <row r="20" ht="26" customHeight="1" s="76">
      <c r="A20" s="134" t="inlineStr">
        <is>
          <t>Pass 29 Linkage Repair</t>
        </is>
      </c>
      <c r="B20" s="134" t="inlineStr">
        <is>
          <t>Blend output rebuilt with 15 populated rows and 2 exclusions</t>
        </is>
      </c>
      <c r="C20" s="134" t="inlineStr">
        <is>
          <t>Scoring-to-blend linkage repaired against actual scoring table structure</t>
        </is>
      </c>
      <c r="D20" s="134" t="inlineStr">
        <is>
          <t>n/a</t>
        </is>
      </c>
      <c r="E20" s="134" t="inlineStr">
        <is>
          <t>Next pass: canonical engine-input audit</t>
        </is>
      </c>
    </row>
    <row r="21">
      <c r="A21" t="inlineStr">
        <is>
          <t>Pass 30 Goal Views</t>
        </is>
      </c>
      <c r="B21" t="inlineStr">
        <is>
          <t>Built goal-specific blend leaderboards for sleep, inflammation, mood/stress, and liver/detox</t>
        </is>
      </c>
      <c r="C21" t="inlineStr">
        <is>
          <t>Each leaderboard uses calibrated domain scores plus contraindication-aware filtering</t>
        </is>
      </c>
    </row>
    <row r="22">
      <c r="A22" t="inlineStr">
        <is>
          <t>Pass 32 Stack Builder</t>
        </is>
      </c>
      <c r="B22" t="inlineStr">
        <is>
          <t>Generated safe 2-herb stacks from calibrated rankings</t>
        </is>
      </c>
      <c r="C22" t="inlineStr">
        <is>
          <t>Excludes high-risk herbs via contraindication engine</t>
        </is>
      </c>
    </row>
    <row r="23">
      <c r="A23" t="inlineStr">
        <is>
          <t>Pass 34 Goal Stacks</t>
        </is>
      </c>
      <c r="B23" t="inlineStr">
        <is>
          <t>Generated goal-specific 2 and 3 herb stacks</t>
        </is>
      </c>
      <c r="C23" t="inlineStr">
        <is>
          <t>Uses domain-weighted scoring + contraindication filtering</t>
        </is>
      </c>
    </row>
    <row r="24">
      <c r="A24" t="inlineStr">
        <is>
          <t>Pass 35 Stack Safety</t>
        </is>
      </c>
      <c r="B24" t="inlineStr">
        <is>
          <t>Rated goal-specific stacks as safe / caution / review / avoid</t>
        </is>
      </c>
      <c r="C24" t="inlineStr">
        <is>
          <t>Detects additive risk domains and herb-level contraindication conflicts</t>
        </is>
      </c>
    </row>
    <row r="25">
      <c r="A25" t="inlineStr">
        <is>
          <t>Pass 36 Preferred Stacks</t>
        </is>
      </c>
      <c r="B25" t="inlineStr">
        <is>
          <t>Surfaced cleaner preferred stacks by suppressing weaker alternatives</t>
        </is>
      </c>
      <c r="C25" t="inlineStr">
        <is>
          <t>Safer stacks prioritized</t>
        </is>
      </c>
    </row>
    <row r="26">
      <c r="A26" t="inlineStr">
        <is>
          <t>Pass 38 Adaptive Optimization</t>
        </is>
      </c>
      <c r="B26" t="inlineStr">
        <is>
          <t>Added safer replacement suggestions for preferred stacks where lower-risk alternatives exist</t>
        </is>
      </c>
      <c r="C26" t="inlineStr">
        <is>
          <t>Original stack, optimized replacement, and score delta are now surfaced</t>
        </is>
      </c>
    </row>
    <row r="27">
      <c r="A27" t="inlineStr">
        <is>
          <t>Pass 39 Stack Export Layer</t>
        </is>
      </c>
      <c r="B27" t="inlineStr">
        <is>
          <t>Built frontend-ready stack export tables with preferred stack, fallback, rationale, and caution summary</t>
        </is>
      </c>
      <c r="C27" t="inlineStr">
        <is>
          <t>Outputs now directly usable for frontend/content handoff</t>
        </is>
      </c>
    </row>
    <row r="28">
      <c r="A28" t="inlineStr">
        <is>
          <t>Pass 64 Monograph Expansion</t>
        </is>
      </c>
      <c r="B28" t="inlineStr">
        <is>
          <t>American Skullcap, Motherwort, Saffron, and Licorice integrated</t>
        </is>
      </c>
      <c r="C28" t="inlineStr">
        <is>
          <t>Calming, mood-support, and form-sensitive herbs added to primary monograph layer</t>
        </is>
      </c>
    </row>
    <row r="29">
      <c r="A29" t="inlineStr">
        <is>
          <t>Pass 65 Form Distinction Rules</t>
        </is>
      </c>
      <c r="B29" t="inlineStr">
        <is>
          <t>Form/species/extract-specific routing rules added for licorice, skullcap, St. John's wort, and mucuna</t>
        </is>
      </c>
      <c r="C29" t="inlineStr">
        <is>
          <t>Frontend and personalization layers can now distinguish higher-risk variants before bundle selection</t>
        </is>
      </c>
    </row>
    <row r="30">
      <c r="A30" t="inlineStr">
        <is>
          <t>Recommended next step</t>
        </is>
      </c>
      <c r="B30" t="inlineStr">
        <is>
          <t>Add feverfew, hawthorn, chasteberry, and california poppy with compound-linked mappings</t>
        </is>
      </c>
      <c r="C30" t="inlineStr">
        <is>
          <t>Prioritize interaction-heavy hormonal, cardiovascular, and pain-routing herbs next</t>
        </is>
      </c>
    </row>
    <row r="31">
      <c r="A31" t="inlineStr">
        <is>
          <t>Pass 66 Monograph Expansion</t>
        </is>
      </c>
      <c r="B31" t="inlineStr">
        <is>
          <t>Complete</t>
        </is>
      </c>
    </row>
    <row r="32">
      <c r="A32" t="inlineStr">
        <is>
          <t>Pass 67 Compound Integration</t>
        </is>
      </c>
      <c r="B32" t="inlineStr">
        <is>
          <t>Complete</t>
        </is>
      </c>
    </row>
    <row r="33">
      <c r="A33" t="inlineStr">
        <is>
          <t>Pass 68 Monograph Expansion</t>
        </is>
      </c>
      <c r="B33" t="inlineStr">
        <is>
          <t>Complete</t>
        </is>
      </c>
    </row>
    <row r="34">
      <c r="A34" t="inlineStr">
        <is>
          <t>Pass 69 Compound Integration</t>
        </is>
      </c>
      <c r="B34" t="inlineStr">
        <is>
          <t>Complete</t>
        </is>
      </c>
    </row>
    <row r="35">
      <c r="A35" t="inlineStr">
        <is>
          <t>Pass 70 Monograph Expansion</t>
        </is>
      </c>
      <c r="B35" t="inlineStr">
        <is>
          <t>Complete</t>
        </is>
      </c>
    </row>
    <row r="36">
      <c r="A36" t="inlineStr">
        <is>
          <t>Pass 71 Compound Integration</t>
        </is>
      </c>
      <c r="B36" t="inlineStr">
        <is>
          <t>Complete</t>
        </is>
      </c>
    </row>
    <row r="37">
      <c r="A37" t="inlineStr">
        <is>
          <t>Pass 72 Monograph Expansion</t>
        </is>
      </c>
      <c r="B37" t="inlineStr">
        <is>
          <t>Complete</t>
        </is>
      </c>
    </row>
    <row r="38">
      <c r="A38" t="inlineStr">
        <is>
          <t>Pass 73 Compound Integration</t>
        </is>
      </c>
      <c r="B38" t="inlineStr">
        <is>
          <t>Complete</t>
        </is>
      </c>
    </row>
    <row r="39">
      <c r="A39" s="181" t="inlineStr">
        <is>
          <t>Pass 76 Monograph Expansion</t>
        </is>
      </c>
      <c r="B39" s="181" t="inlineStr">
        <is>
          <t>Complete</t>
        </is>
      </c>
    </row>
    <row r="40">
      <c r="A40" s="181" t="inlineStr">
        <is>
          <t>Pass 77 Compound Integration</t>
        </is>
      </c>
      <c r="B40" s="181" t="inlineStr">
        <is>
          <t>Complete</t>
        </is>
      </c>
    </row>
    <row r="41">
      <c r="A41" t="inlineStr">
        <is>
          <t>Pass 78 Monograph Expansion</t>
        </is>
      </c>
      <c r="B41" t="inlineStr">
        <is>
          <t>Complete</t>
        </is>
      </c>
    </row>
    <row r="42">
      <c r="A42" t="inlineStr">
        <is>
          <t>Pass 79 Compound Integration</t>
        </is>
      </c>
      <c r="B42" t="inlineStr">
        <is>
          <t>Complete</t>
        </is>
      </c>
    </row>
  </sheetData>
  <mergeCells count="1">
    <mergeCell ref="A1:C1"/>
  </mergeCells>
  <conditionalFormatting sqref="D15:D20">
    <cfRule type="colorScale" priority="1">
      <colorScale>
        <cfvo type="min"/>
        <cfvo type="percentile" val="50"/>
        <cfvo type="max"/>
        <color rgb="00FEE2E2"/>
        <color rgb="00FEF3C7"/>
        <color rgb="00DCFCE7"/>
      </colorScale>
    </cfRule>
  </conditionalFormatting>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T620"/>
  <sheetViews>
    <sheetView workbookViewId="0">
      <selection activeCell="A1" sqref="A1"/>
    </sheetView>
  </sheetViews>
  <sheetFormatPr baseColWidth="8" defaultRowHeight="15"/>
  <cols>
    <col width="20" customWidth="1" style="76" min="1" max="1"/>
    <col width="24" customWidth="1" style="76" min="2" max="2"/>
    <col width="18" customWidth="1" style="76" min="3" max="3"/>
    <col width="18" customWidth="1" style="76" min="4" max="4"/>
    <col width="36" customWidth="1" style="76" min="5" max="5"/>
    <col width="20" customWidth="1" style="76" min="6" max="6"/>
    <col width="22" customWidth="1" style="76" min="7" max="7"/>
    <col width="24" customWidth="1" style="76" min="8" max="8"/>
    <col width="24" customWidth="1" style="76" min="9" max="9"/>
    <col width="24" customWidth="1" style="76" min="10" max="10"/>
    <col width="11.85999965667725" customWidth="1" style="76" min="11" max="11"/>
    <col width="29" customWidth="1" style="76" min="12" max="12"/>
    <col width="32" customWidth="1" style="76" min="13" max="13"/>
    <col width="78" customWidth="1" style="76" min="14" max="14"/>
    <col width="211.2899932861328" customWidth="1" style="76" min="15" max="15"/>
    <col width="67.13999938964844" customWidth="1" style="76" min="16" max="16"/>
    <col width="255" customWidth="1" style="76" min="17" max="17"/>
    <col width="11.43000030517578" customWidth="1" style="76" min="18" max="18"/>
    <col width="22.43000030517578" customWidth="1" style="76" min="19" max="19"/>
    <col width="40" customWidth="1" style="76" min="20" max="20"/>
  </cols>
  <sheetData>
    <row r="1" ht="17.08984375" customHeight="1" s="76">
      <c r="A1" s="142" t="inlineStr">
        <is>
          <t>canonicalCompoundId</t>
        </is>
      </c>
      <c r="B1" s="142" t="inlineStr">
        <is>
          <t>compoundName</t>
        </is>
      </c>
      <c r="C1" s="142" t="inlineStr">
        <is>
          <t>aliases</t>
        </is>
      </c>
      <c r="D1" s="142" t="inlineStr">
        <is>
          <t>compoundClass</t>
        </is>
      </c>
      <c r="E1" s="142" t="inlineStr">
        <is>
          <t>mechanism</t>
        </is>
      </c>
      <c r="F1" s="142" t="inlineStr">
        <is>
          <t>mechanismTags</t>
        </is>
      </c>
      <c r="G1" s="142" t="inlineStr">
        <is>
          <t>pathwayTargets</t>
        </is>
      </c>
      <c r="H1" s="142" t="inlineStr">
        <is>
          <t>pharmacokinetics</t>
        </is>
      </c>
      <c r="I1" s="142" t="inlineStr">
        <is>
          <t>safetyNotes</t>
        </is>
      </c>
      <c r="J1" s="142" t="inlineStr">
        <is>
          <t>drugInteractions</t>
        </is>
      </c>
      <c r="K1" s="142" t="inlineStr">
        <is>
          <t>confidence</t>
        </is>
      </c>
      <c r="L1" s="142" t="inlineStr">
        <is>
          <t>evidence</t>
        </is>
      </c>
      <c r="M1" s="142" t="inlineStr">
        <is>
          <t>sourceUrls</t>
        </is>
      </c>
      <c r="N1" s="142" t="inlineStr">
        <is>
          <t>sourceQuality</t>
        </is>
      </c>
      <c r="O1" s="142" t="inlineStr">
        <is>
          <t>sourceBasis</t>
        </is>
      </c>
      <c r="P1" s="142" t="inlineStr">
        <is>
          <t>sourceWorkbook</t>
        </is>
      </c>
      <c r="Q1" s="142" t="inlineStr">
        <is>
          <t>relatedHerbSlugs</t>
        </is>
      </c>
      <c r="R1" s="136" t="inlineStr">
        <is>
          <t>herbCount</t>
        </is>
      </c>
      <c r="S1" s="136" t="inlineStr">
        <is>
          <t>reverseLookupReady</t>
        </is>
      </c>
      <c r="T1" s="136" t="inlineStr">
        <is>
          <t>integrationNotes</t>
        </is>
      </c>
    </row>
    <row r="2" ht="26" customHeight="1" s="76">
      <c r="A2" s="134" t="inlineStr">
        <is>
          <t>11-keto-beta-boswellic acid</t>
        </is>
      </c>
      <c r="B2" s="134" t="inlineStr">
        <is>
          <t>11-keto-beta-boswellic acid</t>
        </is>
      </c>
      <c r="C2" s="134" t="n"/>
      <c r="D2" s="134" t="inlineStr">
        <is>
          <t>organic acid</t>
        </is>
      </c>
      <c r="E2" s="134" t="inlineStr">
        <is>
          <t>Boswellic acids, especially AKBA, act as relatively selective 5-lipoxygenase inhibitors and reduce leukotriene synthesis in inflammatory pathways.</t>
        </is>
      </c>
      <c r="F2" s="134" t="inlineStr">
        <is>
          <t>multi-target signaling modulation</t>
        </is>
      </c>
      <c r="G2" s="134" t="inlineStr">
        <is>
          <t>general or unknown targets</t>
        </is>
      </c>
      <c r="H2" s="134" t="inlineStr">
        <is>
          <t>moderate absorption; hepatic metabolism</t>
        </is>
      </c>
      <c r="I2" s="134" t="inlineStr">
        <is>
          <t>low</t>
        </is>
      </c>
      <c r="J2" s="134" t="inlineStr">
        <is>
          <t>no well-documented interactions</t>
        </is>
      </c>
      <c r="K2" s="134" t="n"/>
      <c r="L2" s="134" t="inlineStr">
        <is>
          <t>compound_level</t>
        </is>
      </c>
      <c r="M2" s="134" t="inlineStr">
        <is>
          <t>https://plants.sc.egov.usda.gov/home/search?query=frankincense%20%28boswellia%29 | https://pubchem.ncbi.nlm.nih.gov/#query=11-keto-beta-boswellic%20acid</t>
        </is>
      </c>
      <c r="N2" s="134" t="inlineStr">
        <is>
          <t>trusted_gov_added</t>
        </is>
      </c>
      <c r="O2" s="134" t="inlineStr">
        <is>
          <t>PubChem compound page (NIH); USDA Plants database</t>
        </is>
      </c>
      <c r="P2" s="134" t="n"/>
      <c r="Q2" s="134" t="inlineStr">
        <is>
          <t>frankincense-boswellia</t>
        </is>
      </c>
      <c r="R2" s="134" t="n">
        <v>1</v>
      </c>
      <c r="S2" s="134" t="inlineStr">
        <is>
          <t>Yes</t>
        </is>
      </c>
      <c r="T2" s="134" t="inlineStr">
        <is>
          <t>Integrated from cleaned high-signal dataset</t>
        </is>
      </c>
    </row>
    <row r="3" ht="26" customHeight="1" s="76">
      <c r="A3" s="134" t="inlineStr">
        <is>
          <t>5-hydroxytryptophan</t>
        </is>
      </c>
      <c r="B3" s="134" t="inlineStr">
        <is>
          <t>5-hydroxytryptophan (5-HTP)</t>
        </is>
      </c>
      <c r="C3" s="134" t="n"/>
      <c r="D3" s="134" t="inlineStr">
        <is>
          <t>amino acid derivative</t>
        </is>
      </c>
      <c r="E3" s="134" t="inlineStr">
        <is>
          <t>Immediate serotonin precursor formed from tryptophan and decarboxylated by aromatic L-amino-acid decarboxylase to serotonin; strongest mechanism is precursor loading rather than receptor binding.</t>
        </is>
      </c>
      <c r="F3" s="134" t="inlineStr">
        <is>
          <t>serotonergic modulation</t>
        </is>
      </c>
      <c r="G3" s="134" t="inlineStr">
        <is>
          <t>Aromatic L-amino-acid decarboxylase pathway; HTR1A, HTR2A (serotonin receptors); melatonin precursor biology; serotonin biosynthesis</t>
        </is>
      </c>
      <c r="H3" s="134" t="inlineStr">
        <is>
          <t>Crosses the blood-brain barrier, but substantial peripheral decarboxylation to serotonin occurs unless decarboxylase activity is inhibited.</t>
        </is>
      </c>
      <c r="I3" s="134" t="inlineStr">
        <is>
          <t>Nausea and vomiting are common; serotonergic toxicity risk rises with interacting serotonergic drugs.</t>
        </is>
      </c>
      <c r="J3" s="134" t="inlineStr">
        <is>
          <t>SSRIs/SNRIs/MAOIs/triptans and other serotonergic agents (additive ↑ serotonin-toxicity risk); carbidopa (can increase 5-HTP exposure and GI/serotonergic adverse effects).</t>
        </is>
      </c>
      <c r="K3" s="134" t="inlineStr">
        <is>
          <t>High</t>
        </is>
      </c>
      <c r="L3" s="134" t="inlineStr">
        <is>
          <t>mixed</t>
        </is>
      </c>
      <c r="M3" s="134" t="inlineStr">
        <is>
          <t>https://plants.sc.egov.usda.gov/home/search?query=Griffonia%20simplicifolia | https://pmc.ncbi.nlm.nih.gov/articles/PMC5580516/ | https://pmc.ncbi.nlm.nih.gov/articles/PMC6141939/ | https://pubchem.ncbi.nlm.nih.gov/#query=5-hydroxytryptophan%20%285-htp%29 | https://pubchem.ncbi.nlm.nih.gov/compound/5-Hydroxytryptophan | https://pubchem.ncbi.nlm.nih.gov/compound/Oxitriptan</t>
        </is>
      </c>
      <c r="N3" s="134" t="inlineStr">
        <is>
          <t>inferred_plus_trusted_gov</t>
        </is>
      </c>
      <c r="O3" s="134" t="inlineStr">
        <is>
          <t>scientific name; PubChem compound page (NIH); USDA Plants database</t>
        </is>
      </c>
      <c r="P3" s="134" t="inlineStr">
        <is>
          <t>Batch11_neuroprecursors_2026-04-06</t>
        </is>
      </c>
      <c r="Q3" s="134" t="inlineStr">
        <is>
          <t>griffonia-simplicifolia</t>
        </is>
      </c>
      <c r="R3" s="134" t="n">
        <v>1</v>
      </c>
      <c r="S3" s="134" t="inlineStr">
        <is>
          <t>Yes</t>
        </is>
      </c>
      <c r="T3" s="134" t="inlineStr">
        <is>
          <t>Integrated from cleaned high-signal dataset; Integrated from compound monograph workbook</t>
        </is>
      </c>
    </row>
    <row r="4" ht="26" customHeight="1" s="76">
      <c r="A4" s="134" t="inlineStr">
        <is>
          <t>5-meo-dmt</t>
        </is>
      </c>
      <c r="B4" s="134" t="inlineStr">
        <is>
          <t>5-meo-dmt</t>
        </is>
      </c>
      <c r="C4" s="134" t="n"/>
      <c r="D4" s="134" t="inlineStr">
        <is>
          <t>alkaloid</t>
        </is>
      </c>
      <c r="E4" s="134" t="inlineStr">
        <is>
          <t>Tryptamines act on serotonergic receptors, especially 5-HT2A, producing psychedelic effects.</t>
        </is>
      </c>
      <c r="F4" s="134" t="inlineStr">
        <is>
          <t>serotonin receptor interaction</t>
        </is>
      </c>
      <c r="G4" s="134" t="inlineStr">
        <is>
          <t>serotonergic_5HT2A_agonism</t>
        </is>
      </c>
      <c r="H4" s="134" t="inlineStr">
        <is>
          <t>rapid absorption; CNS penetration; hepatic metabolism</t>
        </is>
      </c>
      <c r="I4" s="134" t="inlineStr">
        <is>
          <t>moderate-high</t>
        </is>
      </c>
      <c r="J4" s="134" t="inlineStr">
        <is>
          <t>avoid with SSRIs/MAOIs; risk of serotonin syndrome</t>
        </is>
      </c>
      <c r="K4" s="134" t="n"/>
      <c r="L4" s="134" t="inlineStr">
        <is>
          <t>compound_level</t>
        </is>
      </c>
      <c r="M4" s="134" t="inlineStr">
        <is>
          <t>https://plants.sc.egov.usda.gov/home/search?query=Anadenanthera%20Colubrina | https://plants.sc.egov.usda.gov/home/search?query=Piptadenia%20peregrina | https://plants.sc.egov.usda.gov/home/search?query=Virola%20calophylla | https://plants.sc.egov.usda.gov/home/search?query=Virola%20elongata | https://plants.sc.egov.usda.gov/home/search?query=Virola%20sebifera | https://plants.sc.egov.usda.gov/home/search?query=Virola%20spp. | https://plants.sc.egov.usda.gov/home/search?query=anadenanthera%20colubrina | https://plants.sc.egov.usda.gov/home/search?query=anadenanthera%20peregrina | https://pubchem.ncbi.nlm.nih.gov/#query=5-methoxy-n%2Cn-dimethyltryptamine</t>
        </is>
      </c>
      <c r="N4" s="134" t="inlineStr">
        <is>
          <t>inferred_plus_trusted_gov; trusted_gov_added</t>
        </is>
      </c>
      <c r="O4" s="134" t="inlineStr">
        <is>
          <t>PubChem compound page (NIH); USDA Plants database; Unknown; PubChem compound page (NIH); USDA Plants database; scientific name; PubChem compound page (NIH); USDA Plants database</t>
        </is>
      </c>
      <c r="P4" s="134" t="n"/>
      <c r="Q4" s="134" t="inlineStr">
        <is>
          <t>anadenanthera-colubrina; anadenanthera-colubrina-ceb-l; anadenanthera-peregrina; piptadenia-peregrina; virola-calophylla; virola-elongata; virola-sebifera; virola-spp.</t>
        </is>
      </c>
      <c r="R4" s="134" t="n">
        <v>8</v>
      </c>
      <c r="S4" s="134" t="inlineStr">
        <is>
          <t>Yes</t>
        </is>
      </c>
      <c r="T4" s="134" t="inlineStr">
        <is>
          <t>Integrated from cleaned high-signal dataset</t>
        </is>
      </c>
    </row>
    <row r="5" ht="26" customHeight="1" s="76">
      <c r="A5" s="134" t="inlineStr">
        <is>
          <t>6-gingerol</t>
        </is>
      </c>
      <c r="B5" s="134" t="inlineStr">
        <is>
          <t>6-gingerol</t>
        </is>
      </c>
      <c r="C5" s="134" t="n"/>
      <c r="D5" s="134" t="inlineStr">
        <is>
          <t>other</t>
        </is>
      </c>
      <c r="E5" s="134" t="inlineStr">
        <is>
          <t>insufficient evidence</t>
        </is>
      </c>
      <c r="F5" s="134" t="inlineStr">
        <is>
          <t>cox/nf-kb inhibition</t>
        </is>
      </c>
      <c r="G5" s="134" t="inlineStr">
        <is>
          <t>inflammatory_pathway_modulation</t>
        </is>
      </c>
      <c r="H5" s="134" t="inlineStr">
        <is>
          <t>oral absorption; hepatic metabolism; systemic distribution</t>
        </is>
      </c>
      <c r="I5" s="134" t="inlineStr">
        <is>
          <t>low</t>
        </is>
      </c>
      <c r="J5" s="134" t="inlineStr">
        <is>
          <t>no well-documented interactions</t>
        </is>
      </c>
      <c r="K5" s="134" t="n"/>
      <c r="L5" s="134" t="inlineStr">
        <is>
          <t>compound_level</t>
        </is>
      </c>
      <c r="M5" s="134" t="inlineStr">
        <is>
          <t>https://plants.sc.egov.usda.gov/home/search?query=ginger | https://pubchem.ncbi.nlm.nih.gov/#query=6-gingerol</t>
        </is>
      </c>
      <c r="N5" s="134" t="inlineStr">
        <is>
          <t>trusted_gov_added</t>
        </is>
      </c>
      <c r="O5" s="134" t="inlineStr">
        <is>
          <t>PubChem compound page (NIH); USDA Plants database</t>
        </is>
      </c>
      <c r="P5" s="134" t="n"/>
      <c r="Q5" s="134" t="inlineStr">
        <is>
          <t>ginger</t>
        </is>
      </c>
      <c r="R5" s="134" t="n">
        <v>1</v>
      </c>
      <c r="S5" s="134" t="inlineStr">
        <is>
          <t>Yes</t>
        </is>
      </c>
      <c r="T5" s="134" t="inlineStr">
        <is>
          <t>Integrated from cleaned high-signal dataset</t>
        </is>
      </c>
    </row>
    <row r="6" ht="26" customHeight="1" s="76">
      <c r="A6" s="134" t="inlineStr">
        <is>
          <t>7-hydroxymitragynine</t>
        </is>
      </c>
      <c r="B6" s="134" t="inlineStr">
        <is>
          <t>7-hydroxymitragynine</t>
        </is>
      </c>
      <c r="C6" s="134" t="n"/>
      <c r="D6" s="134" t="inlineStr">
        <is>
          <t>other</t>
        </is>
      </c>
      <c r="E6" s="134" t="inlineStr">
        <is>
          <t>Mitragynine and 7-hydroxymitragynine act as partial agonists at μ-opioid receptors with additional adrenergic and serotonergic activity.</t>
        </is>
      </c>
      <c r="F6" s="134" t="inlineStr">
        <is>
          <t>multi-target signaling modulation</t>
        </is>
      </c>
      <c r="G6" s="134" t="inlineStr">
        <is>
          <t>general or unknown targets</t>
        </is>
      </c>
      <c r="H6" s="134" t="inlineStr">
        <is>
          <t>moderate absorption; hepatic metabolism</t>
        </is>
      </c>
      <c r="I6" s="134" t="inlineStr">
        <is>
          <t>low</t>
        </is>
      </c>
      <c r="J6" s="134" t="inlineStr">
        <is>
          <t>no well-documented interactions</t>
        </is>
      </c>
      <c r="K6" s="134" t="n"/>
      <c r="L6" s="134" t="inlineStr">
        <is>
          <t>compound_level</t>
        </is>
      </c>
      <c r="M6" s="134" t="inlineStr">
        <is>
          <t>https://plants.sc.egov.usda.gov/home/search?query=Mitragyna%20speciosa | https://plants.sc.egov.usda.gov/home/search?query=kratom%20hybrids | https://pubchem.ncbi.nlm.nih.gov/#query=7-hydroxymitragynine</t>
        </is>
      </c>
      <c r="N6" s="134" t="inlineStr">
        <is>
          <t>inferred_plus_trusted_gov; trusted_gov_added</t>
        </is>
      </c>
      <c r="O6" s="134" t="inlineStr">
        <is>
          <t>PubChem compound page (NIH); USDA Plants database; scientific name; PubChem compound page (NIH); USDA Plants database</t>
        </is>
      </c>
      <c r="P6" s="134" t="n"/>
      <c r="Q6" s="134" t="inlineStr">
        <is>
          <t>kratom-hybrids; mitragyna-speciosa</t>
        </is>
      </c>
      <c r="R6" s="134" t="n">
        <v>2</v>
      </c>
      <c r="S6" s="134" t="inlineStr">
        <is>
          <t>Yes</t>
        </is>
      </c>
      <c r="T6" s="134" t="inlineStr">
        <is>
          <t>Integrated from cleaned high-signal dataset</t>
        </is>
      </c>
    </row>
    <row r="7" ht="26" customHeight="1" s="76">
      <c r="A7" s="134" t="inlineStr">
        <is>
          <t>8-cineole</t>
        </is>
      </c>
      <c r="B7" s="134" t="inlineStr">
        <is>
          <t>8-cineole</t>
        </is>
      </c>
      <c r="C7" s="134" t="n"/>
      <c r="D7" s="134" t="inlineStr">
        <is>
          <t>other</t>
        </is>
      </c>
      <c r="E7" s="134" t="inlineStr">
        <is>
          <t>insufficient evidence</t>
        </is>
      </c>
      <c r="F7" s="134" t="inlineStr">
        <is>
          <t>multi-target signaling modulation</t>
        </is>
      </c>
      <c r="G7" s="134" t="inlineStr">
        <is>
          <t>general or unknown targets</t>
        </is>
      </c>
      <c r="H7" s="134" t="inlineStr">
        <is>
          <t>Absorption and bioavailability vary; some compounds metabolized via cytochrome P450 enzymes.</t>
        </is>
      </c>
      <c r="I7" s="134" t="inlineStr">
        <is>
          <t>low</t>
        </is>
      </c>
      <c r="J7" s="134" t="inlineStr">
        <is>
          <t>no well-documented interactions</t>
        </is>
      </c>
      <c r="K7" s="134" t="n"/>
      <c r="L7" s="134" t="inlineStr">
        <is>
          <t>compound_level</t>
        </is>
      </c>
      <c r="M7" s="134" t="inlineStr">
        <is>
          <t>https://plants.sc.egov.usda.gov/home/search?query=Artemisia%20herba-alba | https://plants.sc.egov.usda.gov/home/search?query=catnip | https://pubchem.ncbi.nlm.nih.gov/#query=8-cineole</t>
        </is>
      </c>
      <c r="N7" s="134" t="inlineStr">
        <is>
          <t>inferred_plus_trusted_gov; trusted_gov_added</t>
        </is>
      </c>
      <c r="O7" s="134" t="inlineStr">
        <is>
          <t>PubChem compound page (NIH); USDA Plants database; scientific name; PubChem compound page (NIH); USDA Plants database</t>
        </is>
      </c>
      <c r="P7" s="134" t="n"/>
      <c r="Q7" s="134" t="inlineStr">
        <is>
          <t>artemisia-herba-alba; nepeta-cataria</t>
        </is>
      </c>
      <c r="R7" s="134" t="n">
        <v>2</v>
      </c>
      <c r="S7" s="134" t="inlineStr">
        <is>
          <t>Yes</t>
        </is>
      </c>
      <c r="T7" s="134" t="inlineStr">
        <is>
          <t>Integrated from cleaned high-signal dataset</t>
        </is>
      </c>
    </row>
    <row r="8" ht="26" customHeight="1" s="76">
      <c r="A8" s="134" t="inlineStr">
        <is>
          <t>absinthin</t>
        </is>
      </c>
      <c r="B8" s="134" t="inlineStr">
        <is>
          <t>absinthin</t>
        </is>
      </c>
      <c r="C8" s="134" t="n"/>
      <c r="D8" s="134" t="inlineStr">
        <is>
          <t>other</t>
        </is>
      </c>
      <c r="E8" s="134" t="inlineStr">
        <is>
          <t>Thujone is associated with GABA_A receptor antagonism; other constituents contribute bitter, digestive, and broader preclinical bioactivities.</t>
        </is>
      </c>
      <c r="F8" s="134" t="inlineStr">
        <is>
          <t>gaba_a_modulation</t>
        </is>
      </c>
      <c r="G8" s="134" t="inlineStr">
        <is>
          <t>gabaergic_modulation</t>
        </is>
      </c>
      <c r="H8" s="134" t="inlineStr">
        <is>
          <t>moderate absorption; hepatic metabolism</t>
        </is>
      </c>
      <c r="I8" s="134" t="inlineStr">
        <is>
          <t>low</t>
        </is>
      </c>
      <c r="J8" s="134" t="inlineStr">
        <is>
          <t>no well-documented interactions</t>
        </is>
      </c>
      <c r="K8" s="134" t="n"/>
      <c r="L8" s="134" t="inlineStr">
        <is>
          <t>compound_level</t>
        </is>
      </c>
      <c r="M8" s="134" t="inlineStr">
        <is>
          <t>https://plants.sc.egov.usda.gov/home/search?query=artemisia%20absinthium | https://pubchem.ncbi.nlm.nih.gov/#query=absinthin</t>
        </is>
      </c>
      <c r="N8" s="134" t="inlineStr">
        <is>
          <t>trusted_gov_added</t>
        </is>
      </c>
      <c r="O8" s="134" t="inlineStr">
        <is>
          <t>PubChem compound page (NIH); USDA Plants database</t>
        </is>
      </c>
      <c r="P8" s="134" t="n"/>
      <c r="Q8" s="134" t="inlineStr">
        <is>
          <t>artemisia-absinthium</t>
        </is>
      </c>
      <c r="R8" s="134" t="n">
        <v>1</v>
      </c>
      <c r="S8" s="134" t="inlineStr">
        <is>
          <t>Yes</t>
        </is>
      </c>
      <c r="T8" s="134" t="inlineStr">
        <is>
          <t>Integrated from cleaned high-signal dataset</t>
        </is>
      </c>
    </row>
    <row r="9" ht="26" customHeight="1" s="76">
      <c r="A9" s="134" t="inlineStr">
        <is>
          <t>acetyl-11-keto-beta-boswellic acid</t>
        </is>
      </c>
      <c r="B9" s="134" t="inlineStr">
        <is>
          <t>acetyl-11-keto-beta-boswellic acid (akba)</t>
        </is>
      </c>
      <c r="C9" s="134" t="n"/>
      <c r="D9" s="134" t="inlineStr">
        <is>
          <t>organic acid</t>
        </is>
      </c>
      <c r="E9" s="134" t="inlineStr">
        <is>
          <t>Boswellic acids, especially AKBA, act as relatively selective 5-lipoxygenase inhibitors and reduce leukotriene synthesis in inflammatory pathways.</t>
        </is>
      </c>
      <c r="F9" s="134" t="inlineStr">
        <is>
          <t>multi-target signaling modulation</t>
        </is>
      </c>
      <c r="G9" s="134" t="inlineStr">
        <is>
          <t>general or unknown targets</t>
        </is>
      </c>
      <c r="H9" s="134" t="inlineStr">
        <is>
          <t>moderate absorption; hepatic metabolism</t>
        </is>
      </c>
      <c r="I9" s="134" t="inlineStr">
        <is>
          <t>low</t>
        </is>
      </c>
      <c r="J9" s="134" t="inlineStr">
        <is>
          <t>no well-documented interactions</t>
        </is>
      </c>
      <c r="K9" s="134" t="n"/>
      <c r="L9" s="134" t="inlineStr">
        <is>
          <t>compound_level</t>
        </is>
      </c>
      <c r="M9" s="134" t="inlineStr">
        <is>
          <t>https://plants.sc.egov.usda.gov/home/search?query=frankincense%20%28boswellia%29 | https://pubchem.ncbi.nlm.nih.gov/#query=acetyl-11-keto-beta-boswellic%20acid%20%28akba%29</t>
        </is>
      </c>
      <c r="N9" s="134" t="inlineStr">
        <is>
          <t>trusted_gov_added</t>
        </is>
      </c>
      <c r="O9" s="134" t="inlineStr">
        <is>
          <t>PubChem compound page (NIH); USDA Plants database</t>
        </is>
      </c>
      <c r="P9" s="134" t="n"/>
      <c r="Q9" s="134" t="inlineStr">
        <is>
          <t>frankincense-boswellia</t>
        </is>
      </c>
      <c r="R9" s="134" t="n">
        <v>1</v>
      </c>
      <c r="S9" s="134" t="inlineStr">
        <is>
          <t>Yes</t>
        </is>
      </c>
      <c r="T9" s="134" t="inlineStr">
        <is>
          <t>Integrated from cleaned high-signal dataset</t>
        </is>
      </c>
    </row>
    <row r="10" ht="26" customHeight="1" s="76">
      <c r="A10" s="134" t="inlineStr">
        <is>
          <t>acetyl-beta-boswellic acid</t>
        </is>
      </c>
      <c r="B10" s="134" t="inlineStr">
        <is>
          <t>acetyl-beta-boswellic acid</t>
        </is>
      </c>
      <c r="C10" s="134" t="n"/>
      <c r="D10" s="134" t="inlineStr">
        <is>
          <t>organic acid</t>
        </is>
      </c>
      <c r="E10" s="134" t="inlineStr">
        <is>
          <t>Boswellic acids, especially AKBA, act as relatively selective 5-lipoxygenase inhibitors and reduce leukotriene synthesis in inflammatory pathways.</t>
        </is>
      </c>
      <c r="F10" s="134" t="inlineStr">
        <is>
          <t>multi-target signaling modulation</t>
        </is>
      </c>
      <c r="G10" s="134" t="inlineStr">
        <is>
          <t>general or unknown targets</t>
        </is>
      </c>
      <c r="H10" s="134" t="inlineStr">
        <is>
          <t>moderate absorption; hepatic metabolism</t>
        </is>
      </c>
      <c r="I10" s="134" t="inlineStr">
        <is>
          <t>low</t>
        </is>
      </c>
      <c r="J10" s="134" t="inlineStr">
        <is>
          <t>no well-documented interactions</t>
        </is>
      </c>
      <c r="K10" s="134" t="n"/>
      <c r="L10" s="134" t="inlineStr">
        <is>
          <t>compound_level</t>
        </is>
      </c>
      <c r="M10" s="134" t="inlineStr">
        <is>
          <t>https://plants.sc.egov.usda.gov/home/search?query=frankincense%20%28boswellia%29 | https://pubchem.ncbi.nlm.nih.gov/#query=acetyl-beta-boswellic%20acid</t>
        </is>
      </c>
      <c r="N10" s="134" t="inlineStr">
        <is>
          <t>trusted_gov_added</t>
        </is>
      </c>
      <c r="O10" s="134" t="inlineStr">
        <is>
          <t>PubChem compound page (NIH); USDA Plants database</t>
        </is>
      </c>
      <c r="P10" s="134" t="n"/>
      <c r="Q10" s="134" t="inlineStr">
        <is>
          <t>frankincense-boswellia</t>
        </is>
      </c>
      <c r="R10" s="134" t="n">
        <v>1</v>
      </c>
      <c r="S10" s="134" t="inlineStr">
        <is>
          <t>Yes</t>
        </is>
      </c>
      <c r="T10" s="134" t="inlineStr">
        <is>
          <t>Integrated from cleaned high-signal dataset</t>
        </is>
      </c>
    </row>
    <row r="11" ht="26" customHeight="1" s="76">
      <c r="A11" s="134" t="inlineStr">
        <is>
          <t>acetyl-l-carnitine</t>
        </is>
      </c>
      <c r="B11" s="134" t="inlineStr">
        <is>
          <t>acetyl-L-carnitine</t>
        </is>
      </c>
      <c r="C11" s="134" t="n"/>
      <c r="D11" s="134" t="inlineStr">
        <is>
          <t>amino acid derivative</t>
        </is>
      </c>
      <c r="E11" s="134" t="inlineStr">
        <is>
          <t>Facilitates mitochondrial fatty acid transport via the carnitine shuttle and supports acetyl-CoA metabolism.</t>
        </is>
      </c>
      <c r="F11" s="134" t="n"/>
      <c r="G11" s="134" t="inlineStr">
        <is>
          <t>Carnitine shuttle system; Mitochondrial beta-oxidation</t>
        </is>
      </c>
      <c r="H11" s="134" t="inlineStr">
        <is>
          <t>Absorbed orally; crosses the blood-brain barrier.</t>
        </is>
      </c>
      <c r="I11" s="134" t="inlineStr">
        <is>
          <t>Generally well tolerated; mild GI upset reported.</t>
        </is>
      </c>
      <c r="J11" s="134" t="inlineStr">
        <is>
          <t>Thyroid hormone (possible interaction); anticoagulants (theoretical interaction).</t>
        </is>
      </c>
      <c r="K11" s="134" t="inlineStr">
        <is>
          <t>moderate</t>
        </is>
      </c>
      <c r="L11" s="134" t="inlineStr">
        <is>
          <t>Batch10</t>
        </is>
      </c>
      <c r="M11" s="134" t="n"/>
      <c r="N11" s="134" t="n"/>
      <c r="O11" s="134" t="n"/>
      <c r="P11" s="134" t="inlineStr">
        <is>
          <t>manual_batch10</t>
        </is>
      </c>
      <c r="Q11" s="134" t="n"/>
      <c r="R11" s="134" t="n">
        <v>0</v>
      </c>
      <c r="S11" s="134" t="inlineStr">
        <is>
          <t>No</t>
        </is>
      </c>
      <c r="T11" s="134" t="inlineStr">
        <is>
          <t>Integrated from compound monograph workbook</t>
        </is>
      </c>
    </row>
    <row r="12" ht="26" customHeight="1" s="76">
      <c r="A12" s="134" t="inlineStr">
        <is>
          <t>aconitine</t>
        </is>
      </c>
      <c r="B12" s="134" t="inlineStr">
        <is>
          <t>aconitine</t>
        </is>
      </c>
      <c r="C12" s="134" t="n"/>
      <c r="D12" s="134" t="inlineStr">
        <is>
          <t>other</t>
        </is>
      </c>
      <c r="E12" s="134" t="inlineStr">
        <is>
          <t>insufficient evidence</t>
        </is>
      </c>
      <c r="F12" s="134" t="inlineStr">
        <is>
          <t>multi-target signaling modulation</t>
        </is>
      </c>
      <c r="G12" s="134" t="inlineStr">
        <is>
          <t>general or unknown targets</t>
        </is>
      </c>
      <c r="H12" s="134" t="inlineStr">
        <is>
          <t>Absorption and bioavailability vary; some compounds metabolized via cytochrome P450 enzymes.</t>
        </is>
      </c>
      <c r="I12" s="134" t="inlineStr">
        <is>
          <t>low</t>
        </is>
      </c>
      <c r="J12" s="134" t="inlineStr">
        <is>
          <t>no well-documented interactions</t>
        </is>
      </c>
      <c r="K12" s="134" t="n"/>
      <c r="L12" s="134" t="inlineStr">
        <is>
          <t>compound_level</t>
        </is>
      </c>
      <c r="M12" s="134" t="inlineStr">
        <is>
          <t>https://plants.sc.egov.usda.gov/home/search?query=Aconitum%20ferox | https://plants.sc.egov.usda.gov/home/search?query=Aconitum%20napellus | https://pubchem.ncbi.nlm.nih.gov/#query=aconitine</t>
        </is>
      </c>
      <c r="N12" s="134" t="inlineStr">
        <is>
          <t>inferred_plus_trusted_gov</t>
        </is>
      </c>
      <c r="O12" s="134" t="inlineStr">
        <is>
          <t>scientific name; PubChem compound page (NIH); USDA Plants database</t>
        </is>
      </c>
      <c r="P12" s="134" t="n"/>
      <c r="Q12" s="134" t="inlineStr">
        <is>
          <t>aconitum-ferox; aconitum-napellus</t>
        </is>
      </c>
      <c r="R12" s="134" t="n">
        <v>2</v>
      </c>
      <c r="S12" s="134" t="inlineStr">
        <is>
          <t>Yes</t>
        </is>
      </c>
      <c r="T12" s="134" t="inlineStr">
        <is>
          <t>Integrated from cleaned high-signal dataset</t>
        </is>
      </c>
    </row>
    <row r="13" ht="26" customHeight="1" s="76">
      <c r="A13" s="134" t="inlineStr">
        <is>
          <t>adenosine</t>
        </is>
      </c>
      <c r="B13" s="134" t="inlineStr">
        <is>
          <t>adenosine</t>
        </is>
      </c>
      <c r="C13" s="134" t="n"/>
      <c r="D13" s="134" t="inlineStr">
        <is>
          <t>polysaccharides</t>
        </is>
      </c>
      <c r="E13" s="134" t="inlineStr">
        <is>
          <t>insufficient evidence</t>
        </is>
      </c>
      <c r="F13" s="134" t="inlineStr">
        <is>
          <t>adenosine receptor antagonism</t>
        </is>
      </c>
      <c r="G13" s="134" t="inlineStr">
        <is>
          <t>adenosine_antagonism</t>
        </is>
      </c>
      <c r="H13" s="134" t="inlineStr">
        <is>
          <t>Absorption and bioavailability vary; some compounds metabolized via cytochrome P450 enzymes.</t>
        </is>
      </c>
      <c r="I13" s="134" t="inlineStr">
        <is>
          <t>low</t>
        </is>
      </c>
      <c r="J13" s="134" t="inlineStr">
        <is>
          <t>no well-documented interactions</t>
        </is>
      </c>
      <c r="K13" s="134" t="n"/>
      <c r="L13" s="134" t="inlineStr">
        <is>
          <t>compound_level</t>
        </is>
      </c>
      <c r="M13" s="134" t="inlineStr">
        <is>
          <t>https://plants.sc.egov.usda.gov/home/search?query=Cordyceps%20sinensis | https://pubchem.ncbi.nlm.nih.gov/#query=adenosine</t>
        </is>
      </c>
      <c r="N13" s="134" t="inlineStr">
        <is>
          <t>inferred_plus_trusted_gov</t>
        </is>
      </c>
      <c r="O13" s="134" t="inlineStr">
        <is>
          <t>scientific name; PubChem compound page (NIH); USDA Plants database</t>
        </is>
      </c>
      <c r="P13" s="134" t="n"/>
      <c r="Q13" s="134" t="inlineStr">
        <is>
          <t>cordyceps-sinensis</t>
        </is>
      </c>
      <c r="R13" s="134" t="n">
        <v>1</v>
      </c>
      <c r="S13" s="134" t="inlineStr">
        <is>
          <t>Yes</t>
        </is>
      </c>
      <c r="T13" s="134" t="inlineStr">
        <is>
          <t>Integrated from cleaned high-signal dataset</t>
        </is>
      </c>
    </row>
    <row r="14" ht="26" customHeight="1" s="76">
      <c r="A14" s="134" t="inlineStr">
        <is>
          <t>aegeline</t>
        </is>
      </c>
      <c r="B14" s="134" t="inlineStr">
        <is>
          <t>aegeline</t>
        </is>
      </c>
      <c r="C14" s="134" t="n"/>
      <c r="D14" s="134" t="inlineStr">
        <is>
          <t>coumarins</t>
        </is>
      </c>
      <c r="E14" s="134" t="inlineStr">
        <is>
          <t>insufficient evidence</t>
        </is>
      </c>
      <c r="F14" s="134" t="inlineStr">
        <is>
          <t>multi-target signaling modulation</t>
        </is>
      </c>
      <c r="G14" s="134" t="inlineStr">
        <is>
          <t>general or unknown targets</t>
        </is>
      </c>
      <c r="H14" s="134" t="inlineStr">
        <is>
          <t>moderate absorption; hepatic metabolism</t>
        </is>
      </c>
      <c r="I14" s="134" t="inlineStr">
        <is>
          <t>low</t>
        </is>
      </c>
      <c r="J14" s="134" t="inlineStr">
        <is>
          <t>no well-documented interactions</t>
        </is>
      </c>
      <c r="K14" s="134" t="n"/>
      <c r="L14" s="134" t="inlineStr">
        <is>
          <t>compound_level</t>
        </is>
      </c>
      <c r="M14" s="134" t="inlineStr">
        <is>
          <t>https://plants.sc.egov.usda.gov/home/search?query=aegle%20marmelos | https://pubchem.ncbi.nlm.nih.gov/#query=aegeline</t>
        </is>
      </c>
      <c r="N14" s="134" t="inlineStr">
        <is>
          <t>trusted_gov_added</t>
        </is>
      </c>
      <c r="O14" s="134" t="inlineStr">
        <is>
          <t>PubChem compound page (NIH); USDA Plants database</t>
        </is>
      </c>
      <c r="P14" s="134" t="n"/>
      <c r="Q14" s="134" t="inlineStr">
        <is>
          <t>aegle-marmelos</t>
        </is>
      </c>
      <c r="R14" s="134" t="n">
        <v>1</v>
      </c>
      <c r="S14" s="134" t="inlineStr">
        <is>
          <t>Yes</t>
        </is>
      </c>
      <c r="T14" s="134" t="inlineStr">
        <is>
          <t>Integrated from cleaned high-signal dataset</t>
        </is>
      </c>
    </row>
    <row r="15" ht="26" customHeight="1" s="76">
      <c r="A15" s="134" t="inlineStr">
        <is>
          <t>aescin</t>
        </is>
      </c>
      <c r="B15" s="134" t="inlineStr">
        <is>
          <t>aescin</t>
        </is>
      </c>
      <c r="C15" s="134" t="n"/>
      <c r="D15" s="134" t="inlineStr">
        <is>
          <t>other</t>
        </is>
      </c>
      <c r="E15" s="134" t="inlineStr">
        <is>
          <t>insufficient evidence</t>
        </is>
      </c>
      <c r="F15" s="134" t="inlineStr">
        <is>
          <t>multi-target signaling modulation</t>
        </is>
      </c>
      <c r="G15" s="134" t="inlineStr">
        <is>
          <t>general or unknown targets</t>
        </is>
      </c>
      <c r="H15" s="134" t="inlineStr">
        <is>
          <t>Absorption and bioavailability vary; some compounds metabolized via cytochrome P450 enzymes.</t>
        </is>
      </c>
      <c r="I15" s="134" t="inlineStr">
        <is>
          <t>low</t>
        </is>
      </c>
      <c r="J15" s="134" t="inlineStr">
        <is>
          <t>no well-documented interactions</t>
        </is>
      </c>
      <c r="K15" s="134" t="n"/>
      <c r="L15" s="134" t="inlineStr">
        <is>
          <t>compound_level</t>
        </is>
      </c>
      <c r="M15" s="134" t="inlineStr">
        <is>
          <t>https://plants.sc.egov.usda.gov/home/search?query=Aesculus%20hippocastanum | https://pubchem.ncbi.nlm.nih.gov/#query=aescin</t>
        </is>
      </c>
      <c r="N15" s="134" t="inlineStr">
        <is>
          <t>inferred_plus_trusted_gov</t>
        </is>
      </c>
      <c r="O15" s="134" t="inlineStr">
        <is>
          <t>scientific name; PubChem compound page (NIH); USDA Plants database</t>
        </is>
      </c>
      <c r="P15" s="134" t="n"/>
      <c r="Q15" s="134" t="inlineStr">
        <is>
          <t>aesculus-hippocastanum</t>
        </is>
      </c>
      <c r="R15" s="134" t="n">
        <v>1</v>
      </c>
      <c r="S15" s="134" t="inlineStr">
        <is>
          <t>Yes</t>
        </is>
      </c>
      <c r="T15" s="134" t="inlineStr">
        <is>
          <t>Integrated from cleaned high-signal dataset</t>
        </is>
      </c>
    </row>
    <row r="16" ht="26" customHeight="1" s="76">
      <c r="A16" s="134" t="inlineStr">
        <is>
          <t>aesculin</t>
        </is>
      </c>
      <c r="B16" s="134" t="inlineStr">
        <is>
          <t>aesculin</t>
        </is>
      </c>
      <c r="C16" s="134" t="n"/>
      <c r="D16" s="134" t="inlineStr">
        <is>
          <t>other</t>
        </is>
      </c>
      <c r="E16" s="134" t="inlineStr">
        <is>
          <t>insufficient evidence</t>
        </is>
      </c>
      <c r="F16" s="134" t="inlineStr">
        <is>
          <t>multi-target signaling modulation</t>
        </is>
      </c>
      <c r="G16" s="134" t="inlineStr">
        <is>
          <t>general or unknown targets</t>
        </is>
      </c>
      <c r="H16" s="134" t="inlineStr">
        <is>
          <t>Absorption and bioavailability vary; some compounds metabolized via cytochrome P450 enzymes.</t>
        </is>
      </c>
      <c r="I16" s="134" t="inlineStr">
        <is>
          <t>low</t>
        </is>
      </c>
      <c r="J16" s="134" t="inlineStr">
        <is>
          <t>no well-documented interactions</t>
        </is>
      </c>
      <c r="K16" s="134" t="n"/>
      <c r="L16" s="134" t="inlineStr">
        <is>
          <t>compound_level</t>
        </is>
      </c>
      <c r="M16" s="134" t="inlineStr">
        <is>
          <t>https://plants.sc.egov.usda.gov/home/search?query=Aesculus%20hippocastanum | https://pubchem.ncbi.nlm.nih.gov/#query=aesculin</t>
        </is>
      </c>
      <c r="N16" s="134" t="inlineStr">
        <is>
          <t>inferred_plus_trusted_gov</t>
        </is>
      </c>
      <c r="O16" s="134" t="inlineStr">
        <is>
          <t>scientific name; PubChem compound page (NIH); USDA Plants database</t>
        </is>
      </c>
      <c r="P16" s="134" t="n"/>
      <c r="Q16" s="134" t="inlineStr">
        <is>
          <t>aesculus-hippocastanum</t>
        </is>
      </c>
      <c r="R16" s="134" t="n">
        <v>1</v>
      </c>
      <c r="S16" s="134" t="inlineStr">
        <is>
          <t>Yes</t>
        </is>
      </c>
      <c r="T16" s="134" t="inlineStr">
        <is>
          <t>Integrated from cleaned high-signal dataset</t>
        </is>
      </c>
    </row>
    <row r="17" ht="26" customHeight="1" s="76">
      <c r="A17" s="134" t="inlineStr">
        <is>
          <t>agnuside</t>
        </is>
      </c>
      <c r="B17" s="134" t="inlineStr">
        <is>
          <t>agnuside</t>
        </is>
      </c>
      <c r="C17" s="134" t="n"/>
      <c r="D17" s="134" t="inlineStr">
        <is>
          <t>Agnuside, flavonoids, diterpenes</t>
        </is>
      </c>
      <c r="E17" s="134" t="inlineStr">
        <is>
          <t>insufficient evidence</t>
        </is>
      </c>
      <c r="F17" s="134" t="inlineStr">
        <is>
          <t>multi-target signaling modulation</t>
        </is>
      </c>
      <c r="G17" s="134" t="inlineStr">
        <is>
          <t>general or unknown targets</t>
        </is>
      </c>
      <c r="H17" s="134" t="inlineStr">
        <is>
          <t>Oral; dopamine agonist, pituitary modulator</t>
        </is>
      </c>
      <c r="I17" s="134" t="inlineStr">
        <is>
          <t>low</t>
        </is>
      </c>
      <c r="J17" s="134" t="inlineStr">
        <is>
          <t>no well-documented interactions</t>
        </is>
      </c>
      <c r="K17" s="134" t="n"/>
      <c r="L17" s="134" t="inlineStr">
        <is>
          <t>compound_level</t>
        </is>
      </c>
      <c r="M17" s="134" t="inlineStr">
        <is>
          <t>https://plants.sc.egov.usda.gov/home/search?query=Vitex%20agnus-castus | https://pubchem.ncbi.nlm.nih.gov/#query=agnuside</t>
        </is>
      </c>
      <c r="N17" s="134" t="inlineStr">
        <is>
          <t>inferred_plus_trusted_gov</t>
        </is>
      </c>
      <c r="O17" s="134" t="inlineStr">
        <is>
          <t>scientific name; PubChem compound page (NIH); USDA Plants database</t>
        </is>
      </c>
      <c r="P17" s="134" t="n"/>
      <c r="Q17" s="134" t="inlineStr">
        <is>
          <t>vitex-agnus-castus</t>
        </is>
      </c>
      <c r="R17" s="134" t="n">
        <v>1</v>
      </c>
      <c r="S17" s="134" t="inlineStr">
        <is>
          <t>Yes</t>
        </is>
      </c>
      <c r="T17" s="134" t="inlineStr">
        <is>
          <t>Integrated from cleaned high-signal dataset</t>
        </is>
      </c>
    </row>
    <row r="18" ht="26" customHeight="1" s="76">
      <c r="A18" s="134" t="inlineStr">
        <is>
          <t>agrimoniin</t>
        </is>
      </c>
      <c r="B18" s="134" t="inlineStr">
        <is>
          <t>agrimoniin</t>
        </is>
      </c>
      <c r="C18" s="134" t="n"/>
      <c r="D18" s="134" t="inlineStr">
        <is>
          <t>Tannins, agrimoniin, flavonoids</t>
        </is>
      </c>
      <c r="E18" s="134" t="inlineStr">
        <is>
          <t>insufficient evidence</t>
        </is>
      </c>
      <c r="F18" s="134" t="inlineStr">
        <is>
          <t>multi-target signaling modulation</t>
        </is>
      </c>
      <c r="G18" s="134" t="inlineStr">
        <is>
          <t>general or unknown targets</t>
        </is>
      </c>
      <c r="H18" s="134" t="inlineStr">
        <is>
          <t>Oral; mucosal toning and anti-inflammatory</t>
        </is>
      </c>
      <c r="I18" s="134" t="inlineStr">
        <is>
          <t>low</t>
        </is>
      </c>
      <c r="J18" s="134" t="inlineStr">
        <is>
          <t>no well-documented interactions</t>
        </is>
      </c>
      <c r="K18" s="134" t="n"/>
      <c r="L18" s="134" t="inlineStr">
        <is>
          <t>compound_level</t>
        </is>
      </c>
      <c r="M18" s="134" t="inlineStr">
        <is>
          <t>https://plants.sc.egov.usda.gov/home/search?query=Agrimonia%20eupatoria | https://pubchem.ncbi.nlm.nih.gov/#query=agrimoniin</t>
        </is>
      </c>
      <c r="N18" s="134" t="inlineStr">
        <is>
          <t>inferred_plus_trusted_gov</t>
        </is>
      </c>
      <c r="O18" s="134" t="inlineStr">
        <is>
          <t>scientific name; PubChem compound page (NIH); USDA Plants database</t>
        </is>
      </c>
      <c r="P18" s="134" t="n"/>
      <c r="Q18" s="134" t="inlineStr">
        <is>
          <t>agrimonia-eupatoria</t>
        </is>
      </c>
      <c r="R18" s="134" t="n">
        <v>1</v>
      </c>
      <c r="S18" s="134" t="inlineStr">
        <is>
          <t>Yes</t>
        </is>
      </c>
      <c r="T18" s="134" t="inlineStr">
        <is>
          <t>Integrated from cleaned high-signal dataset</t>
        </is>
      </c>
    </row>
    <row r="19" ht="26" customHeight="1" s="76">
      <c r="A19" s="134" t="inlineStr">
        <is>
          <t>ajmaline</t>
        </is>
      </c>
      <c r="B19" s="134" t="inlineStr">
        <is>
          <t>ajmaline</t>
        </is>
      </c>
      <c r="C19" s="134" t="n"/>
      <c r="D19" s="134" t="inlineStr">
        <is>
          <t>other</t>
        </is>
      </c>
      <c r="E19" s="134" t="inlineStr">
        <is>
          <t>insufficient evidence</t>
        </is>
      </c>
      <c r="F19" s="134" t="inlineStr">
        <is>
          <t>multi-target signaling modulation</t>
        </is>
      </c>
      <c r="G19" s="134" t="inlineStr">
        <is>
          <t>general or unknown targets</t>
        </is>
      </c>
      <c r="H19" s="134" t="inlineStr">
        <is>
          <t>Absorption and bioavailability vary; some compounds metabolized via cytochrome P450 enzymes.</t>
        </is>
      </c>
      <c r="I19" s="134" t="inlineStr">
        <is>
          <t>low</t>
        </is>
      </c>
      <c r="J19" s="134" t="inlineStr">
        <is>
          <t>no well-documented interactions</t>
        </is>
      </c>
      <c r="K19" s="134" t="n"/>
      <c r="L19" s="134" t="inlineStr">
        <is>
          <t>compound_level</t>
        </is>
      </c>
      <c r="M19" s="134" t="inlineStr">
        <is>
          <t>https://plants.sc.egov.usda.gov/home/search?query=Rauvolfia%20serpentina | https://plants.sc.egov.usda.gov/home/search?query=Rauvolfia%20vomitoria | https://pubchem.ncbi.nlm.nih.gov/#query=ajmaline</t>
        </is>
      </c>
      <c r="N19" s="134" t="inlineStr">
        <is>
          <t>inferred_plus_trusted_gov</t>
        </is>
      </c>
      <c r="O19" s="134" t="inlineStr">
        <is>
          <t>scientific name; PubChem compound page (NIH); USDA Plants database</t>
        </is>
      </c>
      <c r="P19" s="134" t="n"/>
      <c r="Q19" s="134" t="inlineStr">
        <is>
          <t>rauvolfia-serpentina; rauvolfia-vomitoria</t>
        </is>
      </c>
      <c r="R19" s="134" t="n">
        <v>2</v>
      </c>
      <c r="S19" s="134" t="inlineStr">
        <is>
          <t>Yes</t>
        </is>
      </c>
      <c r="T19" s="134" t="inlineStr">
        <is>
          <t>Integrated from cleaned high-signal dataset</t>
        </is>
      </c>
    </row>
    <row r="20" ht="26" customHeight="1" s="76">
      <c r="A20" s="134" t="inlineStr">
        <is>
          <t>ajoene</t>
        </is>
      </c>
      <c r="B20" s="134" t="inlineStr">
        <is>
          <t>ajoene</t>
        </is>
      </c>
      <c r="C20" s="134" t="n"/>
      <c r="D20" s="134" t="inlineStr">
        <is>
          <t>other</t>
        </is>
      </c>
      <c r="E20" s="134" t="inlineStr">
        <is>
          <t>insufficient evidence</t>
        </is>
      </c>
      <c r="F20" s="134" t="inlineStr">
        <is>
          <t>multi-target signaling modulation</t>
        </is>
      </c>
      <c r="G20" s="134" t="inlineStr">
        <is>
          <t>general or unknown targets</t>
        </is>
      </c>
      <c r="H20" s="134" t="inlineStr">
        <is>
          <t>Oral; vasodilatory, antibacterial, antithrombotic</t>
        </is>
      </c>
      <c r="I20" s="134" t="inlineStr">
        <is>
          <t>low</t>
        </is>
      </c>
      <c r="J20" s="134" t="inlineStr">
        <is>
          <t>no well-documented interactions</t>
        </is>
      </c>
      <c r="K20" s="134" t="n"/>
      <c r="L20" s="134" t="inlineStr">
        <is>
          <t>compound_level</t>
        </is>
      </c>
      <c r="M20" s="134" t="inlineStr">
        <is>
          <t>https://plants.sc.egov.usda.gov/home/search?query=Allium%20sativum | https://pubchem.ncbi.nlm.nih.gov/#query=ajoene</t>
        </is>
      </c>
      <c r="N20" s="134" t="inlineStr">
        <is>
          <t>inferred_plus_trusted_gov</t>
        </is>
      </c>
      <c r="O20" s="134" t="inlineStr">
        <is>
          <t>scientific name; PubChem compound page (NIH); USDA Plants database</t>
        </is>
      </c>
      <c r="P20" s="134" t="n"/>
      <c r="Q20" s="134" t="inlineStr">
        <is>
          <t>garlic</t>
        </is>
      </c>
      <c r="R20" s="134" t="n">
        <v>1</v>
      </c>
      <c r="S20" s="134" t="inlineStr">
        <is>
          <t>Yes</t>
        </is>
      </c>
      <c r="T20" s="134" t="inlineStr">
        <is>
          <t>Integrated from cleaned high-signal dataset</t>
        </is>
      </c>
    </row>
    <row r="21" ht="26" customHeight="1" s="76">
      <c r="A21" s="134" t="inlineStr">
        <is>
          <t>akba</t>
        </is>
      </c>
      <c r="B21" s="134" t="inlineStr">
        <is>
          <t>akba</t>
        </is>
      </c>
      <c r="C21" s="134" t="n"/>
      <c r="D21" s="134" t="inlineStr">
        <is>
          <t>other</t>
        </is>
      </c>
      <c r="E21" s="134" t="inlineStr">
        <is>
          <t>insufficient evidence</t>
        </is>
      </c>
      <c r="F21" s="134" t="inlineStr">
        <is>
          <t>multi-target signaling modulation</t>
        </is>
      </c>
      <c r="G21" s="134" t="inlineStr">
        <is>
          <t>general or unknown targets</t>
        </is>
      </c>
      <c r="H21" s="134" t="inlineStr">
        <is>
          <t>Absorption and bioavailability vary; some compounds metabolized via cytochrome P450 enzymes.</t>
        </is>
      </c>
      <c r="I21" s="134" t="inlineStr">
        <is>
          <t>low</t>
        </is>
      </c>
      <c r="J21" s="134" t="inlineStr">
        <is>
          <t>no well-documented interactions</t>
        </is>
      </c>
      <c r="K21" s="134" t="n"/>
      <c r="L21" s="134" t="inlineStr">
        <is>
          <t>compound_level</t>
        </is>
      </c>
      <c r="M21" s="134" t="inlineStr">
        <is>
          <t>https://plants.sc.egov.usda.gov/home/search?query=Boswellia%20sacra | https://pubchem.ncbi.nlm.nih.gov/#query=akba</t>
        </is>
      </c>
      <c r="N21" s="134" t="inlineStr">
        <is>
          <t>inferred_plus_trusted_gov</t>
        </is>
      </c>
      <c r="O21" s="134" t="inlineStr">
        <is>
          <t>scientific name; PubChem compound page (NIH); USDA Plants database</t>
        </is>
      </c>
      <c r="P21" s="134" t="n"/>
      <c r="Q21" s="134" t="inlineStr">
        <is>
          <t>boswellia-sacra</t>
        </is>
      </c>
      <c r="R21" s="134" t="n">
        <v>1</v>
      </c>
      <c r="S21" s="134" t="inlineStr">
        <is>
          <t>Yes</t>
        </is>
      </c>
      <c r="T21" s="134" t="inlineStr">
        <is>
          <t>Integrated from cleaned high-signal dataset</t>
        </is>
      </c>
    </row>
    <row r="22" ht="26" customHeight="1" s="76">
      <c r="A22" s="134" t="inlineStr">
        <is>
          <t>alangine</t>
        </is>
      </c>
      <c r="B22" s="134" t="inlineStr">
        <is>
          <t>alangine</t>
        </is>
      </c>
      <c r="C22" s="134" t="n"/>
      <c r="D22" s="134" t="inlineStr">
        <is>
          <t>alkaloids</t>
        </is>
      </c>
      <c r="E22" s="134" t="inlineStr">
        <is>
          <t>insufficient evidence</t>
        </is>
      </c>
      <c r="F22" s="134" t="inlineStr">
        <is>
          <t>multi-target signaling modulation</t>
        </is>
      </c>
      <c r="G22" s="134" t="inlineStr">
        <is>
          <t>general or unknown targets</t>
        </is>
      </c>
      <c r="H22" s="134" t="inlineStr">
        <is>
          <t>Absorption and bioavailability vary; some compounds metabolized via cytochrome P450 enzymes.</t>
        </is>
      </c>
      <c r="I22" s="134" t="inlineStr">
        <is>
          <t>low</t>
        </is>
      </c>
      <c r="J22" s="134" t="inlineStr">
        <is>
          <t>no well-documented interactions</t>
        </is>
      </c>
      <c r="K22" s="134" t="n"/>
      <c r="L22" s="134" t="inlineStr">
        <is>
          <t>compound_level</t>
        </is>
      </c>
      <c r="M22" s="134" t="inlineStr">
        <is>
          <t>https://plants.sc.egov.usda.gov/home/search?query=Alangium%20salvifolium | https://pubchem.ncbi.nlm.nih.gov/#query=alangine</t>
        </is>
      </c>
      <c r="N22" s="134" t="inlineStr">
        <is>
          <t>inferred_plus_trusted_gov</t>
        </is>
      </c>
      <c r="O22" s="134" t="inlineStr">
        <is>
          <t>scientific name; PubChem compound page (NIH); USDA Plants database</t>
        </is>
      </c>
      <c r="P22" s="134" t="n"/>
      <c r="Q22" s="134" t="inlineStr">
        <is>
          <t>alangium-salvifolium</t>
        </is>
      </c>
      <c r="R22" s="134" t="n">
        <v>1</v>
      </c>
      <c r="S22" s="134" t="inlineStr">
        <is>
          <t>Yes</t>
        </is>
      </c>
      <c r="T22" s="134" t="inlineStr">
        <is>
          <t>Integrated from cleaned high-signal dataset</t>
        </is>
      </c>
    </row>
    <row r="23" ht="26" customHeight="1" s="76">
      <c r="A23" s="134" t="inlineStr">
        <is>
          <t>alchorneine</t>
        </is>
      </c>
      <c r="B23" s="134" t="inlineStr">
        <is>
          <t>alchorneine</t>
        </is>
      </c>
      <c r="C23" s="134" t="n"/>
      <c r="D23" s="134" t="inlineStr">
        <is>
          <t>iboga alkaloids</t>
        </is>
      </c>
      <c r="E23" s="134" t="inlineStr">
        <is>
          <t>insufficient evidence</t>
        </is>
      </c>
      <c r="F23" s="134" t="inlineStr">
        <is>
          <t>multi-target signaling modulation</t>
        </is>
      </c>
      <c r="G23" s="134" t="inlineStr">
        <is>
          <t>general or unknown targets</t>
        </is>
      </c>
      <c r="H23" s="134" t="inlineStr">
        <is>
          <t>Absorption and bioavailability vary; some compounds metabolized via cytochrome P450 enzymes.</t>
        </is>
      </c>
      <c r="I23" s="134" t="inlineStr">
        <is>
          <t>low</t>
        </is>
      </c>
      <c r="J23" s="134" t="inlineStr">
        <is>
          <t>no well-documented interactions</t>
        </is>
      </c>
      <c r="K23" s="134" t="n"/>
      <c r="L23" s="134" t="inlineStr">
        <is>
          <t>compound_level</t>
        </is>
      </c>
      <c r="M23" s="134" t="inlineStr">
        <is>
          <t>https://plants.sc.egov.usda.gov/home/search?query=Alchornea%20floribunda | https://pubchem.ncbi.nlm.nih.gov/#query=alchorneine</t>
        </is>
      </c>
      <c r="N23" s="134" t="inlineStr">
        <is>
          <t>inferred_plus_trusted_gov</t>
        </is>
      </c>
      <c r="O23" s="134" t="inlineStr">
        <is>
          <t>scientific name; PubChem compound page (NIH); USDA Plants database</t>
        </is>
      </c>
      <c r="P23" s="134" t="n"/>
      <c r="Q23" s="134" t="inlineStr">
        <is>
          <t>alchornea-floribunda</t>
        </is>
      </c>
      <c r="R23" s="134" t="n">
        <v>1</v>
      </c>
      <c r="S23" s="134" t="inlineStr">
        <is>
          <t>Yes</t>
        </is>
      </c>
      <c r="T23" s="134" t="inlineStr">
        <is>
          <t>Integrated from cleaned high-signal dataset</t>
        </is>
      </c>
    </row>
    <row r="24" ht="26" customHeight="1" s="76">
      <c r="A24" s="134" t="inlineStr">
        <is>
          <t>allantoin</t>
        </is>
      </c>
      <c r="B24" s="134" t="inlineStr">
        <is>
          <t>allantoin</t>
        </is>
      </c>
      <c r="C24" s="134" t="n"/>
      <c r="D24" s="134" t="inlineStr">
        <is>
          <t>other</t>
        </is>
      </c>
      <c r="E24" s="134" t="inlineStr">
        <is>
          <t>insufficient evidence</t>
        </is>
      </c>
      <c r="F24" s="134" t="inlineStr">
        <is>
          <t>multi-target signaling modulation</t>
        </is>
      </c>
      <c r="G24" s="134" t="inlineStr">
        <is>
          <t>general or unknown targets</t>
        </is>
      </c>
      <c r="H24" s="134" t="inlineStr">
        <is>
          <t>Oral/topical; mucosal and epithelial support</t>
        </is>
      </c>
      <c r="I24" s="134" t="inlineStr">
        <is>
          <t>low</t>
        </is>
      </c>
      <c r="J24" s="134" t="inlineStr">
        <is>
          <t>no well-documented interactions</t>
        </is>
      </c>
      <c r="K24" s="134" t="n"/>
      <c r="L24" s="134" t="inlineStr">
        <is>
          <t>compound_level</t>
        </is>
      </c>
      <c r="M24" s="134" t="inlineStr">
        <is>
          <t>https://plants.sc.egov.usda.gov/home/search?query=Plantago%20major | https://plants.sc.egov.usda.gov/home/search?query=Symphytum%20officinale | https://pubchem.ncbi.nlm.nih.gov/#query=allantoin</t>
        </is>
      </c>
      <c r="N24" s="134" t="inlineStr">
        <is>
          <t>inferred_plus_trusted_gov</t>
        </is>
      </c>
      <c r="O24" s="134" t="inlineStr">
        <is>
          <t>scientific name; PubChem compound page (NIH); USDA Plants database</t>
        </is>
      </c>
      <c r="P24" s="134" t="n"/>
      <c r="Q24" s="134" t="inlineStr">
        <is>
          <t>plantago-major; symphytum-officinale</t>
        </is>
      </c>
      <c r="R24" s="134" t="n">
        <v>2</v>
      </c>
      <c r="S24" s="134" t="inlineStr">
        <is>
          <t>Yes</t>
        </is>
      </c>
      <c r="T24" s="134" t="inlineStr">
        <is>
          <t>Integrated from cleaned high-signal dataset</t>
        </is>
      </c>
    </row>
    <row r="25" ht="26" customHeight="1" s="76">
      <c r="A25" s="134" t="inlineStr">
        <is>
          <t>allicin</t>
        </is>
      </c>
      <c r="B25" s="134" t="inlineStr">
        <is>
          <t>allicin</t>
        </is>
      </c>
      <c r="C25" s="134" t="n"/>
      <c r="D25" s="134" t="inlineStr">
        <is>
          <t>other</t>
        </is>
      </c>
      <c r="E25" s="134" t="inlineStr">
        <is>
          <t>insufficient evidence</t>
        </is>
      </c>
      <c r="F25" s="134" t="inlineStr">
        <is>
          <t>multi-target signaling modulation</t>
        </is>
      </c>
      <c r="G25" s="134" t="inlineStr">
        <is>
          <t>general or unknown targets</t>
        </is>
      </c>
      <c r="H25" s="134" t="inlineStr">
        <is>
          <t>Oral; vasodilatory, antibacterial, antithrombotic</t>
        </is>
      </c>
      <c r="I25" s="134" t="inlineStr">
        <is>
          <t>low</t>
        </is>
      </c>
      <c r="J25" s="134" t="inlineStr">
        <is>
          <t>no well-documented interactions</t>
        </is>
      </c>
      <c r="K25" s="134" t="n"/>
      <c r="L25" s="134" t="inlineStr">
        <is>
          <t>compound_level</t>
        </is>
      </c>
      <c r="M25" s="134" t="inlineStr">
        <is>
          <t>https://plants.sc.egov.usda.gov/home/search?query=Allium%20sativum | https://pubchem.ncbi.nlm.nih.gov/#query=allicin</t>
        </is>
      </c>
      <c r="N25" s="134" t="inlineStr">
        <is>
          <t>inferred_plus_trusted_gov</t>
        </is>
      </c>
      <c r="O25" s="134" t="inlineStr">
        <is>
          <t>scientific name; PubChem compound page (NIH); USDA Plants database</t>
        </is>
      </c>
      <c r="P25" s="134" t="n"/>
      <c r="Q25" s="134" t="inlineStr">
        <is>
          <t>allium-sativum</t>
        </is>
      </c>
      <c r="R25" s="134" t="n">
        <v>1</v>
      </c>
      <c r="S25" s="134" t="inlineStr">
        <is>
          <t>Yes</t>
        </is>
      </c>
      <c r="T25" s="134" t="inlineStr">
        <is>
          <t>Integrated from cleaned high-signal dataset</t>
        </is>
      </c>
    </row>
    <row r="26" ht="26" customHeight="1" s="76">
      <c r="A26" s="134" t="inlineStr">
        <is>
          <t>allyl isothiocyanate</t>
        </is>
      </c>
      <c r="B26" s="134" t="inlineStr">
        <is>
          <t>allyl isothiocyanate</t>
        </is>
      </c>
      <c r="C26" s="134" t="n"/>
      <c r="D26" s="134" t="inlineStr">
        <is>
          <t>other</t>
        </is>
      </c>
      <c r="E26" s="134" t="inlineStr">
        <is>
          <t>insufficient evidence</t>
        </is>
      </c>
      <c r="F26" s="134" t="inlineStr">
        <is>
          <t>multi-target signaling modulation</t>
        </is>
      </c>
      <c r="G26" s="134" t="inlineStr">
        <is>
          <t>general or unknown targets</t>
        </is>
      </c>
      <c r="H26" s="134" t="inlineStr">
        <is>
          <t>Absorption and bioavailability vary; some compounds metabolized via cytochrome P450 enzymes.</t>
        </is>
      </c>
      <c r="I26" s="134" t="inlineStr">
        <is>
          <t>low</t>
        </is>
      </c>
      <c r="J26" s="134" t="inlineStr">
        <is>
          <t>no well-documented interactions</t>
        </is>
      </c>
      <c r="K26" s="134" t="n"/>
      <c r="L26" s="134" t="inlineStr">
        <is>
          <t>compound_level</t>
        </is>
      </c>
      <c r="M26" s="134" t="inlineStr">
        <is>
          <t>https://plants.sc.egov.usda.gov/home/search?query=Armoracia%20rusticana | https://pubchem.ncbi.nlm.nih.gov/#query=allyl%20isothiocyanate</t>
        </is>
      </c>
      <c r="N26" s="134" t="inlineStr">
        <is>
          <t>inferred_plus_trusted_gov</t>
        </is>
      </c>
      <c r="O26" s="134" t="inlineStr">
        <is>
          <t>scientific name; PubChem compound page (NIH); USDA Plants database</t>
        </is>
      </c>
      <c r="P26" s="134" t="n"/>
      <c r="Q26" s="134" t="inlineStr">
        <is>
          <t>armoracia-rusticana</t>
        </is>
      </c>
      <c r="R26" s="134" t="n">
        <v>1</v>
      </c>
      <c r="S26" s="134" t="inlineStr">
        <is>
          <t>Yes</t>
        </is>
      </c>
      <c r="T26" s="134" t="inlineStr">
        <is>
          <t>Integrated from cleaned high-signal dataset</t>
        </is>
      </c>
    </row>
    <row r="27" ht="26" customHeight="1" s="76">
      <c r="A27" s="134" t="inlineStr">
        <is>
          <t>aloe-emodin</t>
        </is>
      </c>
      <c r="B27" s="134" t="inlineStr">
        <is>
          <t>aloe-emodin</t>
        </is>
      </c>
      <c r="C27" s="134" t="n"/>
      <c r="D27" s="134" t="inlineStr">
        <is>
          <t>anthraquinone</t>
        </is>
      </c>
      <c r="E27" s="134" t="inlineStr">
        <is>
          <t>Modulates MAPK and NF-kB pathways</t>
        </is>
      </c>
      <c r="F27" s="134" t="inlineStr">
        <is>
          <t>multi-target signaling modulation</t>
        </is>
      </c>
      <c r="G27" s="134" t="inlineStr">
        <is>
          <t>MAPK pathway; NF-kB inhibition; general or unknown targets</t>
        </is>
      </c>
      <c r="H27" s="134" t="inlineStr">
        <is>
          <t>Absorption and bioavailability vary; some compounds metabolized via cytochrome P450 enzymes.</t>
        </is>
      </c>
      <c r="I27" s="134" t="inlineStr">
        <is>
          <t>low</t>
        </is>
      </c>
      <c r="J27" s="134" t="inlineStr">
        <is>
          <t>Laxatives (additive effect)</t>
        </is>
      </c>
      <c r="K27" s="134" t="n"/>
      <c r="L27" s="134" t="inlineStr">
        <is>
          <t>Batch8</t>
        </is>
      </c>
      <c r="M27" s="134" t="inlineStr">
        <is>
          <t>https://plants.sc.egov.usda.gov/home/search?query=Cassia%20alata | https://plants.sc.egov.usda.gov/home/search?query=Cassia%20occidentalis | https://pubchem.ncbi.nlm.nih.gov/#query=aloe-emodin</t>
        </is>
      </c>
      <c r="N27" s="134" t="inlineStr">
        <is>
          <t>inferred_plus_trusted_gov</t>
        </is>
      </c>
      <c r="O27" s="134" t="inlineStr">
        <is>
          <t>scientific name; PubChem compound page (NIH); USDA Plants database</t>
        </is>
      </c>
      <c r="P27" s="134" t="inlineStr">
        <is>
          <t>precision_monographs_batch8.xlsx</t>
        </is>
      </c>
      <c r="Q27" s="134" t="inlineStr">
        <is>
          <t>cassia-alata; cassia-occidentalis</t>
        </is>
      </c>
      <c r="R27" s="134" t="n">
        <v>2</v>
      </c>
      <c r="S27" s="134" t="inlineStr">
        <is>
          <t>Yes</t>
        </is>
      </c>
      <c r="T27" s="134" t="inlineStr">
        <is>
          <t>Integrated from cleaned high-signal dataset; Integrated from compound monograph workbook</t>
        </is>
      </c>
    </row>
    <row r="28" ht="26" customHeight="1" s="76">
      <c r="A28" s="134" t="inlineStr">
        <is>
          <t>aloin</t>
        </is>
      </c>
      <c r="B28" s="134" t="inlineStr">
        <is>
          <t>aloin</t>
        </is>
      </c>
      <c r="C28" s="134" t="n"/>
      <c r="D28" s="134" t="inlineStr">
        <is>
          <t>Aloin, polysaccharides, anthraquinones</t>
        </is>
      </c>
      <c r="E28" s="134" t="inlineStr">
        <is>
          <t>insufficient evidence</t>
        </is>
      </c>
      <c r="F28" s="134" t="inlineStr">
        <is>
          <t>multi-target signaling modulation</t>
        </is>
      </c>
      <c r="G28" s="134" t="inlineStr">
        <is>
          <t>general or unknown targets</t>
        </is>
      </c>
      <c r="H28" s="134" t="inlineStr">
        <is>
          <t>Oral/topical; demulcent and laxative effects</t>
        </is>
      </c>
      <c r="I28" s="134" t="inlineStr">
        <is>
          <t>low</t>
        </is>
      </c>
      <c r="J28" s="134" t="inlineStr">
        <is>
          <t>no well-documented interactions</t>
        </is>
      </c>
      <c r="K28" s="134" t="n"/>
      <c r="L28" s="134" t="inlineStr">
        <is>
          <t>compound_level</t>
        </is>
      </c>
      <c r="M28" s="134" t="inlineStr">
        <is>
          <t>https://plants.sc.egov.usda.gov/home/search?query=Aloe%20vera | https://pubchem.ncbi.nlm.nih.gov/#query=aloin</t>
        </is>
      </c>
      <c r="N28" s="134" t="inlineStr">
        <is>
          <t>inferred_plus_trusted_gov</t>
        </is>
      </c>
      <c r="O28" s="134" t="inlineStr">
        <is>
          <t>scientific name; PubChem compound page (NIH); USDA Plants database</t>
        </is>
      </c>
      <c r="P28" s="134" t="n"/>
      <c r="Q28" s="134" t="inlineStr">
        <is>
          <t>aloe-vera</t>
        </is>
      </c>
      <c r="R28" s="134" t="n">
        <v>1</v>
      </c>
      <c r="S28" s="134" t="inlineStr">
        <is>
          <t>Yes</t>
        </is>
      </c>
      <c r="T28" s="134" t="inlineStr">
        <is>
          <t>Integrated from cleaned high-signal dataset</t>
        </is>
      </c>
    </row>
    <row r="29" ht="26" customHeight="1" s="76">
      <c r="A29" s="134" t="inlineStr">
        <is>
          <t>alpha-asarone</t>
        </is>
      </c>
      <c r="B29" s="134" t="inlineStr">
        <is>
          <t>alpha-asarone</t>
        </is>
      </c>
      <c r="C29" s="134" t="n"/>
      <c r="D29" s="134" t="inlineStr">
        <is>
          <t>other</t>
        </is>
      </c>
      <c r="E29" s="134" t="inlineStr">
        <is>
          <t>insufficient evidence</t>
        </is>
      </c>
      <c r="F29" s="134" t="inlineStr">
        <is>
          <t>gaba_a_modulation; multi-target signaling modulation</t>
        </is>
      </c>
      <c r="G29" s="134" t="inlineStr">
        <is>
          <t>gabaergic_modulation; general or unknown targets</t>
        </is>
      </c>
      <c r="H29" s="134" t="inlineStr">
        <is>
          <t>moderate absorption; hepatic metabolism</t>
        </is>
      </c>
      <c r="I29" s="134" t="inlineStr">
        <is>
          <t>low</t>
        </is>
      </c>
      <c r="J29" s="134" t="inlineStr">
        <is>
          <t>no well-documented interactions</t>
        </is>
      </c>
      <c r="K29" s="134" t="n"/>
      <c r="L29" s="134" t="inlineStr">
        <is>
          <t>compound_level</t>
        </is>
      </c>
      <c r="M29" s="134" t="inlineStr">
        <is>
          <t>https://plants.sc.egov.usda.gov/home/search?query=Acorus%20tatarinowii | https://plants.sc.egov.usda.gov/home/search?query=acorus%20americanus | https://plants.sc.egov.usda.gov/home/search?query=acorus%20calamus | https://plants.sc.egov.usda.gov/home/search?query=acorus%20calamus%20var.%20angustatus | https://pubchem.ncbi.nlm.nih.gov/#query=alpha-asarone</t>
        </is>
      </c>
      <c r="N29" s="134" t="inlineStr">
        <is>
          <t>inferred_plus_trusted_gov; trusted_gov_added</t>
        </is>
      </c>
      <c r="O29" s="134" t="inlineStr">
        <is>
          <t>PubChem compound page (NIH); USDA Plants database; scientific name; PubChem compound page (NIH); USDA Plants database</t>
        </is>
      </c>
      <c r="P29" s="134" t="n"/>
      <c r="Q29" s="134" t="inlineStr">
        <is>
          <t>acorus-americanus; acorus-calamus; acorus-calamus-angustatus; acorus-tatarinowii</t>
        </is>
      </c>
      <c r="R29" s="134" t="n">
        <v>4</v>
      </c>
      <c r="S29" s="134" t="inlineStr">
        <is>
          <t>Yes</t>
        </is>
      </c>
      <c r="T29" s="134" t="inlineStr">
        <is>
          <t>Integrated from cleaned high-signal dataset</t>
        </is>
      </c>
    </row>
    <row r="30" ht="26" customHeight="1" s="76">
      <c r="A30" s="134" t="inlineStr">
        <is>
          <t>alpha-bisabolol</t>
        </is>
      </c>
      <c r="B30" s="134" t="inlineStr">
        <is>
          <t>alpha-bisabolol</t>
        </is>
      </c>
      <c r="C30" s="134" t="n"/>
      <c r="D30" s="134" t="inlineStr">
        <is>
          <t>other</t>
        </is>
      </c>
      <c r="E30" s="134" t="inlineStr">
        <is>
          <t>Chamomile's CNS effects are partly attributed to apigenin, which binds at the central benzodiazepine site associated with GABA_A receptor signaling; other constituents contribute anti-inflammatory and spasmolytic activity.</t>
        </is>
      </c>
      <c r="F30" s="134" t="inlineStr">
        <is>
          <t>gaba_a_modulation</t>
        </is>
      </c>
      <c r="G30" s="134" t="inlineStr">
        <is>
          <t>gabaergic_modulation; inflammatory_pathway_modulation</t>
        </is>
      </c>
      <c r="H30" s="134" t="inlineStr">
        <is>
          <t>moderate absorption; hepatic metabolism</t>
        </is>
      </c>
      <c r="I30" s="134" t="inlineStr">
        <is>
          <t>low</t>
        </is>
      </c>
      <c r="J30" s="134" t="inlineStr">
        <is>
          <t>no well-documented interactions</t>
        </is>
      </c>
      <c r="K30" s="134" t="n"/>
      <c r="L30" s="134" t="inlineStr">
        <is>
          <t>compound_level</t>
        </is>
      </c>
      <c r="M30" s="134" t="inlineStr">
        <is>
          <t>https://plants.sc.egov.usda.gov/home/search?query=chamomile | https://pubchem.ncbi.nlm.nih.gov/#query=alpha-bisabolol</t>
        </is>
      </c>
      <c r="N30" s="134" t="inlineStr">
        <is>
          <t>trusted_gov_added</t>
        </is>
      </c>
      <c r="O30" s="134" t="inlineStr">
        <is>
          <t>PubChem compound page (NIH); USDA Plants database</t>
        </is>
      </c>
      <c r="P30" s="134" t="n"/>
      <c r="Q30" s="134" t="inlineStr">
        <is>
          <t>matricaria-chamomilla</t>
        </is>
      </c>
      <c r="R30" s="134" t="n">
        <v>1</v>
      </c>
      <c r="S30" s="134" t="inlineStr">
        <is>
          <t>Yes</t>
        </is>
      </c>
      <c r="T30" s="134" t="inlineStr">
        <is>
          <t>Integrated from cleaned high-signal dataset</t>
        </is>
      </c>
    </row>
    <row r="31" ht="26" customHeight="1" s="76">
      <c r="A31" s="134" t="inlineStr">
        <is>
          <t>alpha-gpc l-alpha-glycerylphosphorylcholine</t>
        </is>
      </c>
      <c r="B31" s="134" t="inlineStr">
        <is>
          <t>alpha-GPC (L-alpha-glycerylphosphorylcholine)</t>
        </is>
      </c>
      <c r="C31" s="134" t="n"/>
      <c r="D31" s="134" t="inlineStr">
        <is>
          <t>choline-containing phospholipid metabolite</t>
        </is>
      </c>
      <c r="E31" s="134" t="inlineStr">
        <is>
          <t>Highly bioavailable choline donor that increases choline availability for acetylcholine synthesis and phospholipid metabolism; primary value is precursor loading rather than direct receptor pharmacology.</t>
        </is>
      </c>
      <c r="F31" s="134" t="n"/>
      <c r="G31" s="134" t="inlineStr">
        <is>
          <t>Acetylcholine synthesis pathway; choline pool replenishment; phospholipid metabolism</t>
        </is>
      </c>
      <c r="H31" s="134" t="inlineStr">
        <is>
          <t>Rapid oral absorption with meaningful choline delivery; brain effects are usually discussed in terms of choline availability rather than intact alpha-GPC receptor action.</t>
        </is>
      </c>
      <c r="I31" s="134" t="inlineStr">
        <is>
          <t>Usually well tolerated; headache, dizziness, GI upset, and insomnia are the more practical adverse-effect cautions.</t>
        </is>
      </c>
      <c r="J31" s="134" t="inlineStr">
        <is>
          <t>Anticholinergic drugs (functional opposition); cholinergic drugs / acetylcholinesterase inhibitors (possible additive cholinergic effects).</t>
        </is>
      </c>
      <c r="K31" s="134" t="inlineStr">
        <is>
          <t>Moderate</t>
        </is>
      </c>
      <c r="L31" s="134" t="inlineStr">
        <is>
          <t>mixed</t>
        </is>
      </c>
      <c r="M31" s="134" t="inlineStr">
        <is>
          <t>https://pubchem.ncbi.nlm.nih.gov/compound/Glycerophosphocholine | https://pubmed.ncbi.nlm.nih.gov/18839195/ | https://pubmed.ncbi.nlm.nih.gov/24482832/</t>
        </is>
      </c>
      <c r="N31" s="134" t="n"/>
      <c r="O31" s="134" t="n"/>
      <c r="P31" s="134" t="inlineStr">
        <is>
          <t>Batch12_cholinergic_cognition_2026-04-07</t>
        </is>
      </c>
      <c r="Q31" s="134" t="n"/>
      <c r="R31" s="134" t="n">
        <v>0</v>
      </c>
      <c r="S31" s="134" t="inlineStr">
        <is>
          <t>No</t>
        </is>
      </c>
      <c r="T31" s="134" t="inlineStr">
        <is>
          <t>Integrated from compound monograph workbook</t>
        </is>
      </c>
    </row>
    <row r="32" ht="26" customHeight="1" s="76">
      <c r="A32" s="134" t="inlineStr">
        <is>
          <t>alpha-pinene</t>
        </is>
      </c>
      <c r="B32" s="134" t="inlineStr">
        <is>
          <t>alpha-pinene</t>
        </is>
      </c>
      <c r="C32" s="134" t="n"/>
      <c r="D32" s="134" t="inlineStr">
        <is>
          <t>terpenes</t>
        </is>
      </c>
      <c r="E32" s="134" t="inlineStr">
        <is>
          <t>insufficient evidence</t>
        </is>
      </c>
      <c r="F32" s="134" t="inlineStr">
        <is>
          <t>multi-target signaling modulation</t>
        </is>
      </c>
      <c r="G32" s="134" t="inlineStr">
        <is>
          <t>general or unknown targets</t>
        </is>
      </c>
      <c r="H32" s="134" t="inlineStr">
        <is>
          <t>Absorption and bioavailability vary; some compounds metabolized via cytochrome P450 enzymes.</t>
        </is>
      </c>
      <c r="I32" s="134" t="inlineStr">
        <is>
          <t>low</t>
        </is>
      </c>
      <c r="J32" s="134" t="inlineStr">
        <is>
          <t>no well-documented interactions</t>
        </is>
      </c>
      <c r="K32" s="134" t="n"/>
      <c r="L32" s="134" t="inlineStr">
        <is>
          <t>compound_level</t>
        </is>
      </c>
      <c r="M32" s="134" t="inlineStr">
        <is>
          <t>https://plants.sc.egov.usda.gov/home/search?query=Juniperus%20sibirica | https://pubchem.ncbi.nlm.nih.gov/#query=alpha-pinene</t>
        </is>
      </c>
      <c r="N32" s="134" t="inlineStr">
        <is>
          <t>inferred_plus_trusted_gov</t>
        </is>
      </c>
      <c r="O32" s="134" t="inlineStr">
        <is>
          <t>scientific name; PubChem compound page (NIH); USDA Plants database</t>
        </is>
      </c>
      <c r="P32" s="134" t="n"/>
      <c r="Q32" s="134" t="inlineStr">
        <is>
          <t>juniperus-sibirica</t>
        </is>
      </c>
      <c r="R32" s="134" t="n">
        <v>1</v>
      </c>
      <c r="S32" s="134" t="inlineStr">
        <is>
          <t>Yes</t>
        </is>
      </c>
      <c r="T32" s="134" t="inlineStr">
        <is>
          <t>Integrated from cleaned high-signal dataset</t>
        </is>
      </c>
    </row>
    <row r="33" ht="26" customHeight="1" s="76">
      <c r="A33" s="134" t="inlineStr">
        <is>
          <t>alpha-thujone</t>
        </is>
      </c>
      <c r="B33" s="134" t="inlineStr">
        <is>
          <t>alpha-thujone</t>
        </is>
      </c>
      <c r="C33" s="134" t="n"/>
      <c r="D33" s="134" t="inlineStr">
        <is>
          <t>other</t>
        </is>
      </c>
      <c r="E33" s="134" t="inlineStr">
        <is>
          <t>Thujone is associated with GABA_A receptor antagonism; other constituents contribute bitter, digestive, and broader preclinical bioactivities.</t>
        </is>
      </c>
      <c r="F33" s="134" t="inlineStr">
        <is>
          <t>gaba_a_modulation</t>
        </is>
      </c>
      <c r="G33" s="134" t="inlineStr">
        <is>
          <t>gabaergic_modulation</t>
        </is>
      </c>
      <c r="H33" s="134" t="inlineStr">
        <is>
          <t>moderate absorption; hepatic metabolism</t>
        </is>
      </c>
      <c r="I33" s="134" t="inlineStr">
        <is>
          <t>low</t>
        </is>
      </c>
      <c r="J33" s="134" t="inlineStr">
        <is>
          <t>no well-documented interactions</t>
        </is>
      </c>
      <c r="K33" s="134" t="n"/>
      <c r="L33" s="134" t="inlineStr">
        <is>
          <t>compound_level</t>
        </is>
      </c>
      <c r="M33" s="134" t="inlineStr">
        <is>
          <t>https://plants.sc.egov.usda.gov/home/search?query=artemisia%20absinthium | https://pubchem.ncbi.nlm.nih.gov/#query=alpha-thujone</t>
        </is>
      </c>
      <c r="N33" s="134" t="inlineStr">
        <is>
          <t>trusted_gov_added</t>
        </is>
      </c>
      <c r="O33" s="134" t="inlineStr">
        <is>
          <t>PubChem compound page (NIH); USDA Plants database</t>
        </is>
      </c>
      <c r="P33" s="134" t="n"/>
      <c r="Q33" s="134" t="inlineStr">
        <is>
          <t>artemisia-absinthium</t>
        </is>
      </c>
      <c r="R33" s="134" t="n">
        <v>1</v>
      </c>
      <c r="S33" s="134" t="inlineStr">
        <is>
          <t>Yes</t>
        </is>
      </c>
      <c r="T33" s="134" t="inlineStr">
        <is>
          <t>Integrated from cleaned high-signal dataset</t>
        </is>
      </c>
    </row>
    <row r="34" ht="26" customHeight="1" s="76">
      <c r="A34" s="134" t="inlineStr">
        <is>
          <t>amarogentin</t>
        </is>
      </c>
      <c r="B34" s="134" t="inlineStr">
        <is>
          <t>amarogentin</t>
        </is>
      </c>
      <c r="C34" s="134" t="n"/>
      <c r="D34" s="134" t="inlineStr">
        <is>
          <t>other</t>
        </is>
      </c>
      <c r="E34" s="134" t="inlineStr">
        <is>
          <t>insufficient evidence</t>
        </is>
      </c>
      <c r="F34" s="134" t="inlineStr">
        <is>
          <t>multi-target signaling modulation</t>
        </is>
      </c>
      <c r="G34" s="134" t="inlineStr">
        <is>
          <t>general or unknown targets</t>
        </is>
      </c>
      <c r="H34" s="134" t="inlineStr">
        <is>
          <t>Oral; gastric secretagogue</t>
        </is>
      </c>
      <c r="I34" s="134" t="inlineStr">
        <is>
          <t>low</t>
        </is>
      </c>
      <c r="J34" s="134" t="inlineStr">
        <is>
          <t>no well-documented interactions</t>
        </is>
      </c>
      <c r="K34" s="134" t="n"/>
      <c r="L34" s="134" t="inlineStr">
        <is>
          <t>compound_level</t>
        </is>
      </c>
      <c r="M34" s="134" t="inlineStr">
        <is>
          <t>https://plants.sc.egov.usda.gov/home/search?query=Gentiana%20lutea | https://pubchem.ncbi.nlm.nih.gov/#query=amarogentin</t>
        </is>
      </c>
      <c r="N34" s="134" t="inlineStr">
        <is>
          <t>inferred_plus_trusted_gov</t>
        </is>
      </c>
      <c r="O34" s="134" t="inlineStr">
        <is>
          <t>scientific name; PubChem compound page (NIH); USDA Plants database</t>
        </is>
      </c>
      <c r="P34" s="134" t="n"/>
      <c r="Q34" s="134" t="inlineStr">
        <is>
          <t>gentiana-lutea</t>
        </is>
      </c>
      <c r="R34" s="134" t="n">
        <v>1</v>
      </c>
      <c r="S34" s="134" t="inlineStr">
        <is>
          <t>Yes</t>
        </is>
      </c>
      <c r="T34" s="134" t="inlineStr">
        <is>
          <t>Integrated from cleaned high-signal dataset</t>
        </is>
      </c>
    </row>
    <row r="35" ht="26" customHeight="1" s="76">
      <c r="A35" s="134" t="inlineStr">
        <is>
          <t>amentoflavone</t>
        </is>
      </c>
      <c r="B35" s="134" t="inlineStr">
        <is>
          <t>amentoflavone</t>
        </is>
      </c>
      <c r="C35" s="134" t="n"/>
      <c r="D35" s="134" t="inlineStr">
        <is>
          <t>biflavonoids</t>
        </is>
      </c>
      <c r="E35" s="134" t="inlineStr">
        <is>
          <t>insufficient evidence</t>
        </is>
      </c>
      <c r="F35" s="134" t="inlineStr">
        <is>
          <t>multi-target signaling modulation</t>
        </is>
      </c>
      <c r="G35" s="134" t="inlineStr">
        <is>
          <t>general or unknown targets</t>
        </is>
      </c>
      <c r="H35" s="134" t="inlineStr">
        <is>
          <t>Absorption and bioavailability vary; some compounds metabolized via cytochrome P450 enzymes.</t>
        </is>
      </c>
      <c r="I35" s="134" t="inlineStr">
        <is>
          <t>low</t>
        </is>
      </c>
      <c r="J35" s="134" t="inlineStr">
        <is>
          <t>no well-documented interactions</t>
        </is>
      </c>
      <c r="K35" s="134" t="n"/>
      <c r="L35" s="134" t="inlineStr">
        <is>
          <t>compound_level</t>
        </is>
      </c>
      <c r="M35" s="134" t="inlineStr">
        <is>
          <t>https://plants.sc.egov.usda.gov/home/search?query=Selaginella%20tamariscina | https://pubchem.ncbi.nlm.nih.gov/#query=amentoflavone</t>
        </is>
      </c>
      <c r="N35" s="134" t="inlineStr">
        <is>
          <t>inferred_plus_trusted_gov</t>
        </is>
      </c>
      <c r="O35" s="134" t="inlineStr">
        <is>
          <t>scientific name; PubChem compound page (NIH); USDA Plants database</t>
        </is>
      </c>
      <c r="P35" s="134" t="n"/>
      <c r="Q35" s="134" t="inlineStr">
        <is>
          <t>selaginella-tamariscina</t>
        </is>
      </c>
      <c r="R35" s="134" t="n">
        <v>1</v>
      </c>
      <c r="S35" s="134" t="inlineStr">
        <is>
          <t>Yes</t>
        </is>
      </c>
      <c r="T35" s="134" t="inlineStr">
        <is>
          <t>Integrated from cleaned high-signal dataset</t>
        </is>
      </c>
    </row>
    <row r="36" ht="26" customHeight="1" s="76">
      <c r="A36" s="134" t="inlineStr">
        <is>
          <t>anabasine</t>
        </is>
      </c>
      <c r="B36" s="134" t="inlineStr">
        <is>
          <t>anabasine</t>
        </is>
      </c>
      <c r="C36" s="134" t="n"/>
      <c r="D36" s="134" t="inlineStr">
        <is>
          <t>other</t>
        </is>
      </c>
      <c r="E36" s="134" t="inlineStr">
        <is>
          <t>Nicotine acts as an agonist at nicotinic acetylcholine receptors, increasing dopamine and norepinephrine release.</t>
        </is>
      </c>
      <c r="F36" s="134" t="inlineStr">
        <is>
          <t>muscarinic receptor interaction</t>
        </is>
      </c>
      <c r="G36" s="134" t="inlineStr">
        <is>
          <t>cholinergic_modulation; dopaminergic_modulation</t>
        </is>
      </c>
      <c r="H36" s="134" t="inlineStr">
        <is>
          <t>rapid systemic absorption; crosses BBB; hepatic metabolism</t>
        </is>
      </c>
      <c r="I36" s="134" t="inlineStr">
        <is>
          <t>low</t>
        </is>
      </c>
      <c r="J36" s="134" t="inlineStr">
        <is>
          <t>no well-documented interactions</t>
        </is>
      </c>
      <c r="K36" s="134" t="n"/>
      <c r="L36" s="134" t="inlineStr">
        <is>
          <t>compound_level</t>
        </is>
      </c>
      <c r="M36" s="134" t="inlineStr">
        <is>
          <t>https://plants.sc.egov.usda.gov/home/search?query=nicotiana%20rustica | https://pubchem.ncbi.nlm.nih.gov/#query=anabasine</t>
        </is>
      </c>
      <c r="N36" s="134" t="inlineStr">
        <is>
          <t>trusted_gov_added</t>
        </is>
      </c>
      <c r="O36" s="134" t="inlineStr">
        <is>
          <t>PubChem compound page (NIH); USDA Plants database</t>
        </is>
      </c>
      <c r="P36" s="134" t="n"/>
      <c r="Q36" s="134" t="inlineStr">
        <is>
          <t>nicotiana-rustica</t>
        </is>
      </c>
      <c r="R36" s="134" t="n">
        <v>1</v>
      </c>
      <c r="S36" s="134" t="inlineStr">
        <is>
          <t>Yes</t>
        </is>
      </c>
      <c r="T36" s="134" t="inlineStr">
        <is>
          <t>Integrated from cleaned high-signal dataset</t>
        </is>
      </c>
    </row>
    <row r="37" ht="26" customHeight="1" s="76">
      <c r="A37" s="134" t="inlineStr">
        <is>
          <t>anethole</t>
        </is>
      </c>
      <c r="B37" s="134" t="inlineStr">
        <is>
          <t>anethole</t>
        </is>
      </c>
      <c r="C37" s="134" t="n"/>
      <c r="D37" s="134" t="inlineStr">
        <is>
          <t>other</t>
        </is>
      </c>
      <c r="E37" s="134" t="inlineStr">
        <is>
          <t>insufficient evidence</t>
        </is>
      </c>
      <c r="F37" s="134" t="inlineStr">
        <is>
          <t>multi-target signaling modulation</t>
        </is>
      </c>
      <c r="G37" s="134" t="inlineStr">
        <is>
          <t>general or unknown targets</t>
        </is>
      </c>
      <c r="H37" s="134" t="inlineStr">
        <is>
          <t>Absorption and bioavailability vary; some compounds metabolized via cytochrome P450 enzymes.</t>
        </is>
      </c>
      <c r="I37" s="134" t="inlineStr">
        <is>
          <t>low</t>
        </is>
      </c>
      <c r="J37" s="134" t="inlineStr">
        <is>
          <t>no well-documented interactions</t>
        </is>
      </c>
      <c r="K37" s="134" t="n"/>
      <c r="L37" s="134" t="inlineStr">
        <is>
          <t>compound_level</t>
        </is>
      </c>
      <c r="M37" s="134" t="inlineStr">
        <is>
          <t>https://plants.sc.egov.usda.gov/home/search?query=Agastache%20foeniculum | https://plants.sc.egov.usda.gov/home/search?query=Foeniculum%20vulgare | https://plants.sc.egov.usda.gov/home/search?query=Pimpinella%20anisum | https://pubchem.ncbi.nlm.nih.gov/#query=anethole</t>
        </is>
      </c>
      <c r="N37" s="134" t="inlineStr">
        <is>
          <t>inferred_plus_trusted_gov</t>
        </is>
      </c>
      <c r="O37" s="134" t="inlineStr">
        <is>
          <t>scientific name; PubChem compound page (NIH); USDA Plants database</t>
        </is>
      </c>
      <c r="P37" s="134" t="n"/>
      <c r="Q37" s="134" t="inlineStr">
        <is>
          <t>agastache-foeniculum; foeniculum-vulgare; pimpinella-anisum</t>
        </is>
      </c>
      <c r="R37" s="134" t="n">
        <v>3</v>
      </c>
      <c r="S37" s="134" t="inlineStr">
        <is>
          <t>Yes</t>
        </is>
      </c>
      <c r="T37" s="134" t="inlineStr">
        <is>
          <t>Integrated from cleaned high-signal dataset</t>
        </is>
      </c>
    </row>
    <row r="38" ht="26" customHeight="1" s="76">
      <c r="A38" s="134" t="inlineStr">
        <is>
          <t>anisomelic acid</t>
        </is>
      </c>
      <c r="B38" s="134" t="inlineStr">
        <is>
          <t>anisomelic acid</t>
        </is>
      </c>
      <c r="C38" s="134" t="n"/>
      <c r="D38" s="134" t="inlineStr">
        <is>
          <t>diterpenes</t>
        </is>
      </c>
      <c r="E38" s="134" t="inlineStr">
        <is>
          <t>insufficient evidence</t>
        </is>
      </c>
      <c r="F38" s="134" t="inlineStr">
        <is>
          <t>multi-target signaling modulation</t>
        </is>
      </c>
      <c r="G38" s="134" t="inlineStr">
        <is>
          <t>general or unknown targets</t>
        </is>
      </c>
      <c r="H38" s="134" t="inlineStr">
        <is>
          <t>Absorption and bioavailability vary; some compounds metabolized via cytochrome P450 enzymes.</t>
        </is>
      </c>
      <c r="I38" s="134" t="inlineStr">
        <is>
          <t>low</t>
        </is>
      </c>
      <c r="J38" s="134" t="inlineStr">
        <is>
          <t>no well-documented interactions</t>
        </is>
      </c>
      <c r="K38" s="134" t="n"/>
      <c r="L38" s="134" t="inlineStr">
        <is>
          <t>compound_level</t>
        </is>
      </c>
      <c r="M38" s="134" t="inlineStr">
        <is>
          <t>https://plants.sc.egov.usda.gov/home/search?query=Anisomeles%20indica | https://pubchem.ncbi.nlm.nih.gov/#query=anisomelic%20acid</t>
        </is>
      </c>
      <c r="N38" s="134" t="inlineStr">
        <is>
          <t>inferred_plus_trusted_gov</t>
        </is>
      </c>
      <c r="O38" s="134" t="inlineStr">
        <is>
          <t>scientific name; PubChem compound page (NIH); USDA Plants database</t>
        </is>
      </c>
      <c r="P38" s="134" t="n"/>
      <c r="Q38" s="134" t="inlineStr">
        <is>
          <t>anisomeles-indica</t>
        </is>
      </c>
      <c r="R38" s="134" t="n">
        <v>1</v>
      </c>
      <c r="S38" s="134" t="inlineStr">
        <is>
          <t>Yes</t>
        </is>
      </c>
      <c r="T38" s="134" t="inlineStr">
        <is>
          <t>Integrated from cleaned high-signal dataset</t>
        </is>
      </c>
    </row>
    <row r="39" ht="26" customHeight="1" s="76">
      <c r="A39" s="134" t="inlineStr">
        <is>
          <t>annonacin</t>
        </is>
      </c>
      <c r="B39" s="134" t="inlineStr">
        <is>
          <t>annonacin</t>
        </is>
      </c>
      <c r="C39" s="134" t="n"/>
      <c r="D39" s="134" t="inlineStr">
        <is>
          <t>other</t>
        </is>
      </c>
      <c r="E39" s="134" t="inlineStr">
        <is>
          <t>insufficient evidence</t>
        </is>
      </c>
      <c r="F39" s="134" t="inlineStr">
        <is>
          <t>multi-target signaling modulation</t>
        </is>
      </c>
      <c r="G39" s="134" t="inlineStr">
        <is>
          <t>general or unknown targets</t>
        </is>
      </c>
      <c r="H39" s="134" t="inlineStr">
        <is>
          <t>Absorption and bioavailability vary; some compounds metabolized via cytochrome P450 enzymes.</t>
        </is>
      </c>
      <c r="I39" s="134" t="inlineStr">
        <is>
          <t>low</t>
        </is>
      </c>
      <c r="J39" s="134" t="inlineStr">
        <is>
          <t>no well-documented interactions</t>
        </is>
      </c>
      <c r="K39" s="134" t="n"/>
      <c r="L39" s="134" t="inlineStr">
        <is>
          <t>compound_level</t>
        </is>
      </c>
      <c r="M39" s="134" t="inlineStr">
        <is>
          <t>https://plants.sc.egov.usda.gov/home/search?query=Annona%20muricata | https://pubchem.ncbi.nlm.nih.gov/#query=annonacin</t>
        </is>
      </c>
      <c r="N39" s="134" t="inlineStr">
        <is>
          <t>inferred_plus_trusted_gov</t>
        </is>
      </c>
      <c r="O39" s="134" t="inlineStr">
        <is>
          <t>scientific name; PubChem compound page (NIH); USDA Plants database</t>
        </is>
      </c>
      <c r="P39" s="134" t="n"/>
      <c r="Q39" s="134" t="inlineStr">
        <is>
          <t>annona-muricata</t>
        </is>
      </c>
      <c r="R39" s="134" t="n">
        <v>1</v>
      </c>
      <c r="S39" s="134" t="inlineStr">
        <is>
          <t>Yes</t>
        </is>
      </c>
      <c r="T39" s="134" t="inlineStr">
        <is>
          <t>Integrated from cleaned high-signal dataset</t>
        </is>
      </c>
    </row>
    <row r="40" ht="26" customHeight="1" s="76">
      <c r="A40" s="134" t="inlineStr">
        <is>
          <t>anonaine</t>
        </is>
      </c>
      <c r="B40" s="134" t="inlineStr">
        <is>
          <t>anonaine</t>
        </is>
      </c>
      <c r="C40" s="134" t="n"/>
      <c r="D40" s="134" t="inlineStr">
        <is>
          <t>other</t>
        </is>
      </c>
      <c r="E40" s="134" t="inlineStr">
        <is>
          <t>insufficient evidence</t>
        </is>
      </c>
      <c r="F40" s="134" t="inlineStr">
        <is>
          <t>multi-target signaling modulation</t>
        </is>
      </c>
      <c r="G40" s="134" t="inlineStr">
        <is>
          <t>general or unknown targets</t>
        </is>
      </c>
      <c r="H40" s="134" t="inlineStr">
        <is>
          <t>moderate absorption; hepatic metabolism</t>
        </is>
      </c>
      <c r="I40" s="134" t="inlineStr">
        <is>
          <t>low</t>
        </is>
      </c>
      <c r="J40" s="134" t="inlineStr">
        <is>
          <t>no well-documented interactions</t>
        </is>
      </c>
      <c r="K40" s="134" t="n"/>
      <c r="L40" s="134" t="inlineStr">
        <is>
          <t>compound_level</t>
        </is>
      </c>
      <c r="M40" s="134" t="inlineStr">
        <is>
          <t>https://plants.sc.egov.usda.gov/home/search?query=american%20yellow%20lotus | https://pubchem.ncbi.nlm.nih.gov/#query=anonaine</t>
        </is>
      </c>
      <c r="N40" s="134" t="inlineStr">
        <is>
          <t>trusted_gov_added</t>
        </is>
      </c>
      <c r="O40" s="134" t="inlineStr">
        <is>
          <t>PubChem compound page (NIH); USDA Plants database</t>
        </is>
      </c>
      <c r="P40" s="134" t="n"/>
      <c r="Q40" s="134" t="inlineStr">
        <is>
          <t>nelumbo-lutea</t>
        </is>
      </c>
      <c r="R40" s="134" t="n">
        <v>1</v>
      </c>
      <c r="S40" s="134" t="inlineStr">
        <is>
          <t>Yes</t>
        </is>
      </c>
      <c r="T40" s="134" t="inlineStr">
        <is>
          <t>Integrated from cleaned high-signal dataset</t>
        </is>
      </c>
    </row>
    <row r="41" ht="26" customHeight="1" s="76">
      <c r="A41" s="134" t="inlineStr">
        <is>
          <t>anthocyanins delphinidin</t>
        </is>
      </c>
      <c r="B41" s="134" t="inlineStr">
        <is>
          <t>anthocyanins (delphinidin</t>
        </is>
      </c>
      <c r="C41" s="134" t="n"/>
      <c r="D41" s="134" t="inlineStr">
        <is>
          <t>other</t>
        </is>
      </c>
      <c r="E41" s="134" t="inlineStr">
        <is>
          <t>Anthocyanins and organic acids contribute antioxidant and ACE-inhibitory activity.</t>
        </is>
      </c>
      <c r="F41" s="134" t="inlineStr">
        <is>
          <t>multi-target signaling modulation</t>
        </is>
      </c>
      <c r="G41" s="134" t="inlineStr">
        <is>
          <t>general or unknown targets</t>
        </is>
      </c>
      <c r="H41" s="134" t="inlineStr">
        <is>
          <t>moderate absorption; hepatic metabolism</t>
        </is>
      </c>
      <c r="I41" s="134" t="inlineStr">
        <is>
          <t>low</t>
        </is>
      </c>
      <c r="J41" s="134" t="inlineStr">
        <is>
          <t>no well-documented interactions</t>
        </is>
      </c>
      <c r="K41" s="134" t="n"/>
      <c r="L41" s="134" t="inlineStr">
        <is>
          <t>compound_level</t>
        </is>
      </c>
      <c r="M41" s="134" t="inlineStr">
        <is>
          <t>https://plants.sc.egov.usda.gov/home/search?query=hibiscus%20sabdariffa | https://pubchem.ncbi.nlm.nih.gov/#query=anthocyanins%20%28delphinidin</t>
        </is>
      </c>
      <c r="N41" s="134" t="inlineStr">
        <is>
          <t>trusted_gov_added</t>
        </is>
      </c>
      <c r="O41" s="134" t="inlineStr">
        <is>
          <t>PubChem compound page (NIH); USDA Plants database</t>
        </is>
      </c>
      <c r="P41" s="134" t="n"/>
      <c r="Q41" s="134" t="inlineStr">
        <is>
          <t>hibiscus-sabdariffa</t>
        </is>
      </c>
      <c r="R41" s="134" t="n">
        <v>1</v>
      </c>
      <c r="S41" s="134" t="inlineStr">
        <is>
          <t>Yes</t>
        </is>
      </c>
      <c r="T41" s="134" t="inlineStr">
        <is>
          <t>Integrated from cleaned high-signal dataset</t>
        </is>
      </c>
    </row>
    <row r="42" ht="26" customHeight="1" s="76">
      <c r="A42" s="134" t="inlineStr">
        <is>
          <t>apigenin</t>
        </is>
      </c>
      <c r="B42" s="134" t="inlineStr">
        <is>
          <t>apigenin</t>
        </is>
      </c>
      <c r="C42" s="134" t="n"/>
      <c r="D42" s="134" t="inlineStr">
        <is>
          <t>other</t>
        </is>
      </c>
      <c r="E42" s="134" t="inlineStr">
        <is>
          <t>Chamomile's CNS effects are partly attributed to apigenin, which binds at the central benzodiazepine site associated with GABA_A receptor signaling; other constituents contribute anti-inflammatory and spasmolytic activity.</t>
        </is>
      </c>
      <c r="F42" s="134" t="inlineStr">
        <is>
          <t>gaba_a_modulation; multi-target signaling modulation; muscarinic receptor interaction</t>
        </is>
      </c>
      <c r="G42" s="134" t="inlineStr">
        <is>
          <t>cholinergic_modulation; gabaergic_modulation; general or unknown targets; inflammatory_pathway_modulation</t>
        </is>
      </c>
      <c r="H42" s="134" t="inlineStr">
        <is>
          <t>rapid systemic absorption; crosses BBB; hepatic metabolism</t>
        </is>
      </c>
      <c r="I42" s="134" t="inlineStr">
        <is>
          <t>low</t>
        </is>
      </c>
      <c r="J42" s="134" t="inlineStr">
        <is>
          <t>no well-documented interactions</t>
        </is>
      </c>
      <c r="K42" s="134" t="n"/>
      <c r="L42" s="134" t="inlineStr">
        <is>
          <t>compound_level</t>
        </is>
      </c>
      <c r="M42" s="134" t="inlineStr">
        <is>
          <t>https://plants.sc.egov.usda.gov/home/search?query=Apium%20graveolens | https://plants.sc.egov.usda.gov/home/search?query=Matricaria%20chamomilla | https://plants.sc.egov.usda.gov/home/search?query=amorpha%20fruticosa | https://plants.sc.egov.usda.gov/home/search?query=chamomile | https://plants.sc.egov.usda.gov/home/search?query=turnera%20diffusa | https://pubchem.ncbi.nlm.nih.gov/#query=apigenin</t>
        </is>
      </c>
      <c r="N42" s="134" t="inlineStr">
        <is>
          <t>inferred_plus_trusted_gov; trusted_gov_added</t>
        </is>
      </c>
      <c r="O42" s="134" t="inlineStr">
        <is>
          <t>PubChem compound page (NIH); USDA Plants database; scientific name; PubChem compound page (NIH); USDA Plants database</t>
        </is>
      </c>
      <c r="P42" s="134" t="n"/>
      <c r="Q42" s="134" t="inlineStr">
        <is>
          <t>amorpha-fruticosa; apium-graveolens; matricaria-chamomilla; turnera-diffusa</t>
        </is>
      </c>
      <c r="R42" s="134" t="n">
        <v>4</v>
      </c>
      <c r="S42" s="134" t="inlineStr">
        <is>
          <t>Yes</t>
        </is>
      </c>
      <c r="T42" s="134" t="inlineStr">
        <is>
          <t>Integrated from cleaned high-signal dataset</t>
        </is>
      </c>
    </row>
    <row r="43" ht="26" customHeight="1" s="76">
      <c r="A43" s="134" t="inlineStr">
        <is>
          <t>apomorphine</t>
        </is>
      </c>
      <c r="B43" s="134" t="inlineStr">
        <is>
          <t>apomorphine</t>
        </is>
      </c>
      <c r="C43" s="134" t="n"/>
      <c r="D43" s="134" t="inlineStr">
        <is>
          <t>other</t>
        </is>
      </c>
      <c r="E43" s="134" t="inlineStr">
        <is>
          <t>Compounds show dopaminergic receptor interaction and mild sedative effects.</t>
        </is>
      </c>
      <c r="F43" s="134" t="inlineStr">
        <is>
          <t>multi-target signaling modulation</t>
        </is>
      </c>
      <c r="G43" s="134" t="inlineStr">
        <is>
          <t>dopaminergic_modulation</t>
        </is>
      </c>
      <c r="H43" s="134" t="inlineStr">
        <is>
          <t>moderate absorption; hepatic metabolism</t>
        </is>
      </c>
      <c r="I43" s="134" t="inlineStr">
        <is>
          <t>low</t>
        </is>
      </c>
      <c r="J43" s="134" t="inlineStr">
        <is>
          <t>no well-documented interactions</t>
        </is>
      </c>
      <c r="K43" s="134" t="n"/>
      <c r="L43" s="134" t="inlineStr">
        <is>
          <t>compound_level</t>
        </is>
      </c>
      <c r="M43" s="134" t="inlineStr">
        <is>
          <t>https://plants.sc.egov.usda.gov/home/search?query=Blue%20Lotus | https://pubchem.ncbi.nlm.nih.gov/#query=apomorphine</t>
        </is>
      </c>
      <c r="N43" s="134" t="inlineStr">
        <is>
          <t>trusted_gov_added</t>
        </is>
      </c>
      <c r="O43" s="134" t="inlineStr">
        <is>
          <t>PubChem compound page (NIH); USDA Plants database</t>
        </is>
      </c>
      <c r="P43" s="134" t="n"/>
      <c r="Q43" s="134" t="inlineStr">
        <is>
          <t>blue-lotus-nymphaea-caerulea</t>
        </is>
      </c>
      <c r="R43" s="134" t="n">
        <v>1</v>
      </c>
      <c r="S43" s="134" t="inlineStr">
        <is>
          <t>Yes</t>
        </is>
      </c>
      <c r="T43" s="134" t="inlineStr">
        <is>
          <t>Integrated from cleaned high-signal dataset</t>
        </is>
      </c>
    </row>
    <row r="44" ht="26" customHeight="1" s="76">
      <c r="A44" s="134" t="inlineStr">
        <is>
          <t>arbutin</t>
        </is>
      </c>
      <c r="B44" s="134" t="inlineStr">
        <is>
          <t>arbutin</t>
        </is>
      </c>
      <c r="C44" s="134" t="n"/>
      <c r="D44" s="134" t="inlineStr">
        <is>
          <t>Arbutin, tannins, methyl salicylate</t>
        </is>
      </c>
      <c r="E44" s="134" t="inlineStr">
        <is>
          <t>insufficient evidence</t>
        </is>
      </c>
      <c r="F44" s="134" t="inlineStr">
        <is>
          <t>gaba_a_modulation; multi-target signaling modulation</t>
        </is>
      </c>
      <c r="G44" s="134" t="inlineStr">
        <is>
          <t>gabaergic_modulation; general or unknown targets</t>
        </is>
      </c>
      <c r="H44" s="134" t="inlineStr">
        <is>
          <t>Oral; mild diuretic and anti-inflammatory</t>
        </is>
      </c>
      <c r="I44" s="134" t="inlineStr">
        <is>
          <t>low</t>
        </is>
      </c>
      <c r="J44" s="134" t="inlineStr">
        <is>
          <t>no well-documented interactions</t>
        </is>
      </c>
      <c r="K44" s="134" t="n"/>
      <c r="L44" s="134" t="inlineStr">
        <is>
          <t>compound_level</t>
        </is>
      </c>
      <c r="M44" s="134" t="inlineStr">
        <is>
          <t>https://plants.sc.egov.usda.gov/home/search?query=Chimaphila%20umbellata | https://plants.sc.egov.usda.gov/home/search?query=turnera%20diffusa | https://pubchem.ncbi.nlm.nih.gov/#query=arbutin</t>
        </is>
      </c>
      <c r="N44" s="134" t="inlineStr">
        <is>
          <t>inferred_plus_trusted_gov; trusted_gov_added</t>
        </is>
      </c>
      <c r="O44" s="134" t="inlineStr">
        <is>
          <t>PubChem compound page (NIH); USDA Plants database; scientific name; PubChem compound page (NIH); USDA Plants database</t>
        </is>
      </c>
      <c r="P44" s="134" t="n"/>
      <c r="Q44" s="134" t="inlineStr">
        <is>
          <t>chimaphila-umbellata; turnera-diffusa</t>
        </is>
      </c>
      <c r="R44" s="134" t="n">
        <v>2</v>
      </c>
      <c r="S44" s="134" t="inlineStr">
        <is>
          <t>Yes</t>
        </is>
      </c>
      <c r="T44" s="134" t="inlineStr">
        <is>
          <t>Integrated from cleaned high-signal dataset</t>
        </is>
      </c>
    </row>
    <row r="45" ht="26" customHeight="1" s="76">
      <c r="A45" s="134" t="inlineStr">
        <is>
          <t>arctiin</t>
        </is>
      </c>
      <c r="B45" s="134" t="inlineStr">
        <is>
          <t>arctiin</t>
        </is>
      </c>
      <c r="C45" s="134" t="n"/>
      <c r="D45" s="134" t="inlineStr">
        <is>
          <t>other</t>
        </is>
      </c>
      <c r="E45" s="134" t="inlineStr">
        <is>
          <t>insufficient evidence</t>
        </is>
      </c>
      <c r="F45" s="134" t="inlineStr">
        <is>
          <t>multi-target signaling modulation</t>
        </is>
      </c>
      <c r="G45" s="134" t="inlineStr">
        <is>
          <t>general or unknown targets</t>
        </is>
      </c>
      <c r="H45" s="134" t="inlineStr">
        <is>
          <t>Oral; blood purifier and diuretic</t>
        </is>
      </c>
      <c r="I45" s="134" t="inlineStr">
        <is>
          <t>low</t>
        </is>
      </c>
      <c r="J45" s="134" t="inlineStr">
        <is>
          <t>no well-documented interactions</t>
        </is>
      </c>
      <c r="K45" s="134" t="n"/>
      <c r="L45" s="134" t="inlineStr">
        <is>
          <t>compound_level</t>
        </is>
      </c>
      <c r="M45" s="134" t="inlineStr">
        <is>
          <t>https://plants.sc.egov.usda.gov/home/search?query=Arctium%20lappa | https://pubchem.ncbi.nlm.nih.gov/#query=arctiin</t>
        </is>
      </c>
      <c r="N45" s="134" t="inlineStr">
        <is>
          <t>inferred_plus_trusted_gov</t>
        </is>
      </c>
      <c r="O45" s="134" t="inlineStr">
        <is>
          <t>scientific name; PubChem compound page (NIH); USDA Plants database</t>
        </is>
      </c>
      <c r="P45" s="134" t="n"/>
      <c r="Q45" s="134" t="inlineStr">
        <is>
          <t>arctium-lappa</t>
        </is>
      </c>
      <c r="R45" s="134" t="n">
        <v>1</v>
      </c>
      <c r="S45" s="134" t="inlineStr">
        <is>
          <t>Yes</t>
        </is>
      </c>
      <c r="T45" s="134" t="inlineStr">
        <is>
          <t>Integrated from cleaned high-signal dataset</t>
        </is>
      </c>
    </row>
    <row r="46" ht="26" customHeight="1" s="76">
      <c r="A46" s="134" t="inlineStr">
        <is>
          <t>arecaidine</t>
        </is>
      </c>
      <c r="B46" s="134" t="inlineStr">
        <is>
          <t>arecaidine</t>
        </is>
      </c>
      <c r="C46" s="134" t="n"/>
      <c r="D46" s="134" t="inlineStr">
        <is>
          <t>other</t>
        </is>
      </c>
      <c r="E46" s="134" t="inlineStr">
        <is>
          <t>insufficient evidence</t>
        </is>
      </c>
      <c r="F46" s="134" t="inlineStr">
        <is>
          <t>multi-target signaling modulation</t>
        </is>
      </c>
      <c r="G46" s="134" t="inlineStr">
        <is>
          <t>general or unknown targets</t>
        </is>
      </c>
      <c r="H46" s="134" t="inlineStr">
        <is>
          <t>Absorption and bioavailability vary; some compounds metabolized via cytochrome P450 enzymes.</t>
        </is>
      </c>
      <c r="I46" s="134" t="inlineStr">
        <is>
          <t>low</t>
        </is>
      </c>
      <c r="J46" s="134" t="inlineStr">
        <is>
          <t>no well-documented interactions</t>
        </is>
      </c>
      <c r="K46" s="134" t="n"/>
      <c r="L46" s="134" t="inlineStr">
        <is>
          <t>compound_level</t>
        </is>
      </c>
      <c r="M46" s="134" t="inlineStr">
        <is>
          <t>https://plants.sc.egov.usda.gov/home/search?query=Areca%20catechu | https://pubchem.ncbi.nlm.nih.gov/#query=arecaidine</t>
        </is>
      </c>
      <c r="N46" s="134" t="inlineStr">
        <is>
          <t>inferred_plus_trusted_gov</t>
        </is>
      </c>
      <c r="O46" s="134" t="inlineStr">
        <is>
          <t>scientific name; PubChem compound page (NIH); USDA Plants database</t>
        </is>
      </c>
      <c r="P46" s="134" t="n"/>
      <c r="Q46" s="134" t="inlineStr">
        <is>
          <t>areca-catechu</t>
        </is>
      </c>
      <c r="R46" s="134" t="n">
        <v>1</v>
      </c>
      <c r="S46" s="134" t="inlineStr">
        <is>
          <t>Yes</t>
        </is>
      </c>
      <c r="T46" s="134" t="inlineStr">
        <is>
          <t>Integrated from cleaned high-signal dataset</t>
        </is>
      </c>
    </row>
    <row r="47" ht="26" customHeight="1" s="76">
      <c r="A47" s="134" t="inlineStr">
        <is>
          <t>arecoline</t>
        </is>
      </c>
      <c r="B47" s="134" t="inlineStr">
        <is>
          <t>arecoline</t>
        </is>
      </c>
      <c r="C47" s="134" t="n"/>
      <c r="D47" s="134" t="inlineStr">
        <is>
          <t>other</t>
        </is>
      </c>
      <c r="E47" s="134" t="inlineStr">
        <is>
          <t>insufficient evidence</t>
        </is>
      </c>
      <c r="F47" s="134" t="inlineStr">
        <is>
          <t>multi-target signaling modulation</t>
        </is>
      </c>
      <c r="G47" s="134" t="inlineStr">
        <is>
          <t>general or unknown targets</t>
        </is>
      </c>
      <c r="H47" s="134" t="inlineStr">
        <is>
          <t>Absorption and bioavailability vary; some compounds metabolized via cytochrome P450 enzymes.</t>
        </is>
      </c>
      <c r="I47" s="134" t="inlineStr">
        <is>
          <t>low</t>
        </is>
      </c>
      <c r="J47" s="134" t="inlineStr">
        <is>
          <t>no well-documented interactions</t>
        </is>
      </c>
      <c r="K47" s="134" t="n"/>
      <c r="L47" s="134" t="inlineStr">
        <is>
          <t>compound_level</t>
        </is>
      </c>
      <c r="M47" s="134" t="inlineStr">
        <is>
          <t>https://plants.sc.egov.usda.gov/home/search?query=Areca%20catechu | https://pubchem.ncbi.nlm.nih.gov/#query=arecoline</t>
        </is>
      </c>
      <c r="N47" s="134" t="inlineStr">
        <is>
          <t>inferred_plus_trusted_gov</t>
        </is>
      </c>
      <c r="O47" s="134" t="inlineStr">
        <is>
          <t>scientific name; PubChem compound page (NIH); USDA Plants database</t>
        </is>
      </c>
      <c r="P47" s="134" t="n"/>
      <c r="Q47" s="134" t="inlineStr">
        <is>
          <t>areca-catechu</t>
        </is>
      </c>
      <c r="R47" s="134" t="n">
        <v>1</v>
      </c>
      <c r="S47" s="134" t="inlineStr">
        <is>
          <t>Yes</t>
        </is>
      </c>
      <c r="T47" s="134" t="inlineStr">
        <is>
          <t>Integrated from cleaned high-signal dataset</t>
        </is>
      </c>
    </row>
    <row r="48" ht="26" customHeight="1" s="76">
      <c r="A48" s="134" t="inlineStr">
        <is>
          <t>armepavine</t>
        </is>
      </c>
      <c r="B48" s="134" t="inlineStr">
        <is>
          <t>armepavine</t>
        </is>
      </c>
      <c r="C48" s="134" t="n"/>
      <c r="D48" s="134" t="inlineStr">
        <is>
          <t>other</t>
        </is>
      </c>
      <c r="E48" s="134" t="inlineStr">
        <is>
          <t>insufficient evidence</t>
        </is>
      </c>
      <c r="F48" s="134" t="inlineStr">
        <is>
          <t>multi-target signaling modulation</t>
        </is>
      </c>
      <c r="G48" s="134" t="inlineStr">
        <is>
          <t>general or unknown targets</t>
        </is>
      </c>
      <c r="H48" s="134" t="inlineStr">
        <is>
          <t>moderate absorption; hepatic metabolism</t>
        </is>
      </c>
      <c r="I48" s="134" t="inlineStr">
        <is>
          <t>low</t>
        </is>
      </c>
      <c r="J48" s="134" t="inlineStr">
        <is>
          <t>no well-documented interactions</t>
        </is>
      </c>
      <c r="K48" s="134" t="n"/>
      <c r="L48" s="134" t="inlineStr">
        <is>
          <t>compound_level</t>
        </is>
      </c>
      <c r="M48" s="134" t="inlineStr">
        <is>
          <t>https://plants.sc.egov.usda.gov/home/search?query=american%20yellow%20lotus | https://pubchem.ncbi.nlm.nih.gov/#query=armepavine</t>
        </is>
      </c>
      <c r="N48" s="134" t="inlineStr">
        <is>
          <t>trusted_gov_added</t>
        </is>
      </c>
      <c r="O48" s="134" t="inlineStr">
        <is>
          <t>PubChem compound page (NIH); USDA Plants database</t>
        </is>
      </c>
      <c r="P48" s="134" t="n"/>
      <c r="Q48" s="134" t="inlineStr">
        <is>
          <t>nelumbo-lutea</t>
        </is>
      </c>
      <c r="R48" s="134" t="n">
        <v>1</v>
      </c>
      <c r="S48" s="134" t="inlineStr">
        <is>
          <t>Yes</t>
        </is>
      </c>
      <c r="T48" s="134" t="inlineStr">
        <is>
          <t>Integrated from cleaned high-signal dataset</t>
        </is>
      </c>
    </row>
    <row r="49" ht="26" customHeight="1" s="76">
      <c r="A49" s="134" t="inlineStr">
        <is>
          <t>artemisinin</t>
        </is>
      </c>
      <c r="B49" s="134" t="inlineStr">
        <is>
          <t>artemisinin</t>
        </is>
      </c>
      <c r="C49" s="134" t="n"/>
      <c r="D49" s="134" t="inlineStr">
        <is>
          <t>Artemisinin, flavonoids, coumarins</t>
        </is>
      </c>
      <c r="E49" s="134" t="inlineStr">
        <is>
          <t>insufficient evidence</t>
        </is>
      </c>
      <c r="F49" s="134" t="inlineStr">
        <is>
          <t>multi-target signaling modulation</t>
        </is>
      </c>
      <c r="G49" s="134" t="inlineStr">
        <is>
          <t>general or unknown targets</t>
        </is>
      </c>
      <c r="H49" s="134" t="inlineStr">
        <is>
          <t>Oral; reactive oxygen generation in parasites</t>
        </is>
      </c>
      <c r="I49" s="134" t="inlineStr">
        <is>
          <t>low</t>
        </is>
      </c>
      <c r="J49" s="134" t="inlineStr">
        <is>
          <t>no well-documented interactions</t>
        </is>
      </c>
      <c r="K49" s="134" t="n"/>
      <c r="L49" s="134" t="inlineStr">
        <is>
          <t>compound_level</t>
        </is>
      </c>
      <c r="M49" s="134" t="inlineStr">
        <is>
          <t>https://plants.sc.egov.usda.gov/home/search?query=Artemisia%20annua | https://pubchem.ncbi.nlm.nih.gov/#query=artemisinin</t>
        </is>
      </c>
      <c r="N49" s="134" t="inlineStr">
        <is>
          <t>inferred_plus_trusted_gov</t>
        </is>
      </c>
      <c r="O49" s="134" t="inlineStr">
        <is>
          <t>scientific name; PubChem compound page (NIH); USDA Plants database</t>
        </is>
      </c>
      <c r="P49" s="134" t="n"/>
      <c r="Q49" s="134" t="inlineStr">
        <is>
          <t>artemisia-annua</t>
        </is>
      </c>
      <c r="R49" s="134" t="n">
        <v>1</v>
      </c>
      <c r="S49" s="134" t="inlineStr">
        <is>
          <t>Yes</t>
        </is>
      </c>
      <c r="T49" s="134" t="inlineStr">
        <is>
          <t>Integrated from cleaned high-signal dataset</t>
        </is>
      </c>
    </row>
    <row r="50" ht="26" customHeight="1" s="76">
      <c r="A50" s="134" t="inlineStr">
        <is>
          <t>asclepiadin</t>
        </is>
      </c>
      <c r="B50" s="134" t="inlineStr">
        <is>
          <t>asclepiadin</t>
        </is>
      </c>
      <c r="C50" s="134" t="n"/>
      <c r="D50" s="134" t="inlineStr">
        <is>
          <t>Asclepiadin, cardiac glycosides, resins</t>
        </is>
      </c>
      <c r="E50" s="134" t="inlineStr">
        <is>
          <t>insufficient evidence</t>
        </is>
      </c>
      <c r="F50" s="134" t="inlineStr">
        <is>
          <t>multi-target signaling modulation</t>
        </is>
      </c>
      <c r="G50" s="134" t="inlineStr">
        <is>
          <t>general or unknown targets</t>
        </is>
      </c>
      <c r="H50" s="134" t="inlineStr">
        <is>
          <t>Oral; expectorant and bronchial tonic</t>
        </is>
      </c>
      <c r="I50" s="134" t="inlineStr">
        <is>
          <t>low</t>
        </is>
      </c>
      <c r="J50" s="134" t="inlineStr">
        <is>
          <t>no well-documented interactions</t>
        </is>
      </c>
      <c r="K50" s="134" t="n"/>
      <c r="L50" s="134" t="inlineStr">
        <is>
          <t>compound_level</t>
        </is>
      </c>
      <c r="M50" s="134" t="inlineStr">
        <is>
          <t>https://plants.sc.egov.usda.gov/home/search?query=Asclepias%20tuberosa | https://pubchem.ncbi.nlm.nih.gov/#query=asclepiadin</t>
        </is>
      </c>
      <c r="N50" s="134" t="inlineStr">
        <is>
          <t>inferred_plus_trusted_gov</t>
        </is>
      </c>
      <c r="O50" s="134" t="inlineStr">
        <is>
          <t>scientific name; PubChem compound page (NIH); USDA Plants database</t>
        </is>
      </c>
      <c r="P50" s="134" t="n"/>
      <c r="Q50" s="134" t="inlineStr">
        <is>
          <t>asclepias-tuberosa</t>
        </is>
      </c>
      <c r="R50" s="134" t="n">
        <v>1</v>
      </c>
      <c r="S50" s="134" t="inlineStr">
        <is>
          <t>Yes</t>
        </is>
      </c>
      <c r="T50" s="134" t="inlineStr">
        <is>
          <t>Integrated from cleaned high-signal dataset</t>
        </is>
      </c>
    </row>
    <row r="51" ht="26" customHeight="1" s="76">
      <c r="A51" s="134" t="inlineStr">
        <is>
          <t>ashwagandha withanolides</t>
        </is>
      </c>
      <c r="B51" s="134" t="inlineStr">
        <is>
          <t>ashwagandha (withanolides)</t>
        </is>
      </c>
      <c r="C51" s="134" t="n"/>
      <c r="D51" s="134" t="inlineStr">
        <is>
          <t>steroidal lactone</t>
        </is>
      </c>
      <c r="E51" s="134" t="inlineStr">
        <is>
          <t>Modulates GABAergic and HPA-axis signaling (stress response)</t>
        </is>
      </c>
      <c r="F51" s="134" t="n"/>
      <c r="G51" s="134" t="inlineStr">
        <is>
          <t>GABA_A modulation; cortisol regulation</t>
        </is>
      </c>
      <c r="H51" s="134" t="n"/>
      <c r="I51" s="134" t="n"/>
      <c r="J51" s="134" t="inlineStr">
        <is>
          <t>Sedatives (additive CNS depression)</t>
        </is>
      </c>
      <c r="K51" s="134" t="n"/>
      <c r="L51" s="134" t="inlineStr">
        <is>
          <t>Sprint6</t>
        </is>
      </c>
      <c r="M51" s="134" t="n"/>
      <c r="N51" s="134" t="n"/>
      <c r="O51" s="134" t="n"/>
      <c r="P51" s="134" t="inlineStr">
        <is>
          <t>precision_monographs_sprint6.xlsx</t>
        </is>
      </c>
      <c r="Q51" s="134" t="n"/>
      <c r="R51" s="134" t="n">
        <v>0</v>
      </c>
      <c r="S51" s="134" t="inlineStr">
        <is>
          <t>No</t>
        </is>
      </c>
      <c r="T51" s="134" t="inlineStr">
        <is>
          <t>Integrated from compound monograph workbook</t>
        </is>
      </c>
    </row>
    <row r="52" ht="26" customHeight="1" s="76">
      <c r="A52" s="134" t="inlineStr">
        <is>
          <t>asiatic acid</t>
        </is>
      </c>
      <c r="B52" s="134" t="inlineStr">
        <is>
          <t>asiatic acid</t>
        </is>
      </c>
      <c r="C52" s="134" t="n"/>
      <c r="D52" s="134" t="inlineStr">
        <is>
          <t>organic acid</t>
        </is>
      </c>
      <c r="E52" s="134" t="inlineStr">
        <is>
          <t>insufficient evidence</t>
        </is>
      </c>
      <c r="F52" s="134" t="inlineStr">
        <is>
          <t>cox/nf-kb inhibition; multi-target signaling modulation</t>
        </is>
      </c>
      <c r="G52" s="134" t="inlineStr">
        <is>
          <t>general or unknown targets; inflammatory_pathway_modulation</t>
        </is>
      </c>
      <c r="H52" s="134" t="inlineStr">
        <is>
          <t>moderate absorption; hepatic metabolism</t>
        </is>
      </c>
      <c r="I52" s="134" t="inlineStr">
        <is>
          <t>low</t>
        </is>
      </c>
      <c r="J52" s="134" t="inlineStr">
        <is>
          <t>no well-documented interactions</t>
        </is>
      </c>
      <c r="K52" s="134" t="n"/>
      <c r="L52" s="134" t="inlineStr">
        <is>
          <t>compound_level</t>
        </is>
      </c>
      <c r="M52" s="134" t="inlineStr">
        <is>
          <t>https://plants.sc.egov.usda.gov/home/search?query=Centella%20asiatica | https://plants.sc.egov.usda.gov/home/search?query=centella%20asiatica | https://pubchem.ncbi.nlm.nih.gov/#query=asiatic%20acid</t>
        </is>
      </c>
      <c r="N52" s="134" t="inlineStr">
        <is>
          <t>inferred_plus_trusted_gov; trusted_gov_added</t>
        </is>
      </c>
      <c r="O52" s="134" t="inlineStr">
        <is>
          <t>PubChem compound page (NIH); USDA Plants database; scientific name; PubChem compound page (NIH); USDA Plants database</t>
        </is>
      </c>
      <c r="P52" s="134" t="n"/>
      <c r="Q52" s="134" t="inlineStr">
        <is>
          <t>centella-asiatica; gotu-kola</t>
        </is>
      </c>
      <c r="R52" s="134" t="n">
        <v>2</v>
      </c>
      <c r="S52" s="134" t="inlineStr">
        <is>
          <t>Yes</t>
        </is>
      </c>
      <c r="T52" s="134" t="inlineStr">
        <is>
          <t>Integrated from cleaned high-signal dataset</t>
        </is>
      </c>
    </row>
    <row r="53" ht="26" customHeight="1" s="76">
      <c r="A53" s="134" t="inlineStr">
        <is>
          <t>asiaticoside</t>
        </is>
      </c>
      <c r="B53" s="134" t="inlineStr">
        <is>
          <t>asiaticoside</t>
        </is>
      </c>
      <c r="C53" s="134" t="n"/>
      <c r="D53" s="134" t="inlineStr">
        <is>
          <t>other</t>
        </is>
      </c>
      <c r="E53" s="134" t="inlineStr">
        <is>
          <t>insufficient evidence</t>
        </is>
      </c>
      <c r="F53" s="134" t="inlineStr">
        <is>
          <t>cox/nf-kb inhibition; multi-target signaling modulation</t>
        </is>
      </c>
      <c r="G53" s="134" t="inlineStr">
        <is>
          <t>general or unknown targets; inflammatory_pathway_modulation</t>
        </is>
      </c>
      <c r="H53" s="134" t="inlineStr">
        <is>
          <t>moderate absorption; hepatic metabolism</t>
        </is>
      </c>
      <c r="I53" s="134" t="inlineStr">
        <is>
          <t>low</t>
        </is>
      </c>
      <c r="J53" s="134" t="inlineStr">
        <is>
          <t>no well-documented interactions</t>
        </is>
      </c>
      <c r="K53" s="134" t="n"/>
      <c r="L53" s="134" t="inlineStr">
        <is>
          <t>compound_level</t>
        </is>
      </c>
      <c r="M53" s="134" t="inlineStr">
        <is>
          <t>https://plants.sc.egov.usda.gov/home/search?query=Centella%20asiatica | https://plants.sc.egov.usda.gov/home/search?query=centella%20asiatica | https://pubchem.ncbi.nlm.nih.gov/#query=asiaticoside</t>
        </is>
      </c>
      <c r="N53" s="134" t="inlineStr">
        <is>
          <t>inferred_plus_trusted_gov; trusted_gov_added</t>
        </is>
      </c>
      <c r="O53" s="134" t="inlineStr">
        <is>
          <t>PubChem compound page (NIH); USDA Plants database; scientific name; PubChem compound page (NIH); USDA Plants database</t>
        </is>
      </c>
      <c r="P53" s="134" t="n"/>
      <c r="Q53" s="134" t="inlineStr">
        <is>
          <t>centella-asiatica; gotu-kola</t>
        </is>
      </c>
      <c r="R53" s="134" t="n">
        <v>2</v>
      </c>
      <c r="S53" s="134" t="inlineStr">
        <is>
          <t>Yes</t>
        </is>
      </c>
      <c r="T53" s="134" t="inlineStr">
        <is>
          <t>Integrated from cleaned high-signal dataset</t>
        </is>
      </c>
    </row>
    <row r="54" ht="26" customHeight="1" s="76">
      <c r="A54" s="134" t="inlineStr">
        <is>
          <t>asperuloside</t>
        </is>
      </c>
      <c r="B54" s="134" t="inlineStr">
        <is>
          <t>asperuloside</t>
        </is>
      </c>
      <c r="C54" s="134" t="n"/>
      <c r="D54" s="134" t="inlineStr">
        <is>
          <t>Iridoids, tannins, asperuloside</t>
        </is>
      </c>
      <c r="E54" s="134" t="inlineStr">
        <is>
          <t>insufficient evidence</t>
        </is>
      </c>
      <c r="F54" s="134" t="inlineStr">
        <is>
          <t>multi-target signaling modulation</t>
        </is>
      </c>
      <c r="G54" s="134" t="inlineStr">
        <is>
          <t>general or unknown targets</t>
        </is>
      </c>
      <c r="H54" s="134" t="inlineStr">
        <is>
          <t>Oral; lymphatic and urinary tonic</t>
        </is>
      </c>
      <c r="I54" s="134" t="inlineStr">
        <is>
          <t>low</t>
        </is>
      </c>
      <c r="J54" s="134" t="inlineStr">
        <is>
          <t>no well-documented interactions</t>
        </is>
      </c>
      <c r="K54" s="134" t="n"/>
      <c r="L54" s="134" t="inlineStr">
        <is>
          <t>compound_level</t>
        </is>
      </c>
      <c r="M54" s="134" t="inlineStr">
        <is>
          <t>https://plants.sc.egov.usda.gov/home/search?query=Galium%20aparine | https://pubchem.ncbi.nlm.nih.gov/#query=asperuloside</t>
        </is>
      </c>
      <c r="N54" s="134" t="inlineStr">
        <is>
          <t>inferred_plus_trusted_gov</t>
        </is>
      </c>
      <c r="O54" s="134" t="inlineStr">
        <is>
          <t>scientific name; PubChem compound page (NIH); USDA Plants database</t>
        </is>
      </c>
      <c r="P54" s="134" t="n"/>
      <c r="Q54" s="134" t="inlineStr">
        <is>
          <t>galium-aparine</t>
        </is>
      </c>
      <c r="R54" s="134" t="n">
        <v>1</v>
      </c>
      <c r="S54" s="134" t="inlineStr">
        <is>
          <t>Yes</t>
        </is>
      </c>
      <c r="T54" s="134" t="inlineStr">
        <is>
          <t>Integrated from cleaned high-signal dataset</t>
        </is>
      </c>
    </row>
    <row r="55" ht="26" customHeight="1" s="76">
      <c r="A55" s="134" t="inlineStr">
        <is>
          <t>aspidospermine</t>
        </is>
      </c>
      <c r="B55" s="134" t="inlineStr">
        <is>
          <t>aspidospermine</t>
        </is>
      </c>
      <c r="C55" s="134" t="n"/>
      <c r="D55" s="134" t="inlineStr">
        <is>
          <t>yohimbine-type alkaloids</t>
        </is>
      </c>
      <c r="E55" s="134" t="inlineStr">
        <is>
          <t>insufficient evidence</t>
        </is>
      </c>
      <c r="F55" s="134" t="inlineStr">
        <is>
          <t>multi-target signaling modulation</t>
        </is>
      </c>
      <c r="G55" s="134" t="inlineStr">
        <is>
          <t>general or unknown targets</t>
        </is>
      </c>
      <c r="H55" s="134" t="inlineStr">
        <is>
          <t>Absorption and bioavailability vary; some compounds metabolized via cytochrome P450 enzymes.</t>
        </is>
      </c>
      <c r="I55" s="134" t="inlineStr">
        <is>
          <t>low</t>
        </is>
      </c>
      <c r="J55" s="134" t="inlineStr">
        <is>
          <t>no well-documented interactions</t>
        </is>
      </c>
      <c r="K55" s="134" t="n"/>
      <c r="L55" s="134" t="inlineStr">
        <is>
          <t>compound_level</t>
        </is>
      </c>
      <c r="M55" s="134" t="inlineStr">
        <is>
          <t>https://plants.sc.egov.usda.gov/home/search?query=Aspidosperma%20quebracho-blanco | https://pubchem.ncbi.nlm.nih.gov/#query=aspidospermine</t>
        </is>
      </c>
      <c r="N55" s="134" t="inlineStr">
        <is>
          <t>inferred_plus_trusted_gov</t>
        </is>
      </c>
      <c r="O55" s="134" t="inlineStr">
        <is>
          <t>scientific name; PubChem compound page (NIH); USDA Plants database</t>
        </is>
      </c>
      <c r="P55" s="134" t="n"/>
      <c r="Q55" s="134" t="inlineStr">
        <is>
          <t>aspidosperma-quebracho-blanco</t>
        </is>
      </c>
      <c r="R55" s="134" t="n">
        <v>1</v>
      </c>
      <c r="S55" s="134" t="inlineStr">
        <is>
          <t>Yes</t>
        </is>
      </c>
      <c r="T55" s="134" t="inlineStr">
        <is>
          <t>Integrated from cleaned high-signal dataset</t>
        </is>
      </c>
    </row>
    <row r="56" ht="26" customHeight="1" s="76">
      <c r="A56" s="134" t="inlineStr">
        <is>
          <t>astragaloside iv</t>
        </is>
      </c>
      <c r="B56" s="134" t="inlineStr">
        <is>
          <t>astragaloside iv</t>
        </is>
      </c>
      <c r="C56" s="134" t="n"/>
      <c r="D56" s="134" t="inlineStr">
        <is>
          <t>Astragaloside IV, polysaccharides, flavonoids</t>
        </is>
      </c>
      <c r="E56" s="134" t="inlineStr">
        <is>
          <t>insufficient evidence</t>
        </is>
      </c>
      <c r="F56" s="134" t="inlineStr">
        <is>
          <t>multi-target signaling modulation</t>
        </is>
      </c>
      <c r="G56" s="134" t="inlineStr">
        <is>
          <t>general or unknown targets</t>
        </is>
      </c>
      <c r="H56" s="134" t="inlineStr">
        <is>
          <t>Oral; macrophage and telomerase activation</t>
        </is>
      </c>
      <c r="I56" s="134" t="inlineStr">
        <is>
          <t>low</t>
        </is>
      </c>
      <c r="J56" s="134" t="inlineStr">
        <is>
          <t>no well-documented interactions</t>
        </is>
      </c>
      <c r="K56" s="134" t="n"/>
      <c r="L56" s="134" t="inlineStr">
        <is>
          <t>compound_level</t>
        </is>
      </c>
      <c r="M56" s="134" t="inlineStr">
        <is>
          <t>https://plants.sc.egov.usda.gov/home/search?query=Astragalus%20membranaceus | https://pubchem.ncbi.nlm.nih.gov/#query=astragaloside%20iv</t>
        </is>
      </c>
      <c r="N56" s="134" t="inlineStr">
        <is>
          <t>inferred_plus_trusted_gov</t>
        </is>
      </c>
      <c r="O56" s="134" t="inlineStr">
        <is>
          <t>scientific name; PubChem compound page (NIH); USDA Plants database</t>
        </is>
      </c>
      <c r="P56" s="134" t="n"/>
      <c r="Q56" s="134" t="inlineStr">
        <is>
          <t>astragalus-membranaceus</t>
        </is>
      </c>
      <c r="R56" s="134" t="n">
        <v>1</v>
      </c>
      <c r="S56" s="134" t="inlineStr">
        <is>
          <t>Yes</t>
        </is>
      </c>
      <c r="T56" s="134" t="inlineStr">
        <is>
          <t>Integrated from cleaned high-signal dataset</t>
        </is>
      </c>
    </row>
    <row r="57" ht="26" customHeight="1" s="76">
      <c r="A57" s="134" t="inlineStr">
        <is>
          <t>atractylenolide i</t>
        </is>
      </c>
      <c r="B57" s="134" t="inlineStr">
        <is>
          <t>atractylenolide i</t>
        </is>
      </c>
      <c r="C57" s="134" t="n"/>
      <c r="D57" s="134" t="inlineStr">
        <is>
          <t>other</t>
        </is>
      </c>
      <c r="E57" s="134" t="inlineStr">
        <is>
          <t>insufficient evidence</t>
        </is>
      </c>
      <c r="F57" s="134" t="inlineStr">
        <is>
          <t>multi-target signaling modulation</t>
        </is>
      </c>
      <c r="G57" s="134" t="inlineStr">
        <is>
          <t>general or unknown targets</t>
        </is>
      </c>
      <c r="H57" s="134" t="inlineStr">
        <is>
          <t>Absorption and bioavailability vary; some compounds metabolized via cytochrome P450 enzymes.</t>
        </is>
      </c>
      <c r="I57" s="134" t="inlineStr">
        <is>
          <t>low</t>
        </is>
      </c>
      <c r="J57" s="134" t="inlineStr">
        <is>
          <t>no well-documented interactions</t>
        </is>
      </c>
      <c r="K57" s="134" t="n"/>
      <c r="L57" s="134" t="inlineStr">
        <is>
          <t>compound_level</t>
        </is>
      </c>
      <c r="M57" s="134" t="inlineStr">
        <is>
          <t>https://plants.sc.egov.usda.gov/home/search?query=Atractylodes%20macrocephala | https://pubchem.ncbi.nlm.nih.gov/#query=atractylenolide%20i</t>
        </is>
      </c>
      <c r="N57" s="134" t="inlineStr">
        <is>
          <t>inferred_plus_trusted_gov</t>
        </is>
      </c>
      <c r="O57" s="134" t="inlineStr">
        <is>
          <t>scientific name; PubChem compound page (NIH); USDA Plants database</t>
        </is>
      </c>
      <c r="P57" s="134" t="n"/>
      <c r="Q57" s="134" t="inlineStr">
        <is>
          <t>atractylodes-macrocephala</t>
        </is>
      </c>
      <c r="R57" s="134" t="n">
        <v>1</v>
      </c>
      <c r="S57" s="134" t="inlineStr">
        <is>
          <t>Yes</t>
        </is>
      </c>
      <c r="T57" s="134" t="inlineStr">
        <is>
          <t>Integrated from cleaned high-signal dataset</t>
        </is>
      </c>
    </row>
    <row r="58" ht="26" customHeight="1" s="76">
      <c r="A58" s="134" t="inlineStr">
        <is>
          <t>atractylenolide ii</t>
        </is>
      </c>
      <c r="B58" s="134" t="inlineStr">
        <is>
          <t>atractylenolide ii</t>
        </is>
      </c>
      <c r="C58" s="134" t="n"/>
      <c r="D58" s="134" t="inlineStr">
        <is>
          <t>other</t>
        </is>
      </c>
      <c r="E58" s="134" t="inlineStr">
        <is>
          <t>insufficient evidence</t>
        </is>
      </c>
      <c r="F58" s="134" t="inlineStr">
        <is>
          <t>multi-target signaling modulation</t>
        </is>
      </c>
      <c r="G58" s="134" t="inlineStr">
        <is>
          <t>general or unknown targets</t>
        </is>
      </c>
      <c r="H58" s="134" t="inlineStr">
        <is>
          <t>Absorption and bioavailability vary; some compounds metabolized via cytochrome P450 enzymes.</t>
        </is>
      </c>
      <c r="I58" s="134" t="inlineStr">
        <is>
          <t>low</t>
        </is>
      </c>
      <c r="J58" s="134" t="inlineStr">
        <is>
          <t>no well-documented interactions</t>
        </is>
      </c>
      <c r="K58" s="134" t="n"/>
      <c r="L58" s="134" t="inlineStr">
        <is>
          <t>compound_level</t>
        </is>
      </c>
      <c r="M58" s="134" t="inlineStr">
        <is>
          <t>https://plants.sc.egov.usda.gov/home/search?query=Atractylodes%20macrocephala | https://pubchem.ncbi.nlm.nih.gov/#query=atractylenolide%20ii</t>
        </is>
      </c>
      <c r="N58" s="134" t="inlineStr">
        <is>
          <t>inferred_plus_trusted_gov</t>
        </is>
      </c>
      <c r="O58" s="134" t="inlineStr">
        <is>
          <t>scientific name; PubChem compound page (NIH); USDA Plants database</t>
        </is>
      </c>
      <c r="P58" s="134" t="n"/>
      <c r="Q58" s="134" t="inlineStr">
        <is>
          <t>atractylodes-macrocephala</t>
        </is>
      </c>
      <c r="R58" s="134" t="n">
        <v>1</v>
      </c>
      <c r="S58" s="134" t="inlineStr">
        <is>
          <t>Yes</t>
        </is>
      </c>
      <c r="T58" s="134" t="inlineStr">
        <is>
          <t>Integrated from cleaned high-signal dataset</t>
        </is>
      </c>
    </row>
    <row r="59" ht="26" customHeight="1" s="76">
      <c r="A59" s="134" t="inlineStr">
        <is>
          <t>atractylenolide iii</t>
        </is>
      </c>
      <c r="B59" s="134" t="inlineStr">
        <is>
          <t>atractylenolide iii</t>
        </is>
      </c>
      <c r="C59" s="134" t="n"/>
      <c r="D59" s="134" t="inlineStr">
        <is>
          <t>other</t>
        </is>
      </c>
      <c r="E59" s="134" t="inlineStr">
        <is>
          <t>insufficient evidence</t>
        </is>
      </c>
      <c r="F59" s="134" t="inlineStr">
        <is>
          <t>multi-target signaling modulation</t>
        </is>
      </c>
      <c r="G59" s="134" t="inlineStr">
        <is>
          <t>general or unknown targets</t>
        </is>
      </c>
      <c r="H59" s="134" t="inlineStr">
        <is>
          <t>Absorption and bioavailability vary; some compounds metabolized via cytochrome P450 enzymes.</t>
        </is>
      </c>
      <c r="I59" s="134" t="inlineStr">
        <is>
          <t>low</t>
        </is>
      </c>
      <c r="J59" s="134" t="inlineStr">
        <is>
          <t>no well-documented interactions</t>
        </is>
      </c>
      <c r="K59" s="134" t="n"/>
      <c r="L59" s="134" t="inlineStr">
        <is>
          <t>compound_level</t>
        </is>
      </c>
      <c r="M59" s="134" t="inlineStr">
        <is>
          <t>https://plants.sc.egov.usda.gov/home/search?query=Atractylodes%20macrocephala | https://pubchem.ncbi.nlm.nih.gov/#query=atractylenolide%20iii</t>
        </is>
      </c>
      <c r="N59" s="134" t="inlineStr">
        <is>
          <t>inferred_plus_trusted_gov</t>
        </is>
      </c>
      <c r="O59" s="134" t="inlineStr">
        <is>
          <t>scientific name; PubChem compound page (NIH); USDA Plants database</t>
        </is>
      </c>
      <c r="P59" s="134" t="n"/>
      <c r="Q59" s="134" t="inlineStr">
        <is>
          <t>atractylodes-macrocephala</t>
        </is>
      </c>
      <c r="R59" s="134" t="n">
        <v>1</v>
      </c>
      <c r="S59" s="134" t="inlineStr">
        <is>
          <t>Yes</t>
        </is>
      </c>
      <c r="T59" s="134" t="inlineStr">
        <is>
          <t>Integrated from cleaned high-signal dataset</t>
        </is>
      </c>
    </row>
    <row r="60" ht="26" customHeight="1" s="76">
      <c r="A60" s="134" t="inlineStr">
        <is>
          <t>atractylon</t>
        </is>
      </c>
      <c r="B60" s="134" t="inlineStr">
        <is>
          <t>atractylon</t>
        </is>
      </c>
      <c r="C60" s="134" t="n"/>
      <c r="D60" s="134" t="inlineStr">
        <is>
          <t>other</t>
        </is>
      </c>
      <c r="E60" s="134" t="inlineStr">
        <is>
          <t>insufficient evidence</t>
        </is>
      </c>
      <c r="F60" s="134" t="inlineStr">
        <is>
          <t>multi-target signaling modulation</t>
        </is>
      </c>
      <c r="G60" s="134" t="inlineStr">
        <is>
          <t>general or unknown targets</t>
        </is>
      </c>
      <c r="H60" s="134" t="inlineStr">
        <is>
          <t>Absorption and bioavailability vary; some compounds metabolized via cytochrome P450 enzymes.</t>
        </is>
      </c>
      <c r="I60" s="134" t="inlineStr">
        <is>
          <t>low</t>
        </is>
      </c>
      <c r="J60" s="134" t="inlineStr">
        <is>
          <t>no well-documented interactions</t>
        </is>
      </c>
      <c r="K60" s="134" t="n"/>
      <c r="L60" s="134" t="inlineStr">
        <is>
          <t>compound_level</t>
        </is>
      </c>
      <c r="M60" s="134" t="inlineStr">
        <is>
          <t>https://plants.sc.egov.usda.gov/home/search?query=Atractylodes%20macrocephala | https://pubchem.ncbi.nlm.nih.gov/#query=atractylon</t>
        </is>
      </c>
      <c r="N60" s="134" t="inlineStr">
        <is>
          <t>inferred_plus_trusted_gov</t>
        </is>
      </c>
      <c r="O60" s="134" t="inlineStr">
        <is>
          <t>scientific name; PubChem compound page (NIH); USDA Plants database</t>
        </is>
      </c>
      <c r="P60" s="134" t="n"/>
      <c r="Q60" s="134" t="inlineStr">
        <is>
          <t>atractylodes-macrocephala</t>
        </is>
      </c>
      <c r="R60" s="134" t="n">
        <v>1</v>
      </c>
      <c r="S60" s="134" t="inlineStr">
        <is>
          <t>Yes</t>
        </is>
      </c>
      <c r="T60" s="134" t="inlineStr">
        <is>
          <t>Integrated from cleaned high-signal dataset</t>
        </is>
      </c>
    </row>
    <row r="61" ht="26" customHeight="1" s="76">
      <c r="A61" s="134" t="inlineStr">
        <is>
          <t>atropine</t>
        </is>
      </c>
      <c r="B61" s="134" t="inlineStr">
        <is>
          <t>atropine</t>
        </is>
      </c>
      <c r="C61" s="134" t="n"/>
      <c r="D61" s="134" t="inlineStr">
        <is>
          <t>alkaloid</t>
        </is>
      </c>
      <c r="E61" s="134" t="inlineStr">
        <is>
          <t>Tropane alkaloids block muscarinic acetylcholine receptors causing central and peripheral anticholinergic effects.</t>
        </is>
      </c>
      <c r="F61" s="134" t="inlineStr">
        <is>
          <t>muscarinic receptor interaction</t>
        </is>
      </c>
      <c r="G61" s="134" t="inlineStr">
        <is>
          <t>CHRM1, CHRM2 (muscarinic receptors); cholinergic_modulation</t>
        </is>
      </c>
      <c r="H61" s="134" t="inlineStr">
        <is>
          <t>Absorption and bioavailability vary; some compounds metabolized via cytochrome P450 enzymes.</t>
        </is>
      </c>
      <c r="I61" s="134" t="inlineStr">
        <is>
          <t>high</t>
        </is>
      </c>
      <c r="J61" s="134" t="inlineStr">
        <is>
          <t>avoid with other anticholinergics; additive toxicity</t>
        </is>
      </c>
      <c r="K61" s="134" t="n"/>
      <c r="L61" s="134" t="inlineStr">
        <is>
          <t>compound_level</t>
        </is>
      </c>
      <c r="M61" s="134" t="inlineStr">
        <is>
          <t>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https://plants.sc.egov.usda.gov/home/search?query=Mandragora%20officinarum | https://plants.sc.egov.usda.gov/home/search?query=Solandra%20maxima | https://plants.sc.egov.usda.gov/home/search?query=brugmansia | https://plants.sc.egov.usda.gov/home/search?query=brugmansia%20suaveolens | https://plants.sc.egov.usda.gov/home/search?query=mandrake | https://pubchem.ncbi.nlm.nih.gov/#query=atropine</t>
        </is>
      </c>
      <c r="N61" s="134" t="inlineStr">
        <is>
          <t>inferred_plus_trusted_gov; trusted_gov_added</t>
        </is>
      </c>
      <c r="O61" s="134" t="inlineStr">
        <is>
          <t>PubChem compound page (NIH); USDA Plants database; scientific name; PubChem compound page (NIH); USDA Plants database</t>
        </is>
      </c>
      <c r="P61" s="134" t="n"/>
      <c r="Q61" s="134" t="inlineStr">
        <is>
          <t>atropa-belladonna; brugmansia; brugmansia-sanguinea; brugmansia-suaveolens; datura-ferox; datura-stramonium; datura-wrightii; mandragora-officinarum; solandra-maxima</t>
        </is>
      </c>
      <c r="R61" s="134" t="n">
        <v>9</v>
      </c>
      <c r="S61" s="134" t="inlineStr">
        <is>
          <t>Yes</t>
        </is>
      </c>
      <c r="T61" s="134" t="inlineStr">
        <is>
          <t>Integrated from cleaned high-signal dataset</t>
        </is>
      </c>
    </row>
    <row r="62" ht="26" customHeight="1" s="76">
      <c r="A62" s="134" t="inlineStr">
        <is>
          <t>aucubin</t>
        </is>
      </c>
      <c r="B62" s="134" t="inlineStr">
        <is>
          <t>aucubin</t>
        </is>
      </c>
      <c r="C62" s="134" t="n"/>
      <c r="D62" s="134" t="inlineStr">
        <is>
          <t>other</t>
        </is>
      </c>
      <c r="E62" s="134" t="inlineStr">
        <is>
          <t>insufficient evidence</t>
        </is>
      </c>
      <c r="F62" s="134" t="inlineStr">
        <is>
          <t>multi-target signaling modulation</t>
        </is>
      </c>
      <c r="G62" s="134" t="inlineStr">
        <is>
          <t>general or unknown targets</t>
        </is>
      </c>
      <c r="H62" s="134" t="inlineStr">
        <is>
          <t>Oral/topical; mucosal and epithelial support</t>
        </is>
      </c>
      <c r="I62" s="134" t="inlineStr">
        <is>
          <t>low</t>
        </is>
      </c>
      <c r="J62" s="134" t="inlineStr">
        <is>
          <t>no well-documented interactions</t>
        </is>
      </c>
      <c r="K62" s="134" t="n"/>
      <c r="L62" s="134" t="inlineStr">
        <is>
          <t>compound_level</t>
        </is>
      </c>
      <c r="M62" s="134" t="inlineStr">
        <is>
          <t>https://plants.sc.egov.usda.gov/home/search?query=Plantago%20major | https://pubchem.ncbi.nlm.nih.gov/#query=aucubin</t>
        </is>
      </c>
      <c r="N62" s="134" t="inlineStr">
        <is>
          <t>inferred_plus_trusted_gov</t>
        </is>
      </c>
      <c r="O62" s="134" t="inlineStr">
        <is>
          <t>scientific name; PubChem compound page (NIH); USDA Plants database</t>
        </is>
      </c>
      <c r="P62" s="134" t="n"/>
      <c r="Q62" s="134" t="inlineStr">
        <is>
          <t>plantago-major</t>
        </is>
      </c>
      <c r="R62" s="134" t="n">
        <v>1</v>
      </c>
      <c r="S62" s="134" t="inlineStr">
        <is>
          <t>Yes</t>
        </is>
      </c>
      <c r="T62" s="134" t="inlineStr">
        <is>
          <t>Integrated from cleaned high-signal dataset</t>
        </is>
      </c>
    </row>
    <row r="63" ht="26" customHeight="1" s="76">
      <c r="A63" s="134" t="inlineStr">
        <is>
          <t>azadirachtin</t>
        </is>
      </c>
      <c r="B63" s="134" t="inlineStr">
        <is>
          <t>azadirachtin</t>
        </is>
      </c>
      <c r="C63" s="134" t="n"/>
      <c r="D63" s="134" t="inlineStr">
        <is>
          <t>other</t>
        </is>
      </c>
      <c r="E63" s="134" t="inlineStr">
        <is>
          <t>insufficient evidence</t>
        </is>
      </c>
      <c r="F63" s="134" t="inlineStr">
        <is>
          <t>multi-target signaling modulation</t>
        </is>
      </c>
      <c r="G63" s="134" t="inlineStr">
        <is>
          <t>general or unknown targets</t>
        </is>
      </c>
      <c r="H63" s="134" t="inlineStr">
        <is>
          <t>Oral/topical; antimicrobial and immune tonic</t>
        </is>
      </c>
      <c r="I63" s="134" t="inlineStr">
        <is>
          <t>low</t>
        </is>
      </c>
      <c r="J63" s="134" t="inlineStr">
        <is>
          <t>no well-documented interactions</t>
        </is>
      </c>
      <c r="K63" s="134" t="n"/>
      <c r="L63" s="134" t="inlineStr">
        <is>
          <t>compound_level</t>
        </is>
      </c>
      <c r="M63" s="134" t="inlineStr">
        <is>
          <t>https://plants.sc.egov.usda.gov/home/search?query=Azadirachta%20indica | https://pubchem.ncbi.nlm.nih.gov/#query=azadirachtin</t>
        </is>
      </c>
      <c r="N63" s="134" t="inlineStr">
        <is>
          <t>inferred_plus_trusted_gov</t>
        </is>
      </c>
      <c r="O63" s="134" t="inlineStr">
        <is>
          <t>scientific name; PubChem compound page (NIH); USDA Plants database</t>
        </is>
      </c>
      <c r="P63" s="134" t="n"/>
      <c r="Q63" s="134" t="inlineStr">
        <is>
          <t>azadirachta-indica</t>
        </is>
      </c>
      <c r="R63" s="134" t="n">
        <v>1</v>
      </c>
      <c r="S63" s="134" t="inlineStr">
        <is>
          <t>Yes</t>
        </is>
      </c>
      <c r="T63" s="134" t="inlineStr">
        <is>
          <t>Integrated from cleaned high-signal dataset</t>
        </is>
      </c>
    </row>
    <row r="64" ht="26" customHeight="1" s="76">
      <c r="A64" s="134" t="inlineStr">
        <is>
          <t>baicalein</t>
        </is>
      </c>
      <c r="B64" s="134" t="inlineStr">
        <is>
          <t>baicalein</t>
        </is>
      </c>
      <c r="C64" s="134" t="n"/>
      <c r="D64" s="134" t="inlineStr">
        <is>
          <t>flavonoid</t>
        </is>
      </c>
      <c r="E64" s="134" t="inlineStr">
        <is>
          <t>American skullcap flavonoids are associated with anticonvulsant and anxiolytic activity; GABAergic signaling and broader neuroinhibitory effects have been proposed in preclinical work.</t>
        </is>
      </c>
      <c r="F64" s="134" t="inlineStr">
        <is>
          <t>gaba_a_modulation; multi-target signaling modulation</t>
        </is>
      </c>
      <c r="G64" s="134" t="inlineStr">
        <is>
          <t>LOX inhibition; NF-kB inhibition; gabaergic_modulation; general or unknown targets</t>
        </is>
      </c>
      <c r="H64" s="134" t="inlineStr">
        <is>
          <t>Oral; liver and immune support</t>
        </is>
      </c>
      <c r="I64" s="134" t="inlineStr">
        <is>
          <t>low</t>
        </is>
      </c>
      <c r="J64" s="134" t="inlineStr">
        <is>
          <t>Anticoagulants (↑ bleeding risk)</t>
        </is>
      </c>
      <c r="K64" s="134" t="n"/>
      <c r="L64" s="134" t="inlineStr">
        <is>
          <t>Batch8</t>
        </is>
      </c>
      <c r="M64" s="134" t="inlineStr">
        <is>
          <t>https://plants.sc.egov.usda.gov/home/search?query=Scutellaria%20baicalensis | https://plants.sc.egov.usda.gov/home/search?query=scutellaria%20lateriflora | https://pubchem.ncbi.nlm.nih.gov/#query=baicalein</t>
        </is>
      </c>
      <c r="N64" s="134" t="inlineStr">
        <is>
          <t>inferred_plus_trusted_gov; trusted_gov_added</t>
        </is>
      </c>
      <c r="O64" s="134" t="inlineStr">
        <is>
          <t>PubChem compound page (NIH); USDA Plants database; scientific name; PubChem compound page (NIH); USDA Plants database</t>
        </is>
      </c>
      <c r="P64" s="134" t="inlineStr">
        <is>
          <t>precision_monographs_batch8.xlsx</t>
        </is>
      </c>
      <c r="Q64" s="134" t="inlineStr">
        <is>
          <t>scutellaria-baicalensis; scutellaria-lateriflora</t>
        </is>
      </c>
      <c r="R64" s="134" t="n">
        <v>2</v>
      </c>
      <c r="S64" s="134" t="inlineStr">
        <is>
          <t>Yes</t>
        </is>
      </c>
      <c r="T64" s="134" t="inlineStr">
        <is>
          <t>Integrated from cleaned high-signal dataset; Integrated from compound monograph workbook</t>
        </is>
      </c>
    </row>
    <row r="65" ht="26" customHeight="1" s="76">
      <c r="A65" s="134" t="inlineStr">
        <is>
          <t>baicalin</t>
        </is>
      </c>
      <c r="B65" s="134" t="inlineStr">
        <is>
          <t>baicalin</t>
        </is>
      </c>
      <c r="C65" s="134" t="n"/>
      <c r="D65" s="134" t="inlineStr">
        <is>
          <t>other</t>
        </is>
      </c>
      <c r="E65" s="134" t="inlineStr">
        <is>
          <t>American skullcap flavonoids are associated with anticonvulsant and anxiolytic activity; GABAergic signaling and broader neuroinhibitory effects have been proposed in preclinical work.</t>
        </is>
      </c>
      <c r="F65" s="134" t="inlineStr">
        <is>
          <t>gaba_a_modulation; multi-target signaling modulation</t>
        </is>
      </c>
      <c r="G65" s="134" t="inlineStr">
        <is>
          <t>gabaergic_modulation; general or unknown targets</t>
        </is>
      </c>
      <c r="H65" s="134" t="inlineStr">
        <is>
          <t>Oral; liver and immune support</t>
        </is>
      </c>
      <c r="I65" s="134" t="inlineStr">
        <is>
          <t>low</t>
        </is>
      </c>
      <c r="J65" s="134" t="inlineStr">
        <is>
          <t>no well-documented interactions</t>
        </is>
      </c>
      <c r="K65" s="134" t="n"/>
      <c r="L65" s="134" t="inlineStr">
        <is>
          <t>compound_level</t>
        </is>
      </c>
      <c r="M65" s="134" t="inlineStr">
        <is>
          <t>https://plants.sc.egov.usda.gov/home/search?query=Scutellaria%20baicalensis | https://plants.sc.egov.usda.gov/home/search?query=scutellaria%20lateriflora | https://pubchem.ncbi.nlm.nih.gov/#query=baicalin</t>
        </is>
      </c>
      <c r="N65" s="134" t="inlineStr">
        <is>
          <t>inferred_plus_trusted_gov; trusted_gov_added</t>
        </is>
      </c>
      <c r="O65" s="134" t="inlineStr">
        <is>
          <t>PubChem compound page (NIH); USDA Plants database; scientific name; PubChem compound page (NIH); USDA Plants database</t>
        </is>
      </c>
      <c r="P65" s="134" t="n"/>
      <c r="Q65" s="134" t="inlineStr">
        <is>
          <t>scutellaria-baicalensis; scutellaria-lateriflora</t>
        </is>
      </c>
      <c r="R65" s="134" t="n">
        <v>2</v>
      </c>
      <c r="S65" s="134" t="inlineStr">
        <is>
          <t>Yes</t>
        </is>
      </c>
      <c r="T65" s="134" t="inlineStr">
        <is>
          <t>Integrated from cleaned high-signal dataset</t>
        </is>
      </c>
    </row>
    <row r="66" ht="26" customHeight="1" s="76">
      <c r="A66" s="134" t="inlineStr">
        <is>
          <t>benzyl benzoate</t>
        </is>
      </c>
      <c r="B66" s="134" t="inlineStr">
        <is>
          <t>benzyl benzoate</t>
        </is>
      </c>
      <c r="C66" s="134" t="n"/>
      <c r="D66" s="134" t="inlineStr">
        <is>
          <t>other</t>
        </is>
      </c>
      <c r="E66" s="134" t="inlineStr">
        <is>
          <t>insufficient evidence</t>
        </is>
      </c>
      <c r="F66" s="134" t="inlineStr">
        <is>
          <t>multi-target signaling modulation</t>
        </is>
      </c>
      <c r="G66" s="134" t="inlineStr">
        <is>
          <t>general or unknown targets</t>
        </is>
      </c>
      <c r="H66" s="134" t="inlineStr">
        <is>
          <t>Absorption and bioavailability vary; some compounds metabolized via cytochrome P450 enzymes.</t>
        </is>
      </c>
      <c r="I66" s="134" t="inlineStr">
        <is>
          <t>low</t>
        </is>
      </c>
      <c r="J66" s="134" t="inlineStr">
        <is>
          <t>no well-documented interactions</t>
        </is>
      </c>
      <c r="K66" s="134" t="n"/>
      <c r="L66" s="134" t="inlineStr">
        <is>
          <t>compound_level</t>
        </is>
      </c>
      <c r="M66" s="134" t="inlineStr">
        <is>
          <t>https://plants.sc.egov.usda.gov/home/search?query=Myroxylon%20balsamum | https://pubchem.ncbi.nlm.nih.gov/#query=benzyl%20benzoate</t>
        </is>
      </c>
      <c r="N66" s="134" t="inlineStr">
        <is>
          <t>inferred_plus_trusted_gov</t>
        </is>
      </c>
      <c r="O66" s="134" t="inlineStr">
        <is>
          <t>scientific name; PubChem compound page (NIH); USDA Plants database</t>
        </is>
      </c>
      <c r="P66" s="134" t="n"/>
      <c r="Q66" s="134" t="inlineStr">
        <is>
          <t>myroxylon-balsamum</t>
        </is>
      </c>
      <c r="R66" s="134" t="n">
        <v>1</v>
      </c>
      <c r="S66" s="134" t="inlineStr">
        <is>
          <t>Yes</t>
        </is>
      </c>
      <c r="T66" s="134" t="inlineStr">
        <is>
          <t>Integrated from cleaned high-signal dataset</t>
        </is>
      </c>
    </row>
    <row r="67" ht="26" customHeight="1" s="76">
      <c r="A67" s="134" t="inlineStr">
        <is>
          <t>benzyl isothiocyanate</t>
        </is>
      </c>
      <c r="B67" s="134" t="inlineStr">
        <is>
          <t>benzyl isothiocyanate</t>
        </is>
      </c>
      <c r="C67" s="134" t="n"/>
      <c r="D67" s="134" t="inlineStr">
        <is>
          <t>other</t>
        </is>
      </c>
      <c r="E67" s="134" t="inlineStr">
        <is>
          <t>insufficient evidence</t>
        </is>
      </c>
      <c r="F67" s="134" t="inlineStr">
        <is>
          <t>multi-target signaling modulation</t>
        </is>
      </c>
      <c r="G67" s="134" t="inlineStr">
        <is>
          <t>general or unknown targets</t>
        </is>
      </c>
      <c r="H67" s="134" t="inlineStr">
        <is>
          <t>moderate absorption; hepatic metabolism</t>
        </is>
      </c>
      <c r="I67" s="134" t="inlineStr">
        <is>
          <t>low</t>
        </is>
      </c>
      <c r="J67" s="134" t="inlineStr">
        <is>
          <t>no well-documented interactions</t>
        </is>
      </c>
      <c r="K67" s="134" t="n"/>
      <c r="L67" s="134" t="inlineStr">
        <is>
          <t>compound_level</t>
        </is>
      </c>
      <c r="M67" s="134" t="inlineStr">
        <is>
          <t>https://plants.sc.egov.usda.gov/home/search?query=carica%20papaya | https://plants.sc.egov.usda.gov/home/search?query=tropaeolum%20majus | https://pubchem.ncbi.nlm.nih.gov/#query=benzyl%20isothiocyanate</t>
        </is>
      </c>
      <c r="N67" s="134" t="inlineStr">
        <is>
          <t>trusted_gov_added</t>
        </is>
      </c>
      <c r="O67" s="134" t="inlineStr">
        <is>
          <t>PubChem compound page (NIH); USDA Plants database</t>
        </is>
      </c>
      <c r="P67" s="134" t="n"/>
      <c r="Q67" s="134" t="inlineStr">
        <is>
          <t>carica-papaya; tropaeolum-majus</t>
        </is>
      </c>
      <c r="R67" s="134" t="n">
        <v>2</v>
      </c>
      <c r="S67" s="134" t="inlineStr">
        <is>
          <t>Yes</t>
        </is>
      </c>
      <c r="T67" s="134" t="inlineStr">
        <is>
          <t>Integrated from cleaned high-signal dataset</t>
        </is>
      </c>
    </row>
    <row r="68" ht="26" customHeight="1" s="76">
      <c r="A68" s="134" t="inlineStr">
        <is>
          <t>berbamine</t>
        </is>
      </c>
      <c r="B68" s="134" t="inlineStr">
        <is>
          <t>berbamine</t>
        </is>
      </c>
      <c r="C68" s="134" t="n"/>
      <c r="D68" s="134" t="inlineStr">
        <is>
          <t>other</t>
        </is>
      </c>
      <c r="E68" s="134" t="inlineStr">
        <is>
          <t>insufficient evidence</t>
        </is>
      </c>
      <c r="F68" s="134" t="inlineStr">
        <is>
          <t>multi-target signaling modulation</t>
        </is>
      </c>
      <c r="G68" s="134" t="inlineStr">
        <is>
          <t>general or unknown targets</t>
        </is>
      </c>
      <c r="H68" s="134" t="inlineStr">
        <is>
          <t>Oral; AMPK activation and microbial inhibition</t>
        </is>
      </c>
      <c r="I68" s="134" t="inlineStr">
        <is>
          <t>low</t>
        </is>
      </c>
      <c r="J68" s="134" t="inlineStr">
        <is>
          <t>no well-documented interactions</t>
        </is>
      </c>
      <c r="K68" s="134" t="n"/>
      <c r="L68" s="134" t="inlineStr">
        <is>
          <t>compound_level</t>
        </is>
      </c>
      <c r="M68" s="134" t="inlineStr">
        <is>
          <t>https://plants.sc.egov.usda.gov/home/search?query=Berberis%20vulgaris | https://pubchem.ncbi.nlm.nih.gov/#query=berbamine</t>
        </is>
      </c>
      <c r="N68" s="134" t="inlineStr">
        <is>
          <t>inferred_plus_trusted_gov</t>
        </is>
      </c>
      <c r="O68" s="134" t="inlineStr">
        <is>
          <t>scientific name; PubChem compound page (NIH); USDA Plants database</t>
        </is>
      </c>
      <c r="P68" s="134" t="n"/>
      <c r="Q68" s="134" t="inlineStr">
        <is>
          <t>berberis-vulgaris</t>
        </is>
      </c>
      <c r="R68" s="134" t="n">
        <v>1</v>
      </c>
      <c r="S68" s="134" t="inlineStr">
        <is>
          <t>Yes</t>
        </is>
      </c>
      <c r="T68" s="134" t="inlineStr">
        <is>
          <t>Integrated from cleaned high-signal dataset</t>
        </is>
      </c>
    </row>
    <row r="69" ht="26" customHeight="1" s="76">
      <c r="A69" s="134" t="inlineStr">
        <is>
          <t>berberine</t>
        </is>
      </c>
      <c r="B69" s="134" t="inlineStr">
        <is>
          <t>berberine</t>
        </is>
      </c>
      <c r="C69" s="134" t="n"/>
      <c r="D69" s="134" t="inlineStr">
        <is>
          <t>alkaloid</t>
        </is>
      </c>
      <c r="E69" s="134" t="inlineStr">
        <is>
          <t>Activates AMPK and is reported to inhibit mitochondrial respiratory complex I; downstream effects include modulation of metabolic and inflammatory signaling.</t>
        </is>
      </c>
      <c r="F69" s="134" t="inlineStr">
        <is>
          <t>multi-target signaling modulation</t>
        </is>
      </c>
      <c r="G69" s="134" t="inlineStr">
        <is>
          <t>AMPK activation; NF-kB pathway inhibition; general or unknown targets; mitochondrial complex I inhibition</t>
        </is>
      </c>
      <c r="H69" s="134" t="inlineStr">
        <is>
          <t>Poor oral bioavailability; extensive first-pass/post-oral metabolism; transporter-related disposition including P-glycoprotein involvement.</t>
        </is>
      </c>
      <c r="I69" s="134" t="inlineStr">
        <is>
          <t>Common adverse effects are gastrointestinal. Avoid in pregnancy, breastfeeding, and infants because of bilirubin/jaundice risk.</t>
        </is>
      </c>
      <c r="J69" s="134" t="inlineStr">
        <is>
          <t>Cyclosporine (documented ↑ blood concentration); P-glycoprotein substrates (possible ↑ exposure); CYP2D6/CYP2C9/CYP3A4 substrates (possible altered exposure); antidiabetic drugs (additive glucose-lowering).</t>
        </is>
      </c>
      <c r="K69" s="134" t="inlineStr">
        <is>
          <t>High</t>
        </is>
      </c>
      <c r="L69" s="134" t="inlineStr">
        <is>
          <t>compound_level</t>
        </is>
      </c>
      <c r="M69" s="134" t="inlineStr">
        <is>
          <t>https://plants.sc.egov.usda.gov/home/search?query=Berberis%20vulgaris | https://plants.sc.egov.usda.gov/home/search?query=Chelidonium%20majus | https://plants.sc.egov.usda.gov/home/search?query=Coptis%20chinensis | https://plants.sc.egov.usda.gov/home/search?query=Hydrastis%20canadensis | https://plants.sc.egov.usda.gov/home/search?query=Phellodendron%20amurense | https://plants.sc.egov.usda.gov/home/search?query=argemone%20mexicana | https://pmc.ncbi.nlm.nih.gov/articles/PMC4898966/ | https://pubchem.ncbi.nlm.nih.gov/#query=berberine | https://pubchem.ncbi.nlm.nih.gov/compound/Berberine | https://pubmed.ncbi.nlm.nih.gov/16133554/ | https://pubmed.ncbi.nlm.nih.gov/16873688/ | https://www.nccih.nih.gov/health/in-the-news-berberine</t>
        </is>
      </c>
      <c r="N69" s="134" t="inlineStr">
        <is>
          <t>inferred_plus_trusted_gov; trusted_gov_added</t>
        </is>
      </c>
      <c r="O69" s="134" t="inlineStr">
        <is>
          <t>PubChem compound page (NIH); USDA Plants database; scientific name; PubChem compound page (NIH); USDA Plants database</t>
        </is>
      </c>
      <c r="P69" s="134" t="inlineStr">
        <is>
          <t>precision_monographs_berberine_eugenol.xlsx</t>
        </is>
      </c>
      <c r="Q69" s="134" t="inlineStr">
        <is>
          <t>argemone-mexicana; berberis-vulgaris; chelidonium-majus; coptis-chinensis; hydrastis-canadensis; phellodendron-amurense</t>
        </is>
      </c>
      <c r="R69" s="134" t="n">
        <v>6</v>
      </c>
      <c r="S69" s="134" t="inlineStr">
        <is>
          <t>Yes</t>
        </is>
      </c>
      <c r="T69" s="134" t="inlineStr">
        <is>
          <t>Integrated from cleaned high-signal dataset; Integrated from compound monograph workbook</t>
        </is>
      </c>
    </row>
    <row r="70" ht="26" customHeight="1" s="76">
      <c r="A70" s="134" t="inlineStr">
        <is>
          <t>beta-amyrin</t>
        </is>
      </c>
      <c r="B70" s="134" t="inlineStr">
        <is>
          <t>beta-amyrin</t>
        </is>
      </c>
      <c r="C70" s="134" t="n"/>
      <c r="D70" s="134" t="inlineStr">
        <is>
          <t>other</t>
        </is>
      </c>
      <c r="E70" s="134" t="inlineStr">
        <is>
          <t>insufficient evidence</t>
        </is>
      </c>
      <c r="F70" s="134" t="inlineStr">
        <is>
          <t>multi-target signaling modulation</t>
        </is>
      </c>
      <c r="G70" s="134" t="inlineStr">
        <is>
          <t>general or unknown targets</t>
        </is>
      </c>
      <c r="H70" s="134" t="inlineStr">
        <is>
          <t>moderate absorption; hepatic metabolism</t>
        </is>
      </c>
      <c r="I70" s="134" t="inlineStr">
        <is>
          <t>low</t>
        </is>
      </c>
      <c r="J70" s="134" t="inlineStr">
        <is>
          <t>no well-documented interactions</t>
        </is>
      </c>
      <c r="K70" s="134" t="n"/>
      <c r="L70" s="134" t="inlineStr">
        <is>
          <t>compound_level</t>
        </is>
      </c>
      <c r="M70" s="134" t="inlineStr">
        <is>
          <t>https://plants.sc.egov.usda.gov/home/search?query=Celastrus%20Paniculatus | https://plants.sc.egov.usda.gov/home/search?query=celastrus%20paniculatus | https://pubchem.ncbi.nlm.nih.gov/#query=beta-amyrin</t>
        </is>
      </c>
      <c r="N70" s="134" t="inlineStr">
        <is>
          <t>trusted_gov_added</t>
        </is>
      </c>
      <c r="O70" s="134" t="inlineStr">
        <is>
          <t>PubChem compound page (NIH); USDA Plants database</t>
        </is>
      </c>
      <c r="P70" s="134" t="n"/>
      <c r="Q70" s="134" t="inlineStr">
        <is>
          <t>celastrus-paniculatus; celastrus-paniculatus-intellect-tree</t>
        </is>
      </c>
      <c r="R70" s="134" t="n">
        <v>2</v>
      </c>
      <c r="S70" s="134" t="inlineStr">
        <is>
          <t>Yes</t>
        </is>
      </c>
      <c r="T70" s="134" t="inlineStr">
        <is>
          <t>Integrated from cleaned high-signal dataset</t>
        </is>
      </c>
    </row>
    <row r="71" ht="26" customHeight="1" s="76">
      <c r="A71" s="134" t="inlineStr">
        <is>
          <t>beta-asarone</t>
        </is>
      </c>
      <c r="B71" s="134" t="inlineStr">
        <is>
          <t>beta-asarone</t>
        </is>
      </c>
      <c r="C71" s="134" t="n"/>
      <c r="D71" s="134" t="inlineStr">
        <is>
          <t>other</t>
        </is>
      </c>
      <c r="E71" s="134" t="inlineStr">
        <is>
          <t>insufficient evidence</t>
        </is>
      </c>
      <c r="F71" s="134" t="inlineStr">
        <is>
          <t>gaba_a_modulation; multi-target signaling modulation</t>
        </is>
      </c>
      <c r="G71" s="134" t="inlineStr">
        <is>
          <t>gabaergic_modulation; general or unknown targets</t>
        </is>
      </c>
      <c r="H71" s="134" t="inlineStr">
        <is>
          <t>moderate absorption; hepatic metabolism</t>
        </is>
      </c>
      <c r="I71" s="134" t="inlineStr">
        <is>
          <t>low</t>
        </is>
      </c>
      <c r="J71" s="134" t="inlineStr">
        <is>
          <t>no well-documented interactions</t>
        </is>
      </c>
      <c r="K71" s="134" t="n"/>
      <c r="L71" s="134" t="inlineStr">
        <is>
          <t>compound_level</t>
        </is>
      </c>
      <c r="M71" s="134" t="inlineStr">
        <is>
          <t>https://plants.sc.egov.usda.gov/home/search?query=Acorus%20tatarinowii | https://plants.sc.egov.usda.gov/home/search?query=acorus%20calamus | https://plants.sc.egov.usda.gov/home/search?query=acorus%20calamus%20var.%20angustatus | https://pubchem.ncbi.nlm.nih.gov/#query=beta-asarone</t>
        </is>
      </c>
      <c r="N71" s="134" t="inlineStr">
        <is>
          <t>inferred_plus_trusted_gov; trusted_gov_added</t>
        </is>
      </c>
      <c r="O71" s="134" t="inlineStr">
        <is>
          <t>PubChem compound page (NIH); USDA Plants database; scientific name; PubChem compound page (NIH); USDA Plants database</t>
        </is>
      </c>
      <c r="P71" s="134" t="n"/>
      <c r="Q71" s="134" t="inlineStr">
        <is>
          <t>acorus-calamus; acorus-calamus-angustatus; acorus-tatarinowii</t>
        </is>
      </c>
      <c r="R71" s="134" t="n">
        <v>3</v>
      </c>
      <c r="S71" s="134" t="inlineStr">
        <is>
          <t>Yes</t>
        </is>
      </c>
      <c r="T71" s="134" t="inlineStr">
        <is>
          <t>Integrated from cleaned high-signal dataset</t>
        </is>
      </c>
    </row>
    <row r="72" ht="26" customHeight="1" s="76">
      <c r="A72" s="134" t="inlineStr">
        <is>
          <t>beta-asarone low levels</t>
        </is>
      </c>
      <c r="B72" s="134" t="inlineStr">
        <is>
          <t>beta-asarone (low levels)</t>
        </is>
      </c>
      <c r="C72" s="134" t="n"/>
      <c r="D72" s="134" t="inlineStr">
        <is>
          <t>other</t>
        </is>
      </c>
      <c r="E72" s="134" t="inlineStr">
        <is>
          <t>insufficient evidence</t>
        </is>
      </c>
      <c r="F72" s="134" t="inlineStr">
        <is>
          <t>multi-target signaling modulation</t>
        </is>
      </c>
      <c r="G72" s="134" t="inlineStr">
        <is>
          <t>general or unknown targets</t>
        </is>
      </c>
      <c r="H72" s="134" t="inlineStr">
        <is>
          <t>moderate absorption; hepatic metabolism</t>
        </is>
      </c>
      <c r="I72" s="134" t="inlineStr">
        <is>
          <t>low</t>
        </is>
      </c>
      <c r="J72" s="134" t="inlineStr">
        <is>
          <t>no well-documented interactions</t>
        </is>
      </c>
      <c r="K72" s="134" t="n"/>
      <c r="L72" s="134" t="inlineStr">
        <is>
          <t>compound_level</t>
        </is>
      </c>
      <c r="M72" s="134" t="inlineStr">
        <is>
          <t>https://plants.sc.egov.usda.gov/home/search?query=acorus%20americanus | https://pubchem.ncbi.nlm.nih.gov/#query=beta-asarone%20%28low%20levels%29</t>
        </is>
      </c>
      <c r="N72" s="134" t="inlineStr">
        <is>
          <t>trusted_gov_added</t>
        </is>
      </c>
      <c r="O72" s="134" t="inlineStr">
        <is>
          <t>PubChem compound page (NIH); USDA Plants database</t>
        </is>
      </c>
      <c r="P72" s="134" t="n"/>
      <c r="Q72" s="134" t="inlineStr">
        <is>
          <t>acorus-americanus</t>
        </is>
      </c>
      <c r="R72" s="134" t="n">
        <v>1</v>
      </c>
      <c r="S72" s="134" t="inlineStr">
        <is>
          <t>Yes</t>
        </is>
      </c>
      <c r="T72" s="134" t="inlineStr">
        <is>
          <t>Integrated from cleaned high-signal dataset</t>
        </is>
      </c>
    </row>
    <row r="73" ht="26" customHeight="1" s="76">
      <c r="A73" s="134" t="inlineStr">
        <is>
          <t>beta-boswellic acid</t>
        </is>
      </c>
      <c r="B73" s="134" t="inlineStr">
        <is>
          <t>beta-boswellic acid</t>
        </is>
      </c>
      <c r="C73" s="134" t="n"/>
      <c r="D73" s="134" t="inlineStr">
        <is>
          <t>organic acid</t>
        </is>
      </c>
      <c r="E73" s="134" t="inlineStr">
        <is>
          <t>Boswellic acids, especially AKBA, act as relatively selective 5-lipoxygenase inhibitors and reduce leukotriene synthesis in inflammatory pathways.</t>
        </is>
      </c>
      <c r="F73" s="134" t="inlineStr">
        <is>
          <t>multi-target signaling modulation</t>
        </is>
      </c>
      <c r="G73" s="134" t="inlineStr">
        <is>
          <t>general or unknown targets</t>
        </is>
      </c>
      <c r="H73" s="134" t="inlineStr">
        <is>
          <t>Absorption and bioavailability vary; some compounds metabolized via cytochrome P450 enzymes.</t>
        </is>
      </c>
      <c r="I73" s="134" t="inlineStr">
        <is>
          <t>low</t>
        </is>
      </c>
      <c r="J73" s="134" t="inlineStr">
        <is>
          <t>no well-documented interactions</t>
        </is>
      </c>
      <c r="K73" s="134" t="n"/>
      <c r="L73" s="134" t="inlineStr">
        <is>
          <t>compound_level</t>
        </is>
      </c>
      <c r="M73" s="134" t="inlineStr">
        <is>
          <t>https://plants.sc.egov.usda.gov/home/search?query=Boswellia%20sacra | https://plants.sc.egov.usda.gov/home/search?query=frankincense%20%28boswellia%29 | https://pubchem.ncbi.nlm.nih.gov/#query=beta-boswellic%20acid</t>
        </is>
      </c>
      <c r="N73" s="134" t="inlineStr">
        <is>
          <t>inferred_plus_trusted_gov; trusted_gov_added</t>
        </is>
      </c>
      <c r="O73" s="134" t="inlineStr">
        <is>
          <t>PubChem compound page (NIH); USDA Plants database; scientific name; PubChem compound page (NIH); USDA Plants database</t>
        </is>
      </c>
      <c r="P73" s="134" t="n"/>
      <c r="Q73" s="134" t="inlineStr">
        <is>
          <t>boswellia-sacra; frankincense-boswellia</t>
        </is>
      </c>
      <c r="R73" s="134" t="n">
        <v>2</v>
      </c>
      <c r="S73" s="134" t="inlineStr">
        <is>
          <t>Yes</t>
        </is>
      </c>
      <c r="T73" s="134" t="inlineStr">
        <is>
          <t>Integrated from cleaned high-signal dataset</t>
        </is>
      </c>
    </row>
    <row r="74" ht="26" customHeight="1" s="76">
      <c r="A74" s="134" t="inlineStr">
        <is>
          <t>beta-caryophyllene</t>
        </is>
      </c>
      <c r="B74" s="134" t="inlineStr">
        <is>
          <t>beta-caryophyllene</t>
        </is>
      </c>
      <c r="C74" s="134" t="n"/>
      <c r="D74" s="134" t="inlineStr">
        <is>
          <t>other</t>
        </is>
      </c>
      <c r="E74" s="134" t="inlineStr">
        <is>
          <t>insufficient evidence</t>
        </is>
      </c>
      <c r="F74" s="134" t="inlineStr">
        <is>
          <t>multi-target signaling modulation</t>
        </is>
      </c>
      <c r="G74" s="134" t="inlineStr">
        <is>
          <t>general or unknown targets</t>
        </is>
      </c>
      <c r="H74" s="134" t="inlineStr">
        <is>
          <t>moderate absorption; hepatic metabolism</t>
        </is>
      </c>
      <c r="I74" s="134" t="inlineStr">
        <is>
          <t>low</t>
        </is>
      </c>
      <c r="J74" s="134" t="inlineStr">
        <is>
          <t>no well-documented interactions</t>
        </is>
      </c>
      <c r="K74" s="134" t="n"/>
      <c r="L74" s="134" t="inlineStr">
        <is>
          <t>compound_level</t>
        </is>
      </c>
      <c r="M74" s="134" t="inlineStr">
        <is>
          <t>https://plants.sc.egov.usda.gov/home/search?query=Copaifera%20officinalis | https://plants.sc.egov.usda.gov/home/search?query=Syzygium%20aromaticum | https://plants.sc.egov.usda.gov/home/search?query=catnip | https://pubchem.ncbi.nlm.nih.gov/#query=beta-caryophyllene</t>
        </is>
      </c>
      <c r="N74" s="134" t="inlineStr">
        <is>
          <t>inferred_plus_trusted_gov; trusted_gov_added</t>
        </is>
      </c>
      <c r="O74" s="134" t="inlineStr">
        <is>
          <t>PubChem compound page (NIH); USDA Plants database; scientific name; PubChem compound page (NIH); USDA Plants database</t>
        </is>
      </c>
      <c r="P74" s="134" t="n"/>
      <c r="Q74" s="134" t="inlineStr">
        <is>
          <t>copaifera-officinalis; nepeta-cataria; syzygium-aromaticum</t>
        </is>
      </c>
      <c r="R74" s="134" t="n">
        <v>3</v>
      </c>
      <c r="S74" s="134" t="inlineStr">
        <is>
          <t>Yes</t>
        </is>
      </c>
      <c r="T74" s="134" t="inlineStr">
        <is>
          <t>Integrated from cleaned high-signal dataset</t>
        </is>
      </c>
    </row>
    <row r="75" ht="26" customHeight="1" s="76">
      <c r="A75" s="134" t="inlineStr">
        <is>
          <t>beta-lapachone</t>
        </is>
      </c>
      <c r="B75" s="134" t="inlineStr">
        <is>
          <t>beta-lapachone</t>
        </is>
      </c>
      <c r="C75" s="134" t="n"/>
      <c r="D75" s="134" t="inlineStr">
        <is>
          <t>other</t>
        </is>
      </c>
      <c r="E75" s="134" t="inlineStr">
        <is>
          <t>insufficient evidence</t>
        </is>
      </c>
      <c r="F75" s="134" t="inlineStr">
        <is>
          <t>multi-target signaling modulation</t>
        </is>
      </c>
      <c r="G75" s="134" t="inlineStr">
        <is>
          <t>general or unknown targets</t>
        </is>
      </c>
      <c r="H75" s="134" t="inlineStr">
        <is>
          <t>Absorption and bioavailability vary; some compounds metabolized via cytochrome P450 enzymes.</t>
        </is>
      </c>
      <c r="I75" s="134" t="inlineStr">
        <is>
          <t>low</t>
        </is>
      </c>
      <c r="J75" s="134" t="inlineStr">
        <is>
          <t>no well-documented interactions</t>
        </is>
      </c>
      <c r="K75" s="134" t="n"/>
      <c r="L75" s="134" t="inlineStr">
        <is>
          <t>compound_level</t>
        </is>
      </c>
      <c r="M75" s="134" t="inlineStr">
        <is>
          <t>https://plants.sc.egov.usda.gov/home/search?query=Tabebuia%20impetiginosa | https://pubchem.ncbi.nlm.nih.gov/#query=beta-lapachone</t>
        </is>
      </c>
      <c r="N75" s="134" t="inlineStr">
        <is>
          <t>inferred_plus_trusted_gov</t>
        </is>
      </c>
      <c r="O75" s="134" t="inlineStr">
        <is>
          <t>scientific name; PubChem compound page (NIH); USDA Plants database</t>
        </is>
      </c>
      <c r="P75" s="134" t="n"/>
      <c r="Q75" s="134" t="inlineStr">
        <is>
          <t>tabebuia-impetiginosa</t>
        </is>
      </c>
      <c r="R75" s="134" t="n">
        <v>1</v>
      </c>
      <c r="S75" s="134" t="inlineStr">
        <is>
          <t>Yes</t>
        </is>
      </c>
      <c r="T75" s="134" t="inlineStr">
        <is>
          <t>Integrated from cleaned high-signal dataset</t>
        </is>
      </c>
    </row>
    <row r="76" ht="26" customHeight="1" s="76">
      <c r="A76" s="134" t="inlineStr">
        <is>
          <t>beta-thujone</t>
        </is>
      </c>
      <c r="B76" s="134" t="inlineStr">
        <is>
          <t>beta-thujone</t>
        </is>
      </c>
      <c r="C76" s="134" t="n"/>
      <c r="D76" s="134" t="inlineStr">
        <is>
          <t>other</t>
        </is>
      </c>
      <c r="E76" s="134" t="inlineStr">
        <is>
          <t>Thujone is associated with GABA_A receptor antagonism; other constituents contribute bitter, digestive, and broader preclinical bioactivities.</t>
        </is>
      </c>
      <c r="F76" s="134" t="inlineStr">
        <is>
          <t>gaba_a_modulation</t>
        </is>
      </c>
      <c r="G76" s="134" t="inlineStr">
        <is>
          <t>gabaergic_modulation</t>
        </is>
      </c>
      <c r="H76" s="134" t="inlineStr">
        <is>
          <t>moderate absorption; hepatic metabolism</t>
        </is>
      </c>
      <c r="I76" s="134" t="inlineStr">
        <is>
          <t>low</t>
        </is>
      </c>
      <c r="J76" s="134" t="inlineStr">
        <is>
          <t>no well-documented interactions</t>
        </is>
      </c>
      <c r="K76" s="134" t="n"/>
      <c r="L76" s="134" t="inlineStr">
        <is>
          <t>compound_level</t>
        </is>
      </c>
      <c r="M76" s="134" t="inlineStr">
        <is>
          <t>https://plants.sc.egov.usda.gov/home/search?query=artemisia%20absinthium | https://pubchem.ncbi.nlm.nih.gov/#query=beta-thujone</t>
        </is>
      </c>
      <c r="N76" s="134" t="inlineStr">
        <is>
          <t>trusted_gov_added</t>
        </is>
      </c>
      <c r="O76" s="134" t="inlineStr">
        <is>
          <t>PubChem compound page (NIH); USDA Plants database</t>
        </is>
      </c>
      <c r="P76" s="134" t="n"/>
      <c r="Q76" s="134" t="inlineStr">
        <is>
          <t>artemisia-absinthium</t>
        </is>
      </c>
      <c r="R76" s="134" t="n">
        <v>1</v>
      </c>
      <c r="S76" s="134" t="inlineStr">
        <is>
          <t>Yes</t>
        </is>
      </c>
      <c r="T76" s="134" t="inlineStr">
        <is>
          <t>Integrated from cleaned high-signal dataset</t>
        </is>
      </c>
    </row>
    <row r="77" ht="26" customHeight="1" s="76">
      <c r="A77" s="134" t="inlineStr">
        <is>
          <t>betulinic acid</t>
        </is>
      </c>
      <c r="B77" s="134" t="inlineStr">
        <is>
          <t>betulinic acid</t>
        </is>
      </c>
      <c r="C77" s="134" t="n"/>
      <c r="D77" s="134" t="inlineStr">
        <is>
          <t>polysaccharides</t>
        </is>
      </c>
      <c r="E77" s="134" t="inlineStr">
        <is>
          <t>insufficient evidence</t>
        </is>
      </c>
      <c r="F77" s="134" t="inlineStr">
        <is>
          <t>multi-target signaling modulation</t>
        </is>
      </c>
      <c r="G77" s="134" t="inlineStr">
        <is>
          <t>general or unknown targets</t>
        </is>
      </c>
      <c r="H77" s="134" t="inlineStr">
        <is>
          <t>Absorption and bioavailability vary; some compounds metabolized via cytochrome P450 enzymes.</t>
        </is>
      </c>
      <c r="I77" s="134" t="inlineStr">
        <is>
          <t>low</t>
        </is>
      </c>
      <c r="J77" s="134" t="inlineStr">
        <is>
          <t>no well-documented interactions</t>
        </is>
      </c>
      <c r="K77" s="134" t="n"/>
      <c r="L77" s="134" t="inlineStr">
        <is>
          <t>compound_level</t>
        </is>
      </c>
      <c r="M77" s="134" t="inlineStr">
        <is>
          <t>https://plants.sc.egov.usda.gov/home/search?query=Inonotus%20obliquus | https://pubchem.ncbi.nlm.nih.gov/#query=betulinic%20acid</t>
        </is>
      </c>
      <c r="N77" s="134" t="inlineStr">
        <is>
          <t>inferred_plus_trusted_gov</t>
        </is>
      </c>
      <c r="O77" s="134" t="inlineStr">
        <is>
          <t>scientific name; PubChem compound page (NIH); USDA Plants database</t>
        </is>
      </c>
      <c r="P77" s="134" t="n"/>
      <c r="Q77" s="134" t="inlineStr">
        <is>
          <t>inonotus-obliquus</t>
        </is>
      </c>
      <c r="R77" s="134" t="n">
        <v>1</v>
      </c>
      <c r="S77" s="134" t="inlineStr">
        <is>
          <t>Yes</t>
        </is>
      </c>
      <c r="T77" s="134" t="inlineStr">
        <is>
          <t>Integrated from cleaned high-signal dataset</t>
        </is>
      </c>
    </row>
    <row r="78" ht="26" customHeight="1" s="76">
      <c r="A78" s="134" t="inlineStr">
        <is>
          <t>bilobalide</t>
        </is>
      </c>
      <c r="B78" s="134" t="inlineStr">
        <is>
          <t>bilobalide</t>
        </is>
      </c>
      <c r="C78" s="134" t="n"/>
      <c r="D78" s="134" t="inlineStr">
        <is>
          <t>flavonol glycosides</t>
        </is>
      </c>
      <c r="E78" s="134" t="inlineStr">
        <is>
          <t>Ginkgolides antagonize platelet-activating factor (PAF) receptors; bilobalide modulates GABAergic and glutamatergic transmission.</t>
        </is>
      </c>
      <c r="F78" s="134" t="inlineStr">
        <is>
          <t>gaba_a_modulation</t>
        </is>
      </c>
      <c r="G78" s="134" t="inlineStr">
        <is>
          <t>gabaergic_modulation</t>
        </is>
      </c>
      <c r="H78" s="134" t="inlineStr">
        <is>
          <t>moderate absorption; hepatic metabolism</t>
        </is>
      </c>
      <c r="I78" s="134" t="inlineStr">
        <is>
          <t>low</t>
        </is>
      </c>
      <c r="J78" s="134" t="inlineStr">
        <is>
          <t>no well-documented interactions</t>
        </is>
      </c>
      <c r="K78" s="134" t="n"/>
      <c r="L78" s="134" t="inlineStr">
        <is>
          <t>compound_level</t>
        </is>
      </c>
      <c r="M78" s="134" t="inlineStr">
        <is>
          <t>https://plants.sc.egov.usda.gov/home/search?query=ginkgo%20biloba | https://pubchem.ncbi.nlm.nih.gov/#query=bilobalide</t>
        </is>
      </c>
      <c r="N78" s="134" t="inlineStr">
        <is>
          <t>trusted_gov_added</t>
        </is>
      </c>
      <c r="O78" s="134" t="inlineStr">
        <is>
          <t>PubChem compound page (NIH); USDA Plants database</t>
        </is>
      </c>
      <c r="P78" s="134" t="n"/>
      <c r="Q78" s="134" t="inlineStr">
        <is>
          <t>ginkgo-biloba</t>
        </is>
      </c>
      <c r="R78" s="134" t="n">
        <v>1</v>
      </c>
      <c r="S78" s="134" t="inlineStr">
        <is>
          <t>Yes</t>
        </is>
      </c>
      <c r="T78" s="134" t="inlineStr">
        <is>
          <t>Integrated from cleaned high-signal dataset</t>
        </is>
      </c>
    </row>
    <row r="79" ht="26" customHeight="1" s="76">
      <c r="A79" s="134" t="inlineStr">
        <is>
          <t>bisabolol</t>
        </is>
      </c>
      <c r="B79" s="134" t="inlineStr">
        <is>
          <t>bisabolol</t>
        </is>
      </c>
      <c r="C79" s="134" t="n"/>
      <c r="D79" s="134" t="inlineStr">
        <is>
          <t>other</t>
        </is>
      </c>
      <c r="E79" s="134" t="inlineStr">
        <is>
          <t>insufficient evidence</t>
        </is>
      </c>
      <c r="F79" s="134" t="inlineStr">
        <is>
          <t>multi-target signaling modulation</t>
        </is>
      </c>
      <c r="G79" s="134" t="inlineStr">
        <is>
          <t>general or unknown targets</t>
        </is>
      </c>
      <c r="H79" s="134" t="inlineStr">
        <is>
          <t>Oral/topical; antispasmodic and sedative</t>
        </is>
      </c>
      <c r="I79" s="134" t="inlineStr">
        <is>
          <t>low</t>
        </is>
      </c>
      <c r="J79" s="134" t="inlineStr">
        <is>
          <t>no well-documented interactions</t>
        </is>
      </c>
      <c r="K79" s="134" t="n"/>
      <c r="L79" s="134" t="inlineStr">
        <is>
          <t>compound_level</t>
        </is>
      </c>
      <c r="M79" s="134" t="inlineStr">
        <is>
          <t>https://plants.sc.egov.usda.gov/home/search?query=Matricaria%20chamomilla | https://pubchem.ncbi.nlm.nih.gov/#query=bisabolol</t>
        </is>
      </c>
      <c r="N79" s="134" t="inlineStr">
        <is>
          <t>inferred_plus_trusted_gov</t>
        </is>
      </c>
      <c r="O79" s="134" t="inlineStr">
        <is>
          <t>scientific name; PubChem compound page (NIH); USDA Plants database</t>
        </is>
      </c>
      <c r="P79" s="134" t="n"/>
      <c r="Q79" s="134" t="inlineStr">
        <is>
          <t>matricaria-chamomilla</t>
        </is>
      </c>
      <c r="R79" s="134" t="n">
        <v>1</v>
      </c>
      <c r="S79" s="134" t="inlineStr">
        <is>
          <t>Yes</t>
        </is>
      </c>
      <c r="T79" s="134" t="inlineStr">
        <is>
          <t>Integrated from cleaned high-signal dataset</t>
        </is>
      </c>
    </row>
    <row r="80" ht="26" customHeight="1" s="76">
      <c r="A80" s="134" t="inlineStr">
        <is>
          <t>bonducin</t>
        </is>
      </c>
      <c r="B80" s="134" t="inlineStr">
        <is>
          <t>bonducin</t>
        </is>
      </c>
      <c r="C80" s="134" t="n"/>
      <c r="D80" s="134" t="inlineStr">
        <is>
          <t>Bonducin, saponins, diterpenes</t>
        </is>
      </c>
      <c r="E80" s="134" t="inlineStr">
        <is>
          <t>insufficient evidence</t>
        </is>
      </c>
      <c r="F80" s="134" t="inlineStr">
        <is>
          <t>multi-target signaling modulation</t>
        </is>
      </c>
      <c r="G80" s="134" t="inlineStr">
        <is>
          <t>general or unknown targets</t>
        </is>
      </c>
      <c r="H80" s="134" t="inlineStr">
        <is>
          <t>Oral; febrifuge and hepatoprotective</t>
        </is>
      </c>
      <c r="I80" s="134" t="inlineStr">
        <is>
          <t>low</t>
        </is>
      </c>
      <c r="J80" s="134" t="inlineStr">
        <is>
          <t>no well-documented interactions</t>
        </is>
      </c>
      <c r="K80" s="134" t="n"/>
      <c r="L80" s="134" t="inlineStr">
        <is>
          <t>compound_level</t>
        </is>
      </c>
      <c r="M80" s="134" t="inlineStr">
        <is>
          <t>https://plants.sc.egov.usda.gov/home/search?query=Caesalpinia%20bonduc | https://pubchem.ncbi.nlm.nih.gov/#query=bonducin</t>
        </is>
      </c>
      <c r="N80" s="134" t="inlineStr">
        <is>
          <t>inferred_plus_trusted_gov</t>
        </is>
      </c>
      <c r="O80" s="134" t="inlineStr">
        <is>
          <t>scientific name; PubChem compound page (NIH); USDA Plants database</t>
        </is>
      </c>
      <c r="P80" s="134" t="n"/>
      <c r="Q80" s="134" t="inlineStr">
        <is>
          <t>caesalpinia-bonduc</t>
        </is>
      </c>
      <c r="R80" s="134" t="n">
        <v>1</v>
      </c>
      <c r="S80" s="134" t="inlineStr">
        <is>
          <t>Yes</t>
        </is>
      </c>
      <c r="T80" s="134" t="inlineStr">
        <is>
          <t>Integrated from cleaned high-signal dataset</t>
        </is>
      </c>
    </row>
    <row r="81" ht="26" customHeight="1" s="76">
      <c r="A81" s="134" t="inlineStr">
        <is>
          <t>brunfelsamidine</t>
        </is>
      </c>
      <c r="B81" s="134" t="inlineStr">
        <is>
          <t>brunfelsamidine</t>
        </is>
      </c>
      <c r="C81" s="134" t="n"/>
      <c r="D81" s="134" t="inlineStr">
        <is>
          <t>alkaloids</t>
        </is>
      </c>
      <c r="E81" s="134" t="inlineStr">
        <is>
          <t>insufficient evidence</t>
        </is>
      </c>
      <c r="F81" s="134" t="inlineStr">
        <is>
          <t>multi-target signaling modulation</t>
        </is>
      </c>
      <c r="G81" s="134" t="inlineStr">
        <is>
          <t>general or unknown targets</t>
        </is>
      </c>
      <c r="H81" s="134" t="inlineStr">
        <is>
          <t>Absorption and bioavailability vary; some compounds metabolized via cytochrome P450 enzymes.</t>
        </is>
      </c>
      <c r="I81" s="134" t="inlineStr">
        <is>
          <t>low</t>
        </is>
      </c>
      <c r="J81" s="134" t="inlineStr">
        <is>
          <t>no well-documented interactions</t>
        </is>
      </c>
      <c r="K81" s="134" t="n"/>
      <c r="L81" s="134" t="inlineStr">
        <is>
          <t>compound_level</t>
        </is>
      </c>
      <c r="M81" s="134" t="inlineStr">
        <is>
          <t>https://plants.sc.egov.usda.gov/home/search?query=Brunfelsia%20americana | https://pubchem.ncbi.nlm.nih.gov/#query=brunfelsamidine</t>
        </is>
      </c>
      <c r="N81" s="134" t="inlineStr">
        <is>
          <t>inferred_plus_trusted_gov</t>
        </is>
      </c>
      <c r="O81" s="134" t="inlineStr">
        <is>
          <t>scientific name; PubChem compound page (NIH); USDA Plants database</t>
        </is>
      </c>
      <c r="P81" s="134" t="n"/>
      <c r="Q81" s="134" t="inlineStr">
        <is>
          <t>brunfelsia-americana</t>
        </is>
      </c>
      <c r="R81" s="134" t="n">
        <v>1</v>
      </c>
      <c r="S81" s="134" t="inlineStr">
        <is>
          <t>Yes</t>
        </is>
      </c>
      <c r="T81" s="134" t="inlineStr">
        <is>
          <t>Integrated from cleaned high-signal dataset</t>
        </is>
      </c>
    </row>
    <row r="82" ht="26" customHeight="1" s="76">
      <c r="A82" s="134" t="inlineStr">
        <is>
          <t>bryonin</t>
        </is>
      </c>
      <c r="B82" s="134" t="inlineStr">
        <is>
          <t>bryonin</t>
        </is>
      </c>
      <c r="C82" s="134" t="n"/>
      <c r="D82" s="134" t="inlineStr">
        <is>
          <t>other</t>
        </is>
      </c>
      <c r="E82" s="134" t="inlineStr">
        <is>
          <t>insufficient evidence</t>
        </is>
      </c>
      <c r="F82" s="134" t="inlineStr">
        <is>
          <t>multi-target signaling modulation</t>
        </is>
      </c>
      <c r="G82" s="134" t="inlineStr">
        <is>
          <t>general or unknown targets</t>
        </is>
      </c>
      <c r="H82" s="134" t="inlineStr">
        <is>
          <t>Topical/homeopathic; anti-inflammatory (low dose)</t>
        </is>
      </c>
      <c r="I82" s="134" t="inlineStr">
        <is>
          <t>low</t>
        </is>
      </c>
      <c r="J82" s="134" t="inlineStr">
        <is>
          <t>no well-documented interactions</t>
        </is>
      </c>
      <c r="K82" s="134" t="n"/>
      <c r="L82" s="134" t="inlineStr">
        <is>
          <t>compound_level</t>
        </is>
      </c>
      <c r="M82" s="134" t="inlineStr">
        <is>
          <t>https://plants.sc.egov.usda.gov/home/search?query=Bryonia%20alba | https://pubchem.ncbi.nlm.nih.gov/#query=bryonin</t>
        </is>
      </c>
      <c r="N82" s="134" t="inlineStr">
        <is>
          <t>inferred_plus_trusted_gov</t>
        </is>
      </c>
      <c r="O82" s="134" t="inlineStr">
        <is>
          <t>scientific name; PubChem compound page (NIH); USDA Plants database</t>
        </is>
      </c>
      <c r="P82" s="134" t="n"/>
      <c r="Q82" s="134" t="inlineStr">
        <is>
          <t>bryonia-alba</t>
        </is>
      </c>
      <c r="R82" s="134" t="n">
        <v>1</v>
      </c>
      <c r="S82" s="134" t="inlineStr">
        <is>
          <t>Yes</t>
        </is>
      </c>
      <c r="T82" s="134" t="inlineStr">
        <is>
          <t>Integrated from cleaned high-signal dataset</t>
        </is>
      </c>
    </row>
    <row r="83" ht="26" customHeight="1" s="76">
      <c r="A83" s="134" t="inlineStr">
        <is>
          <t>bufotenin</t>
        </is>
      </c>
      <c r="B83" s="134" t="inlineStr">
        <is>
          <t>bufotenin</t>
        </is>
      </c>
      <c r="C83" s="134" t="n"/>
      <c r="D83" s="134" t="inlineStr">
        <is>
          <t>other</t>
        </is>
      </c>
      <c r="E83" s="134" t="inlineStr">
        <is>
          <t>Tryptamines act on serotonergic receptors, especially 5-HT2A, producing psychedelic effects.</t>
        </is>
      </c>
      <c r="F83" s="134" t="inlineStr">
        <is>
          <t>serotonin receptor interaction</t>
        </is>
      </c>
      <c r="G83" s="134" t="inlineStr">
        <is>
          <t>serotonergic_5HT2A_agonism</t>
        </is>
      </c>
      <c r="H83" s="134" t="inlineStr">
        <is>
          <t>rapid absorption; CNS penetration; hepatic metabolism</t>
        </is>
      </c>
      <c r="I83" s="134" t="inlineStr">
        <is>
          <t>low</t>
        </is>
      </c>
      <c r="J83" s="134" t="inlineStr">
        <is>
          <t>no well-documented interactions</t>
        </is>
      </c>
      <c r="K83" s="134" t="n"/>
      <c r="L83" s="134" t="inlineStr">
        <is>
          <t>compound_level</t>
        </is>
      </c>
      <c r="M83" s="134" t="inlineStr">
        <is>
          <t>https://plants.sc.egov.usda.gov/home/search?query=Anadenanthera%20Colubrina | https://plants.sc.egov.usda.gov/home/search?query=Piptadenia%20peregrina | https://plants.sc.egov.usda.gov/home/search?query=anadenanthera%20colubrina | https://plants.sc.egov.usda.gov/home/search?query=anadenanthera%20peregrina | https://pubchem.ncbi.nlm.nih.gov/#query=bufotenin</t>
        </is>
      </c>
      <c r="N83" s="134" t="inlineStr">
        <is>
          <t>inferred_plus_trusted_gov; trusted_gov_added</t>
        </is>
      </c>
      <c r="O83" s="134" t="inlineStr">
        <is>
          <t>PubChem compound page (NIH); USDA Plants database; scientific name; PubChem compound page (NIH); USDA Plants database</t>
        </is>
      </c>
      <c r="P83" s="134" t="n"/>
      <c r="Q83" s="134" t="inlineStr">
        <is>
          <t>anadenanthera-colubrina; anadenanthera-colubrina-ceb-l; anadenanthera-peregrina; piptadenia-peregrina</t>
        </is>
      </c>
      <c r="R83" s="134" t="n">
        <v>4</v>
      </c>
      <c r="S83" s="134" t="inlineStr">
        <is>
          <t>Yes</t>
        </is>
      </c>
      <c r="T83" s="134" t="inlineStr">
        <is>
          <t>Integrated from cleaned high-signal dataset</t>
        </is>
      </c>
    </row>
    <row r="84" ht="26" customHeight="1" s="76">
      <c r="A84" s="134" t="inlineStr">
        <is>
          <t>bulbocapnine</t>
        </is>
      </c>
      <c r="B84" s="134" t="inlineStr">
        <is>
          <t>bulbocapnine</t>
        </is>
      </c>
      <c r="C84" s="134" t="n"/>
      <c r="D84" s="134" t="inlineStr">
        <is>
          <t>other</t>
        </is>
      </c>
      <c r="E84" s="134" t="inlineStr">
        <is>
          <t>insufficient evidence</t>
        </is>
      </c>
      <c r="F84" s="134" t="inlineStr">
        <is>
          <t>multi-target signaling modulation</t>
        </is>
      </c>
      <c r="G84" s="134" t="inlineStr">
        <is>
          <t>general or unknown targets</t>
        </is>
      </c>
      <c r="H84" s="134" t="inlineStr">
        <is>
          <t>Absorption and bioavailability vary; some compounds metabolized via cytochrome P450 enzymes.</t>
        </is>
      </c>
      <c r="I84" s="134" t="inlineStr">
        <is>
          <t>low</t>
        </is>
      </c>
      <c r="J84" s="134" t="inlineStr">
        <is>
          <t>no well-documented interactions</t>
        </is>
      </c>
      <c r="K84" s="134" t="n"/>
      <c r="L84" s="134" t="inlineStr">
        <is>
          <t>compound_level</t>
        </is>
      </c>
      <c r="M84" s="134" t="inlineStr">
        <is>
          <t>https://plants.sc.egov.usda.gov/home/search?query=Corydalis%20cava | https://pubchem.ncbi.nlm.nih.gov/#query=bulbocapnine</t>
        </is>
      </c>
      <c r="N84" s="134" t="inlineStr">
        <is>
          <t>inferred_plus_trusted_gov</t>
        </is>
      </c>
      <c r="O84" s="134" t="inlineStr">
        <is>
          <t>scientific name; PubChem compound page (NIH); USDA Plants database</t>
        </is>
      </c>
      <c r="P84" s="134" t="n"/>
      <c r="Q84" s="134" t="inlineStr">
        <is>
          <t>corydalis-cava</t>
        </is>
      </c>
      <c r="R84" s="134" t="n">
        <v>1</v>
      </c>
      <c r="S84" s="134" t="inlineStr">
        <is>
          <t>Yes</t>
        </is>
      </c>
      <c r="T84" s="134" t="inlineStr">
        <is>
          <t>Integrated from cleaned high-signal dataset</t>
        </is>
      </c>
    </row>
    <row r="85" ht="26" customHeight="1" s="76">
      <c r="A85" s="134" t="inlineStr">
        <is>
          <t>buphanidrine</t>
        </is>
      </c>
      <c r="B85" s="134" t="inlineStr">
        <is>
          <t>buphanidrine</t>
        </is>
      </c>
      <c r="C85" s="134" t="n"/>
      <c r="D85" s="134" t="inlineStr">
        <is>
          <t>alkaloids</t>
        </is>
      </c>
      <c r="E85" s="134" t="inlineStr">
        <is>
          <t>insufficient evidence</t>
        </is>
      </c>
      <c r="F85" s="134" t="inlineStr">
        <is>
          <t>multi-target signaling modulation</t>
        </is>
      </c>
      <c r="G85" s="134" t="inlineStr">
        <is>
          <t>general or unknown targets</t>
        </is>
      </c>
      <c r="H85" s="134" t="inlineStr">
        <is>
          <t>Absorption and bioavailability vary; some compounds metabolized via cytochrome P450 enzymes.</t>
        </is>
      </c>
      <c r="I85" s="134" t="inlineStr">
        <is>
          <t>low</t>
        </is>
      </c>
      <c r="J85" s="134" t="inlineStr">
        <is>
          <t>no well-documented interactions</t>
        </is>
      </c>
      <c r="K85" s="134" t="n"/>
      <c r="L85" s="134" t="inlineStr">
        <is>
          <t>compound_level</t>
        </is>
      </c>
      <c r="M85" s="134" t="inlineStr">
        <is>
          <t>https://plants.sc.egov.usda.gov/home/search?query=Boophone%20disticha | https://pubchem.ncbi.nlm.nih.gov/#query=buphanidrine</t>
        </is>
      </c>
      <c r="N85" s="134" t="inlineStr">
        <is>
          <t>inferred_plus_trusted_gov</t>
        </is>
      </c>
      <c r="O85" s="134" t="inlineStr">
        <is>
          <t>scientific name; PubChem compound page (NIH); USDA Plants database</t>
        </is>
      </c>
      <c r="P85" s="134" t="n"/>
      <c r="Q85" s="134" t="inlineStr">
        <is>
          <t>boophone-disticha</t>
        </is>
      </c>
      <c r="R85" s="134" t="n">
        <v>1</v>
      </c>
      <c r="S85" s="134" t="inlineStr">
        <is>
          <t>Yes</t>
        </is>
      </c>
      <c r="T85" s="134" t="inlineStr">
        <is>
          <t>Integrated from cleaned high-signal dataset</t>
        </is>
      </c>
    </row>
    <row r="86" ht="26" customHeight="1" s="76">
      <c r="A86" s="134" t="inlineStr">
        <is>
          <t>cafestol</t>
        </is>
      </c>
      <c r="B86" s="134" t="inlineStr">
        <is>
          <t>cafestol</t>
        </is>
      </c>
      <c r="C86" s="134" t="n"/>
      <c r="D86" s="134" t="inlineStr">
        <is>
          <t>other</t>
        </is>
      </c>
      <c r="E86" s="134" t="inlineStr">
        <is>
          <t>Coffee's stimulant effects are driven primarily by caffeine, which acts as a nonselective adenosine receptor antagonist; chlorogenic acids and diterpenes contribute additional antioxidant and metabolic effects.</t>
        </is>
      </c>
      <c r="F86" s="134" t="inlineStr">
        <is>
          <t>adenosine receptor antagonism</t>
        </is>
      </c>
      <c r="G86" s="134" t="inlineStr">
        <is>
          <t>adenosine_antagonism</t>
        </is>
      </c>
      <c r="H86" s="134" t="inlineStr">
        <is>
          <t>moderate absorption; hepatic metabolism</t>
        </is>
      </c>
      <c r="I86" s="134" t="inlineStr">
        <is>
          <t>low</t>
        </is>
      </c>
      <c r="J86" s="134" t="inlineStr">
        <is>
          <t>no well-documented interactions</t>
        </is>
      </c>
      <c r="K86" s="134" t="n"/>
      <c r="L86" s="134" t="inlineStr">
        <is>
          <t>compound_level</t>
        </is>
      </c>
      <c r="M86" s="134" t="inlineStr">
        <is>
          <t>https://plants.sc.egov.usda.gov/home/search?query=coffee | https://pubchem.ncbi.nlm.nih.gov/#query=cafestol</t>
        </is>
      </c>
      <c r="N86" s="134" t="inlineStr">
        <is>
          <t>trusted_gov_added</t>
        </is>
      </c>
      <c r="O86" s="134" t="inlineStr">
        <is>
          <t>PubChem compound page (NIH); USDA Plants database</t>
        </is>
      </c>
      <c r="P86" s="134" t="n"/>
      <c r="Q86" s="134" t="inlineStr">
        <is>
          <t>coffee</t>
        </is>
      </c>
      <c r="R86" s="134" t="n">
        <v>1</v>
      </c>
      <c r="S86" s="134" t="inlineStr">
        <is>
          <t>Yes</t>
        </is>
      </c>
      <c r="T86" s="134" t="inlineStr">
        <is>
          <t>Integrated from cleaned high-signal dataset</t>
        </is>
      </c>
    </row>
    <row r="87" ht="26" customHeight="1" s="76">
      <c r="A87" s="134" t="inlineStr">
        <is>
          <t>caffeine</t>
        </is>
      </c>
      <c r="B87" s="134" t="inlineStr">
        <is>
          <t>caffeine</t>
        </is>
      </c>
      <c r="C87" s="134" t="n"/>
      <c r="D87" s="134" t="inlineStr">
        <is>
          <t>xanthine alkaloid</t>
        </is>
      </c>
      <c r="E87" s="134" t="inlineStr">
        <is>
          <t>Coffee's stimulant effects are driven primarily by caffeine, which acts as a nonselective adenosine receptor antagonist; chlorogenic acids and diterpenes contribute additional antioxidant and metabolic effects.</t>
        </is>
      </c>
      <c r="F87" s="134" t="inlineStr">
        <is>
          <t>adenosine receptor antagonism</t>
        </is>
      </c>
      <c r="G87" s="134" t="inlineStr">
        <is>
          <t>ADORA1, ADORA2A (adenosine receptors); adenosine_antagonism; dopaminergic_modulation</t>
        </is>
      </c>
      <c r="H87" s="134" t="inlineStr">
        <is>
          <t>well absorbed orally; hepatic metabolism (CYP1A2); renal excretion</t>
        </is>
      </c>
      <c r="I87" s="134" t="inlineStr">
        <is>
          <t>moderate</t>
        </is>
      </c>
      <c r="J87" s="134" t="inlineStr">
        <is>
          <t>may interact with stimulants; caution with cardiovascular conditions</t>
        </is>
      </c>
      <c r="K87" s="134" t="n"/>
      <c r="L87" s="134" t="inlineStr">
        <is>
          <t>compound_level</t>
        </is>
      </c>
      <c r="M87" s="134" t="inlineStr">
        <is>
          <t>https://plants.sc.egov.usda.gov/home/search?query=Coffea%20arabica | https://plants.sc.egov.usda.gov/home/search?query=Ilex%20guayusa | https://plants.sc.egov.usda.gov/home/search?query=Ilex%20paraguariensis | https://plants.sc.egov.usda.gov/home/search?query=Paullinia%20cupana | https://plants.sc.egov.usda.gov/home/search?query=Paullinia%20pinnata | https://plants.sc.egov.usda.gov/home/search?query=Theobroma%20bicolor | https://plants.sc.egov.usda.gov/home/search?query=Theobroma%20cacao | https://plants.sc.egov.usda.gov/home/search?query=camellia%20sinensis | https://plants.sc.egov.usda.gov/home/search?query=coffee | https://plants.sc.egov.usda.gov/home/search?query=guarana | https://plants.sc.egov.usda.gov/home/search?query=yerba%20mate | https://pubchem.ncbi.nlm.nih.gov/#query=caffeine</t>
        </is>
      </c>
      <c r="N87" s="134" t="inlineStr">
        <is>
          <t>inferred_plus_trusted_gov; trusted_gov_added</t>
        </is>
      </c>
      <c r="O87" s="134" t="inlineStr">
        <is>
          <t>PubChem compound page (NIH); USDA Plants database; scientific name; PubChem compound page (NIH); USDA Plants database</t>
        </is>
      </c>
      <c r="P87" s="134" t="n"/>
      <c r="Q87" s="134" t="inlineStr">
        <is>
          <t>camellia-sinensis; coffea-arabica; coffee; guarana; ilex-guayusa; ilex-paraguariensis; paullinia-cupana; paullinia-pinnata; theobroma-bicolor; theobroma-cacao</t>
        </is>
      </c>
      <c r="R87" s="134" t="n">
        <v>10</v>
      </c>
      <c r="S87" s="134" t="inlineStr">
        <is>
          <t>Yes</t>
        </is>
      </c>
      <c r="T87" s="134" t="inlineStr">
        <is>
          <t>Integrated from cleaned high-signal dataset</t>
        </is>
      </c>
    </row>
    <row r="88" ht="26" customHeight="1" s="76">
      <c r="A88" s="134" t="inlineStr">
        <is>
          <t>calotropin</t>
        </is>
      </c>
      <c r="B88" s="134" t="inlineStr">
        <is>
          <t>calotropin</t>
        </is>
      </c>
      <c r="C88" s="134" t="n"/>
      <c r="D88" s="134" t="inlineStr">
        <is>
          <t>cardiac glycosides</t>
        </is>
      </c>
      <c r="E88" s="134" t="inlineStr">
        <is>
          <t>insufficient evidence</t>
        </is>
      </c>
      <c r="F88" s="134" t="inlineStr">
        <is>
          <t>multi-target signaling modulation</t>
        </is>
      </c>
      <c r="G88" s="134" t="inlineStr">
        <is>
          <t>general or unknown targets</t>
        </is>
      </c>
      <c r="H88" s="134" t="inlineStr">
        <is>
          <t>Absorption and bioavailability vary; some compounds metabolized via cytochrome P450 enzymes.</t>
        </is>
      </c>
      <c r="I88" s="134" t="inlineStr">
        <is>
          <t>low</t>
        </is>
      </c>
      <c r="J88" s="134" t="inlineStr">
        <is>
          <t>no well-documented interactions</t>
        </is>
      </c>
      <c r="K88" s="134" t="n"/>
      <c r="L88" s="134" t="inlineStr">
        <is>
          <t>compound_level</t>
        </is>
      </c>
      <c r="M88" s="134" t="inlineStr">
        <is>
          <t>https://plants.sc.egov.usda.gov/home/search?query=Calotropis%20procera | https://pubchem.ncbi.nlm.nih.gov/#query=calotropin</t>
        </is>
      </c>
      <c r="N88" s="134" t="inlineStr">
        <is>
          <t>inferred_plus_trusted_gov</t>
        </is>
      </c>
      <c r="O88" s="134" t="inlineStr">
        <is>
          <t>scientific name; PubChem compound page (NIH); USDA Plants database</t>
        </is>
      </c>
      <c r="P88" s="134" t="n"/>
      <c r="Q88" s="134" t="inlineStr">
        <is>
          <t>calotropis-procera</t>
        </is>
      </c>
      <c r="R88" s="134" t="n">
        <v>1</v>
      </c>
      <c r="S88" s="134" t="inlineStr">
        <is>
          <t>Yes</t>
        </is>
      </c>
      <c r="T88" s="134" t="inlineStr">
        <is>
          <t>Integrated from cleaned high-signal dataset</t>
        </is>
      </c>
    </row>
    <row r="89" ht="26" customHeight="1" s="76">
      <c r="A89" s="134" t="inlineStr">
        <is>
          <t>camphor</t>
        </is>
      </c>
      <c r="B89" s="134" t="inlineStr">
        <is>
          <t>camphor</t>
        </is>
      </c>
      <c r="C89" s="134" t="n"/>
      <c r="D89" s="134" t="inlineStr">
        <is>
          <t>other</t>
        </is>
      </c>
      <c r="E89" s="134" t="inlineStr">
        <is>
          <t>insufficient evidence</t>
        </is>
      </c>
      <c r="F89" s="134" t="inlineStr">
        <is>
          <t>multi-target signaling modulation</t>
        </is>
      </c>
      <c r="G89" s="134" t="inlineStr">
        <is>
          <t>general or unknown targets</t>
        </is>
      </c>
      <c r="H89" s="134" t="inlineStr">
        <is>
          <t>Absorption and bioavailability vary; some compounds metabolized via cytochrome P450 enzymes.</t>
        </is>
      </c>
      <c r="I89" s="134" t="inlineStr">
        <is>
          <t>low</t>
        </is>
      </c>
      <c r="J89" s="134" t="inlineStr">
        <is>
          <t>no well-documented interactions</t>
        </is>
      </c>
      <c r="K89" s="134" t="n"/>
      <c r="L89" s="134" t="inlineStr">
        <is>
          <t>compound_level</t>
        </is>
      </c>
      <c r="M89" s="134" t="inlineStr">
        <is>
          <t>https://plants.sc.egov.usda.gov/home/search?query=Artemisia%20herba-alba | https://plants.sc.egov.usda.gov/home/search?query=Artemisia%20judaica | https://plants.sc.egov.usda.gov/home/search?query=Artemisia%20vulgaris | https://pubchem.ncbi.nlm.nih.gov/#query=camphor</t>
        </is>
      </c>
      <c r="N89" s="134" t="inlineStr">
        <is>
          <t>inferred_plus_trusted_gov</t>
        </is>
      </c>
      <c r="O89" s="134" t="inlineStr">
        <is>
          <t>scientific name; PubChem compound page (NIH); USDA Plants database</t>
        </is>
      </c>
      <c r="P89" s="134" t="n"/>
      <c r="Q89" s="134" t="inlineStr">
        <is>
          <t>artemisia-herba-alba; artemisia-judaica; artemisia-vulgaris</t>
        </is>
      </c>
      <c r="R89" s="134" t="n">
        <v>3</v>
      </c>
      <c r="S89" s="134" t="inlineStr">
        <is>
          <t>Yes</t>
        </is>
      </c>
      <c r="T89" s="134" t="inlineStr">
        <is>
          <t>Integrated from cleaned high-signal dataset</t>
        </is>
      </c>
    </row>
    <row r="90" ht="26" customHeight="1" s="76">
      <c r="A90" s="134" t="inlineStr">
        <is>
          <t>cannabidiol</t>
        </is>
      </c>
      <c r="B90" s="134" t="inlineStr">
        <is>
          <t>cannabidiol</t>
        </is>
      </c>
      <c r="C90" s="134" t="n"/>
      <c r="D90" s="134" t="inlineStr">
        <is>
          <t>other</t>
        </is>
      </c>
      <c r="E90" s="134" t="inlineStr">
        <is>
          <t>insufficient evidence</t>
        </is>
      </c>
      <c r="F90" s="134" t="inlineStr">
        <is>
          <t>multi-target signaling modulation</t>
        </is>
      </c>
      <c r="G90" s="134" t="inlineStr">
        <is>
          <t>endocannabinoid_modulation</t>
        </is>
      </c>
      <c r="H90" s="134" t="inlineStr">
        <is>
          <t>moderate absorption; hepatic metabolism</t>
        </is>
      </c>
      <c r="I90" s="134" t="inlineStr">
        <is>
          <t>low</t>
        </is>
      </c>
      <c r="J90" s="134" t="inlineStr">
        <is>
          <t>no well-documented interactions</t>
        </is>
      </c>
      <c r="K90" s="134" t="n"/>
      <c r="L90" s="134" t="inlineStr">
        <is>
          <t>compound_level</t>
        </is>
      </c>
      <c r="M90" s="134" t="inlineStr">
        <is>
          <t>https://plants.sc.egov.usda.gov/home/search?query=cbd | https://pubchem.ncbi.nlm.nih.gov/#query=cannabidiol</t>
        </is>
      </c>
      <c r="N90" s="134" t="inlineStr">
        <is>
          <t>trusted_gov_added</t>
        </is>
      </c>
      <c r="O90" s="134" t="inlineStr">
        <is>
          <t>PubChem compound page (NIH); USDA Plants database</t>
        </is>
      </c>
      <c r="P90" s="134" t="n"/>
      <c r="Q90" s="134" t="inlineStr">
        <is>
          <t>cbd</t>
        </is>
      </c>
      <c r="R90" s="134" t="n">
        <v>1</v>
      </c>
      <c r="S90" s="134" t="inlineStr">
        <is>
          <t>Yes</t>
        </is>
      </c>
      <c r="T90" s="134" t="inlineStr">
        <is>
          <t>Integrated from cleaned high-signal dataset</t>
        </is>
      </c>
    </row>
    <row r="91" ht="26" customHeight="1" s="76">
      <c r="A91" s="134" t="inlineStr">
        <is>
          <t>capsaicin</t>
        </is>
      </c>
      <c r="B91" s="134" t="inlineStr">
        <is>
          <t>capsaicin</t>
        </is>
      </c>
      <c r="C91" s="134" t="n"/>
      <c r="D91" s="134" t="inlineStr">
        <is>
          <t>capsaicinoid</t>
        </is>
      </c>
      <c r="E91" s="134" t="inlineStr">
        <is>
          <t>Capsaicinoids, especially capsaicin, act primarily as TRPV1 agonists; downstream effects include sensory neuron activation followed by desensitization and antinociceptive effects.</t>
        </is>
      </c>
      <c r="F91" s="134" t="inlineStr">
        <is>
          <t>multi-target signaling modulation</t>
        </is>
      </c>
      <c r="G91" s="134" t="inlineStr">
        <is>
          <t>TRPV1 activation; general or unknown targets</t>
        </is>
      </c>
      <c r="H91" s="134" t="inlineStr">
        <is>
          <t>moderate absorption; hepatic metabolism</t>
        </is>
      </c>
      <c r="I91" s="134" t="inlineStr">
        <is>
          <t>low</t>
        </is>
      </c>
      <c r="J91" s="134" t="inlineStr">
        <is>
          <t>Other TRPV1 agents (additive effects)</t>
        </is>
      </c>
      <c r="K91" s="134" t="n"/>
      <c r="L91" s="134" t="inlineStr">
        <is>
          <t>Batch8</t>
        </is>
      </c>
      <c r="M91" s="134" t="inlineStr">
        <is>
          <t>https://plants.sc.egov.usda.gov/home/search?query=capsicum%20annuum | https://pubchem.ncbi.nlm.nih.gov/#query=capsaicin</t>
        </is>
      </c>
      <c r="N91" s="134" t="inlineStr">
        <is>
          <t>trusted_gov_added</t>
        </is>
      </c>
      <c r="O91" s="134" t="inlineStr">
        <is>
          <t>PubChem compound page (NIH); USDA Plants database</t>
        </is>
      </c>
      <c r="P91" s="134" t="inlineStr">
        <is>
          <t>precision_monographs_batch8.xlsx</t>
        </is>
      </c>
      <c r="Q91" s="134" t="inlineStr">
        <is>
          <t>capsicum-annuum</t>
        </is>
      </c>
      <c r="R91" s="134" t="n">
        <v>1</v>
      </c>
      <c r="S91" s="134" t="inlineStr">
        <is>
          <t>Yes</t>
        </is>
      </c>
      <c r="T91" s="134" t="inlineStr">
        <is>
          <t>Integrated from cleaned high-signal dataset; Integrated from compound monograph workbook</t>
        </is>
      </c>
    </row>
    <row r="92" ht="26" customHeight="1" s="76">
      <c r="A92" s="134" t="inlineStr">
        <is>
          <t>capsanthin</t>
        </is>
      </c>
      <c r="B92" s="134" t="inlineStr">
        <is>
          <t>capsanthin</t>
        </is>
      </c>
      <c r="C92" s="134" t="n"/>
      <c r="D92" s="134" t="inlineStr">
        <is>
          <t>other</t>
        </is>
      </c>
      <c r="E92" s="134" t="inlineStr">
        <is>
          <t>Capsaicinoids, especially capsaicin, act primarily as TRPV1 agonists; downstream effects include sensory neuron activation followed by desensitization and antinociceptive effects.</t>
        </is>
      </c>
      <c r="F92" s="134" t="inlineStr">
        <is>
          <t>multi-target signaling modulation</t>
        </is>
      </c>
      <c r="G92" s="134" t="inlineStr">
        <is>
          <t>general or unknown targets</t>
        </is>
      </c>
      <c r="H92" s="134" t="inlineStr">
        <is>
          <t>moderate absorption; hepatic metabolism</t>
        </is>
      </c>
      <c r="I92" s="134" t="inlineStr">
        <is>
          <t>low</t>
        </is>
      </c>
      <c r="J92" s="134" t="inlineStr">
        <is>
          <t>no well-documented interactions</t>
        </is>
      </c>
      <c r="K92" s="134" t="n"/>
      <c r="L92" s="134" t="inlineStr">
        <is>
          <t>compound_level</t>
        </is>
      </c>
      <c r="M92" s="134" t="inlineStr">
        <is>
          <t>https://plants.sc.egov.usda.gov/home/search?query=capsicum%20annuum | https://pubchem.ncbi.nlm.nih.gov/#query=capsanthin</t>
        </is>
      </c>
      <c r="N92" s="134" t="inlineStr">
        <is>
          <t>trusted_gov_added</t>
        </is>
      </c>
      <c r="O92" s="134" t="inlineStr">
        <is>
          <t>PubChem compound page (NIH); USDA Plants database</t>
        </is>
      </c>
      <c r="P92" s="134" t="n"/>
      <c r="Q92" s="134" t="inlineStr">
        <is>
          <t>capsicum-annuum</t>
        </is>
      </c>
      <c r="R92" s="134" t="n">
        <v>1</v>
      </c>
      <c r="S92" s="134" t="inlineStr">
        <is>
          <t>Yes</t>
        </is>
      </c>
      <c r="T92" s="134" t="inlineStr">
        <is>
          <t>Integrated from cleaned high-signal dataset</t>
        </is>
      </c>
    </row>
    <row r="93" ht="26" customHeight="1" s="76">
      <c r="A93" s="134" t="inlineStr">
        <is>
          <t>capsorubin</t>
        </is>
      </c>
      <c r="B93" s="134" t="inlineStr">
        <is>
          <t>capsorubin</t>
        </is>
      </c>
      <c r="C93" s="134" t="n"/>
      <c r="D93" s="134" t="inlineStr">
        <is>
          <t>other</t>
        </is>
      </c>
      <c r="E93" s="134" t="inlineStr">
        <is>
          <t>Capsaicinoids, especially capsaicin, act primarily as TRPV1 agonists; downstream effects include sensory neuron activation followed by desensitization and antinociceptive effects.</t>
        </is>
      </c>
      <c r="F93" s="134" t="inlineStr">
        <is>
          <t>multi-target signaling modulation</t>
        </is>
      </c>
      <c r="G93" s="134" t="inlineStr">
        <is>
          <t>general or unknown targets</t>
        </is>
      </c>
      <c r="H93" s="134" t="inlineStr">
        <is>
          <t>moderate absorption; hepatic metabolism</t>
        </is>
      </c>
      <c r="I93" s="134" t="inlineStr">
        <is>
          <t>low</t>
        </is>
      </c>
      <c r="J93" s="134" t="inlineStr">
        <is>
          <t>no well-documented interactions</t>
        </is>
      </c>
      <c r="K93" s="134" t="n"/>
      <c r="L93" s="134" t="inlineStr">
        <is>
          <t>compound_level</t>
        </is>
      </c>
      <c r="M93" s="134" t="inlineStr">
        <is>
          <t>https://plants.sc.egov.usda.gov/home/search?query=capsicum%20annuum | https://pubchem.ncbi.nlm.nih.gov/#query=capsorubin</t>
        </is>
      </c>
      <c r="N93" s="134" t="inlineStr">
        <is>
          <t>trusted_gov_added</t>
        </is>
      </c>
      <c r="O93" s="134" t="inlineStr">
        <is>
          <t>PubChem compound page (NIH); USDA Plants database</t>
        </is>
      </c>
      <c r="P93" s="134" t="n"/>
      <c r="Q93" s="134" t="inlineStr">
        <is>
          <t>capsicum-annuum</t>
        </is>
      </c>
      <c r="R93" s="134" t="n">
        <v>1</v>
      </c>
      <c r="S93" s="134" t="inlineStr">
        <is>
          <t>Yes</t>
        </is>
      </c>
      <c r="T93" s="134" t="inlineStr">
        <is>
          <t>Integrated from cleaned high-signal dataset</t>
        </is>
      </c>
    </row>
    <row r="94" ht="26" customHeight="1" s="76">
      <c r="A94" s="134" t="inlineStr">
        <is>
          <t>cardanol</t>
        </is>
      </c>
      <c r="B94" s="134" t="inlineStr">
        <is>
          <t>cardanol</t>
        </is>
      </c>
      <c r="C94" s="134" t="n"/>
      <c r="D94" s="134" t="inlineStr">
        <is>
          <t>other</t>
        </is>
      </c>
      <c r="E94" s="134" t="inlineStr">
        <is>
          <t>insufficient evidence</t>
        </is>
      </c>
      <c r="F94" s="134" t="inlineStr">
        <is>
          <t>multi-target signaling modulation</t>
        </is>
      </c>
      <c r="G94" s="134" t="inlineStr">
        <is>
          <t>general or unknown targets</t>
        </is>
      </c>
      <c r="H94" s="134" t="inlineStr">
        <is>
          <t>Absorption and bioavailability vary; some compounds metabolized via cytochrome P450 enzymes.</t>
        </is>
      </c>
      <c r="I94" s="134" t="inlineStr">
        <is>
          <t>low</t>
        </is>
      </c>
      <c r="J94" s="134" t="inlineStr">
        <is>
          <t>no well-documented interactions</t>
        </is>
      </c>
      <c r="K94" s="134" t="n"/>
      <c r="L94" s="134" t="inlineStr">
        <is>
          <t>compound_level</t>
        </is>
      </c>
      <c r="M94" s="134" t="inlineStr">
        <is>
          <t>https://plants.sc.egov.usda.gov/home/search?query=Anacardium%20occidentale | https://pubchem.ncbi.nlm.nih.gov/#query=cardanol</t>
        </is>
      </c>
      <c r="N94" s="134" t="inlineStr">
        <is>
          <t>inferred_plus_trusted_gov</t>
        </is>
      </c>
      <c r="O94" s="134" t="inlineStr">
        <is>
          <t>scientific name; PubChem compound page (NIH); USDA Plants database</t>
        </is>
      </c>
      <c r="P94" s="134" t="n"/>
      <c r="Q94" s="134" t="inlineStr">
        <is>
          <t>anacardium-occidentale</t>
        </is>
      </c>
      <c r="R94" s="134" t="n">
        <v>1</v>
      </c>
      <c r="S94" s="134" t="inlineStr">
        <is>
          <t>Yes</t>
        </is>
      </c>
      <c r="T94" s="134" t="inlineStr">
        <is>
          <t>Integrated from cleaned high-signal dataset</t>
        </is>
      </c>
    </row>
    <row r="95" ht="26" customHeight="1" s="76">
      <c r="A95" s="134" t="inlineStr">
        <is>
          <t>cardol</t>
        </is>
      </c>
      <c r="B95" s="134" t="inlineStr">
        <is>
          <t>cardol</t>
        </is>
      </c>
      <c r="C95" s="134" t="n"/>
      <c r="D95" s="134" t="inlineStr">
        <is>
          <t>other</t>
        </is>
      </c>
      <c r="E95" s="134" t="inlineStr">
        <is>
          <t>insufficient evidence</t>
        </is>
      </c>
      <c r="F95" s="134" t="inlineStr">
        <is>
          <t>multi-target signaling modulation</t>
        </is>
      </c>
      <c r="G95" s="134" t="inlineStr">
        <is>
          <t>general or unknown targets</t>
        </is>
      </c>
      <c r="H95" s="134" t="inlineStr">
        <is>
          <t>Absorption and bioavailability vary; some compounds metabolized via cytochrome P450 enzymes.</t>
        </is>
      </c>
      <c r="I95" s="134" t="inlineStr">
        <is>
          <t>low</t>
        </is>
      </c>
      <c r="J95" s="134" t="inlineStr">
        <is>
          <t>no well-documented interactions</t>
        </is>
      </c>
      <c r="K95" s="134" t="n"/>
      <c r="L95" s="134" t="inlineStr">
        <is>
          <t>compound_level</t>
        </is>
      </c>
      <c r="M95" s="134" t="inlineStr">
        <is>
          <t>https://plants.sc.egov.usda.gov/home/search?query=Anacardium%20occidentale | https://pubchem.ncbi.nlm.nih.gov/#query=cardol</t>
        </is>
      </c>
      <c r="N95" s="134" t="inlineStr">
        <is>
          <t>inferred_plus_trusted_gov</t>
        </is>
      </c>
      <c r="O95" s="134" t="inlineStr">
        <is>
          <t>scientific name; PubChem compound page (NIH); USDA Plants database</t>
        </is>
      </c>
      <c r="P95" s="134" t="n"/>
      <c r="Q95" s="134" t="inlineStr">
        <is>
          <t>anacardium-occidentale</t>
        </is>
      </c>
      <c r="R95" s="134" t="n">
        <v>1</v>
      </c>
      <c r="S95" s="134" t="inlineStr">
        <is>
          <t>Yes</t>
        </is>
      </c>
      <c r="T95" s="134" t="inlineStr">
        <is>
          <t>Integrated from cleaned high-signal dataset</t>
        </is>
      </c>
    </row>
    <row r="96" ht="26" customHeight="1" s="76">
      <c r="A96" s="134" t="inlineStr">
        <is>
          <t>carnosic acid</t>
        </is>
      </c>
      <c r="B96" s="134" t="inlineStr">
        <is>
          <t>carnosic acid</t>
        </is>
      </c>
      <c r="C96" s="134" t="n"/>
      <c r="D96" s="134" t="inlineStr">
        <is>
          <t>organic acid</t>
        </is>
      </c>
      <c r="E96" s="134" t="inlineStr">
        <is>
          <t>insufficient evidence</t>
        </is>
      </c>
      <c r="F96" s="134" t="inlineStr">
        <is>
          <t>multi-target signaling modulation</t>
        </is>
      </c>
      <c r="G96" s="134" t="inlineStr">
        <is>
          <t>general or unknown targets</t>
        </is>
      </c>
      <c r="H96" s="134" t="inlineStr">
        <is>
          <t>Oral; antioxidant and cholagogue</t>
        </is>
      </c>
      <c r="I96" s="134" t="inlineStr">
        <is>
          <t>low</t>
        </is>
      </c>
      <c r="J96" s="134" t="inlineStr">
        <is>
          <t>no well-documented interactions</t>
        </is>
      </c>
      <c r="K96" s="134" t="n"/>
      <c r="L96" s="134" t="inlineStr">
        <is>
          <t>compound_level</t>
        </is>
      </c>
      <c r="M96" s="134" t="inlineStr">
        <is>
          <t>https://plants.sc.egov.usda.gov/home/search?query=Rosmarinus%20officinalis | https://pubchem.ncbi.nlm.nih.gov/#query=carnosic%20acid</t>
        </is>
      </c>
      <c r="N96" s="134" t="inlineStr">
        <is>
          <t>inferred_plus_trusted_gov</t>
        </is>
      </c>
      <c r="O96" s="134" t="inlineStr">
        <is>
          <t>scientific name; PubChem compound page (NIH); USDA Plants database</t>
        </is>
      </c>
      <c r="P96" s="134" t="n"/>
      <c r="Q96" s="134" t="inlineStr">
        <is>
          <t>rosmarinus-officinalis</t>
        </is>
      </c>
      <c r="R96" s="134" t="n">
        <v>1</v>
      </c>
      <c r="S96" s="134" t="inlineStr">
        <is>
          <t>Yes</t>
        </is>
      </c>
      <c r="T96" s="134" t="inlineStr">
        <is>
          <t>Integrated from cleaned high-signal dataset</t>
        </is>
      </c>
    </row>
    <row r="97" ht="26" customHeight="1" s="76">
      <c r="A97" s="134" t="inlineStr">
        <is>
          <t>carpaine</t>
        </is>
      </c>
      <c r="B97" s="134" t="inlineStr">
        <is>
          <t>carpaine</t>
        </is>
      </c>
      <c r="C97" s="134" t="n"/>
      <c r="D97" s="134" t="inlineStr">
        <is>
          <t>other</t>
        </is>
      </c>
      <c r="E97" s="134" t="inlineStr">
        <is>
          <t>insufficient evidence</t>
        </is>
      </c>
      <c r="F97" s="134" t="inlineStr">
        <is>
          <t>multi-target signaling modulation</t>
        </is>
      </c>
      <c r="G97" s="134" t="inlineStr">
        <is>
          <t>general or unknown targets</t>
        </is>
      </c>
      <c r="H97" s="134" t="inlineStr">
        <is>
          <t>moderate absorption; hepatic metabolism</t>
        </is>
      </c>
      <c r="I97" s="134" t="inlineStr">
        <is>
          <t>low</t>
        </is>
      </c>
      <c r="J97" s="134" t="inlineStr">
        <is>
          <t>no well-documented interactions</t>
        </is>
      </c>
      <c r="K97" s="134" t="n"/>
      <c r="L97" s="134" t="inlineStr">
        <is>
          <t>compound_level</t>
        </is>
      </c>
      <c r="M97" s="134" t="inlineStr">
        <is>
          <t>https://plants.sc.egov.usda.gov/home/search?query=carica%20papaya | https://pubchem.ncbi.nlm.nih.gov/#query=carpaine</t>
        </is>
      </c>
      <c r="N97" s="134" t="inlineStr">
        <is>
          <t>trusted_gov_added</t>
        </is>
      </c>
      <c r="O97" s="134" t="inlineStr">
        <is>
          <t>PubChem compound page (NIH); USDA Plants database</t>
        </is>
      </c>
      <c r="P97" s="134" t="n"/>
      <c r="Q97" s="134" t="inlineStr">
        <is>
          <t>carica-papaya</t>
        </is>
      </c>
      <c r="R97" s="134" t="n">
        <v>1</v>
      </c>
      <c r="S97" s="134" t="inlineStr">
        <is>
          <t>Yes</t>
        </is>
      </c>
      <c r="T97" s="134" t="inlineStr">
        <is>
          <t>Integrated from cleaned high-signal dataset</t>
        </is>
      </c>
    </row>
    <row r="98" ht="26" customHeight="1" s="76">
      <c r="A98" s="134" t="inlineStr">
        <is>
          <t>carvacrol</t>
        </is>
      </c>
      <c r="B98" s="134" t="inlineStr">
        <is>
          <t>carvacrol</t>
        </is>
      </c>
      <c r="C98" s="134" t="n"/>
      <c r="D98" s="134" t="inlineStr">
        <is>
          <t>phenolic monoterpenoid</t>
        </is>
      </c>
      <c r="E98" s="134" t="inlineStr">
        <is>
          <t>Activates TRPV3 and TRPA1; broader anti-inflammatory signaling is supported in preclinical/review literature.</t>
        </is>
      </c>
      <c r="F98" s="134" t="inlineStr">
        <is>
          <t>multi-target signaling modulation</t>
        </is>
      </c>
      <c r="G98" s="134" t="inlineStr">
        <is>
          <t>NF-kB pathway modulation; TRPA1 activation; TRPV3 activation; general or unknown targets</t>
        </is>
      </c>
      <c r="H98" s="134" t="inlineStr">
        <is>
          <t>Limited human PK/interactions data for this pass; keep systemic disposition claims conservative.</t>
        </is>
      </c>
      <c r="I98" s="134" t="inlineStr">
        <is>
          <t>Irritation and sensitization potential at higher exposure; topical and mucosal tolerability matter.</t>
        </is>
      </c>
      <c r="J98" s="134" t="inlineStr">
        <is>
          <t>Other topical irritants/counterirritants (possible additive sensory irritation); CYP-mediated interactions remain plausible but not well established clinically.</t>
        </is>
      </c>
      <c r="K98" s="134" t="inlineStr">
        <is>
          <t>moderate</t>
        </is>
      </c>
      <c r="L98" s="134" t="inlineStr">
        <is>
          <t>Sprint3</t>
        </is>
      </c>
      <c r="M98" s="134" t="inlineStr">
        <is>
          <t>https://plants.sc.egov.usda.gov/home/search?query=Monarda%20fistulosa | https://plants.sc.egov.usda.gov/home/search?query=Origanum%20vulgare | https://plants.sc.egov.usda.gov/home/search?query=thymus%20vulgaris | https://pmc.ncbi.nlm.nih.gov/articles/PMC8920929/ | https://pmc.ncbi.nlm.nih.gov/articles/PMC9632228/ | https://pubchem.ncbi.nlm.nih.gov/#query=carvacrol</t>
        </is>
      </c>
      <c r="N98" s="134" t="inlineStr">
        <is>
          <t>inferred_plus_trusted_gov; trusted_gov_added</t>
        </is>
      </c>
      <c r="O98" s="134" t="inlineStr">
        <is>
          <t>PubChem compound page (NIH); USDA Plants database; scientific name; PubChem compound page (NIH); USDA Plants database</t>
        </is>
      </c>
      <c r="P98" s="134" t="inlineStr">
        <is>
          <t>precision_monographs_sprint3.xlsx</t>
        </is>
      </c>
      <c r="Q98" s="134" t="inlineStr">
        <is>
          <t>monarda-fistulosa; origanum-vulgare; thymus-vulgaris</t>
        </is>
      </c>
      <c r="R98" s="134" t="n">
        <v>3</v>
      </c>
      <c r="S98" s="134" t="inlineStr">
        <is>
          <t>Yes</t>
        </is>
      </c>
      <c r="T98" s="134" t="inlineStr">
        <is>
          <t>Integrated from cleaned high-signal dataset; Integrated from compound monograph workbook</t>
        </is>
      </c>
    </row>
    <row r="99" ht="26" customHeight="1" s="76">
      <c r="A99" s="134" t="inlineStr">
        <is>
          <t>carvone</t>
        </is>
      </c>
      <c r="B99" s="134" t="inlineStr">
        <is>
          <t>carvone</t>
        </is>
      </c>
      <c r="C99" s="134" t="n"/>
      <c r="D99" s="134" t="inlineStr">
        <is>
          <t>other</t>
        </is>
      </c>
      <c r="E99" s="134" t="inlineStr">
        <is>
          <t>insufficient evidence</t>
        </is>
      </c>
      <c r="F99" s="134" t="inlineStr">
        <is>
          <t>multi-target signaling modulation</t>
        </is>
      </c>
      <c r="G99" s="134" t="inlineStr">
        <is>
          <t>general or unknown targets</t>
        </is>
      </c>
      <c r="H99" s="134" t="inlineStr">
        <is>
          <t>Inhalation/topical; calming and antiseptic</t>
        </is>
      </c>
      <c r="I99" s="134" t="inlineStr">
        <is>
          <t>low</t>
        </is>
      </c>
      <c r="J99" s="134" t="inlineStr">
        <is>
          <t>no well-documented interactions</t>
        </is>
      </c>
      <c r="K99" s="134" t="n"/>
      <c r="L99" s="134" t="inlineStr">
        <is>
          <t>compound_level</t>
        </is>
      </c>
      <c r="M99" s="134" t="inlineStr">
        <is>
          <t>https://plants.sc.egov.usda.gov/home/search?query=Bursera%20graveolens | https://plants.sc.egov.usda.gov/home/search?query=Lippia%20alba | https://pubchem.ncbi.nlm.nih.gov/#query=carvone</t>
        </is>
      </c>
      <c r="N99" s="134" t="inlineStr">
        <is>
          <t>inferred_plus_trusted_gov</t>
        </is>
      </c>
      <c r="O99" s="134" t="inlineStr">
        <is>
          <t>scientific name; PubChem compound page (NIH); USDA Plants database</t>
        </is>
      </c>
      <c r="P99" s="134" t="n"/>
      <c r="Q99" s="134" t="inlineStr">
        <is>
          <t>bursera-graveolens; lippia-alba</t>
        </is>
      </c>
      <c r="R99" s="134" t="n">
        <v>2</v>
      </c>
      <c r="S99" s="134" t="inlineStr">
        <is>
          <t>Yes</t>
        </is>
      </c>
      <c r="T99" s="134" t="inlineStr">
        <is>
          <t>Integrated from cleaned high-signal dataset</t>
        </is>
      </c>
    </row>
    <row r="100" ht="26" customHeight="1" s="76">
      <c r="A100" s="134" t="inlineStr">
        <is>
          <t>casimiroedine</t>
        </is>
      </c>
      <c r="B100" s="134" t="inlineStr">
        <is>
          <t>casimiroedine</t>
        </is>
      </c>
      <c r="C100" s="134" t="n"/>
      <c r="D100" s="134" t="inlineStr">
        <is>
          <t>other</t>
        </is>
      </c>
      <c r="E100" s="134" t="inlineStr">
        <is>
          <t>insufficient evidence</t>
        </is>
      </c>
      <c r="F100" s="134" t="inlineStr">
        <is>
          <t>multi-target signaling modulation</t>
        </is>
      </c>
      <c r="G100" s="134" t="inlineStr">
        <is>
          <t>general or unknown targets</t>
        </is>
      </c>
      <c r="H100" s="134" t="inlineStr">
        <is>
          <t>moderate absorption; hepatic metabolism</t>
        </is>
      </c>
      <c r="I100" s="134" t="inlineStr">
        <is>
          <t>low</t>
        </is>
      </c>
      <c r="J100" s="134" t="inlineStr">
        <is>
          <t>no well-documented interactions</t>
        </is>
      </c>
      <c r="K100" s="134" t="n"/>
      <c r="L100" s="134" t="inlineStr">
        <is>
          <t>compound_level</t>
        </is>
      </c>
      <c r="M100" s="134" t="inlineStr">
        <is>
          <t>https://plants.sc.egov.usda.gov/home/search?query=casimiroa%20edulis | https://pubchem.ncbi.nlm.nih.gov/#query=casimiroedine</t>
        </is>
      </c>
      <c r="N100" s="134" t="inlineStr">
        <is>
          <t>trusted_gov_added</t>
        </is>
      </c>
      <c r="O100" s="134" t="inlineStr">
        <is>
          <t>PubChem compound page (NIH); USDA Plants database</t>
        </is>
      </c>
      <c r="P100" s="134" t="n"/>
      <c r="Q100" s="134" t="inlineStr">
        <is>
          <t>casimiroa-edulis</t>
        </is>
      </c>
      <c r="R100" s="134" t="n">
        <v>1</v>
      </c>
      <c r="S100" s="134" t="inlineStr">
        <is>
          <t>Yes</t>
        </is>
      </c>
      <c r="T100" s="134" t="inlineStr">
        <is>
          <t>Integrated from cleaned high-signal dataset</t>
        </is>
      </c>
    </row>
    <row r="101" ht="26" customHeight="1" s="76">
      <c r="A101" s="134" t="inlineStr">
        <is>
          <t>casticin</t>
        </is>
      </c>
      <c r="B101" s="134" t="inlineStr">
        <is>
          <t>casticin</t>
        </is>
      </c>
      <c r="C101" s="134" t="n"/>
      <c r="D101" s="134" t="inlineStr">
        <is>
          <t>Casticin, flavonoids, iridoids</t>
        </is>
      </c>
      <c r="E101" s="134" t="inlineStr">
        <is>
          <t>insufficient evidence</t>
        </is>
      </c>
      <c r="F101" s="134" t="inlineStr">
        <is>
          <t>multi-target signaling modulation</t>
        </is>
      </c>
      <c r="G101" s="134" t="inlineStr">
        <is>
          <t>general or unknown targets</t>
        </is>
      </c>
      <c r="H101" s="134" t="inlineStr">
        <is>
          <t>Oral; modulates estrogenic pathways</t>
        </is>
      </c>
      <c r="I101" s="134" t="inlineStr">
        <is>
          <t>low</t>
        </is>
      </c>
      <c r="J101" s="134" t="inlineStr">
        <is>
          <t>no well-documented interactions</t>
        </is>
      </c>
      <c r="K101" s="134" t="n"/>
      <c r="L101" s="134" t="inlineStr">
        <is>
          <t>compound_level</t>
        </is>
      </c>
      <c r="M101" s="134" t="inlineStr">
        <is>
          <t>https://plants.sc.egov.usda.gov/home/search?query=Vitex%20trifolia | https://pubchem.ncbi.nlm.nih.gov/#query=casticin</t>
        </is>
      </c>
      <c r="N101" s="134" t="inlineStr">
        <is>
          <t>inferred_plus_trusted_gov</t>
        </is>
      </c>
      <c r="O101" s="134" t="inlineStr">
        <is>
          <t>scientific name; PubChem compound page (NIH); USDA Plants database</t>
        </is>
      </c>
      <c r="P101" s="134" t="n"/>
      <c r="Q101" s="134" t="inlineStr">
        <is>
          <t>vitex-trifolia</t>
        </is>
      </c>
      <c r="R101" s="134" t="n">
        <v>1</v>
      </c>
      <c r="S101" s="134" t="inlineStr">
        <is>
          <t>Yes</t>
        </is>
      </c>
      <c r="T101" s="134" t="inlineStr">
        <is>
          <t>Integrated from cleaned high-signal dataset</t>
        </is>
      </c>
    </row>
    <row r="102" ht="26" customHeight="1" s="76">
      <c r="A102" s="134" t="inlineStr">
        <is>
          <t>catechins</t>
        </is>
      </c>
      <c r="B102" s="134" t="inlineStr">
        <is>
          <t>catechins (egcg)</t>
        </is>
      </c>
      <c r="C102" s="134" t="n"/>
      <c r="D102" s="134" t="inlineStr">
        <is>
          <t>flavonoid</t>
        </is>
      </c>
      <c r="E102" s="134" t="inlineStr">
        <is>
          <t>EGCG inhibits catechol-O-methyltransferase (COMT) and activates AMPK; caffeine antagonizes adenosine A1 and A2A receptors.</t>
        </is>
      </c>
      <c r="F102" s="134" t="inlineStr">
        <is>
          <t>adenosine receptor antagonism</t>
        </is>
      </c>
      <c r="G102" s="134" t="inlineStr">
        <is>
          <t>adenosine_antagonism</t>
        </is>
      </c>
      <c r="H102" s="134" t="inlineStr">
        <is>
          <t>moderate absorption; extensive metabolism</t>
        </is>
      </c>
      <c r="I102" s="134" t="inlineStr">
        <is>
          <t>low</t>
        </is>
      </c>
      <c r="J102" s="134" t="inlineStr">
        <is>
          <t>no well-documented interactions</t>
        </is>
      </c>
      <c r="K102" s="134" t="n"/>
      <c r="L102" s="134" t="inlineStr">
        <is>
          <t>compound_level</t>
        </is>
      </c>
      <c r="M102" s="134" t="inlineStr">
        <is>
          <t>https://plants.sc.egov.usda.gov/home/search?query=camellia%20sinensis | https://pubchem.ncbi.nlm.nih.gov/#query=catechins%20%28egcg%29</t>
        </is>
      </c>
      <c r="N102" s="134" t="inlineStr">
        <is>
          <t>trusted_gov_added</t>
        </is>
      </c>
      <c r="O102" s="134" t="inlineStr">
        <is>
          <t>PubChem compound page (NIH); USDA Plants database</t>
        </is>
      </c>
      <c r="P102" s="134" t="n"/>
      <c r="Q102" s="134" t="inlineStr">
        <is>
          <t>camellia-sinensis</t>
        </is>
      </c>
      <c r="R102" s="134" t="n">
        <v>1</v>
      </c>
      <c r="S102" s="134" t="inlineStr">
        <is>
          <t>Yes</t>
        </is>
      </c>
      <c r="T102" s="134" t="inlineStr">
        <is>
          <t>Integrated from cleaned high-signal dataset</t>
        </is>
      </c>
    </row>
    <row r="103" ht="26" customHeight="1" s="76">
      <c r="A103" s="134" t="inlineStr">
        <is>
          <t>cathine</t>
        </is>
      </c>
      <c r="B103" s="134" t="inlineStr">
        <is>
          <t>cathine</t>
        </is>
      </c>
      <c r="C103" s="134" t="n"/>
      <c r="D103" s="134" t="inlineStr">
        <is>
          <t>other</t>
        </is>
      </c>
      <c r="E103" s="134" t="inlineStr">
        <is>
          <t>insufficient evidence</t>
        </is>
      </c>
      <c r="F103" s="134" t="inlineStr">
        <is>
          <t>multi-target signaling modulation</t>
        </is>
      </c>
      <c r="G103" s="134" t="inlineStr">
        <is>
          <t>dopaminergic_modulation</t>
        </is>
      </c>
      <c r="H103" s="134" t="inlineStr">
        <is>
          <t>moderate absorption; hepatic metabolism</t>
        </is>
      </c>
      <c r="I103" s="134" t="inlineStr">
        <is>
          <t>low</t>
        </is>
      </c>
      <c r="J103" s="134" t="inlineStr">
        <is>
          <t>no well-documented interactions</t>
        </is>
      </c>
      <c r="K103" s="134" t="n"/>
      <c r="L103" s="134" t="inlineStr">
        <is>
          <t>compound_level</t>
        </is>
      </c>
      <c r="M103" s="134" t="inlineStr">
        <is>
          <t>https://plants.sc.egov.usda.gov/home/search?query=catha%20edulis | https://pubchem.ncbi.nlm.nih.gov/#query=cathine</t>
        </is>
      </c>
      <c r="N103" s="134" t="inlineStr">
        <is>
          <t>trusted_gov_added</t>
        </is>
      </c>
      <c r="O103" s="134" t="inlineStr">
        <is>
          <t>PubChem compound page (NIH); USDA Plants database</t>
        </is>
      </c>
      <c r="P103" s="134" t="n"/>
      <c r="Q103" s="134" t="inlineStr">
        <is>
          <t>catha-edulis</t>
        </is>
      </c>
      <c r="R103" s="134" t="n">
        <v>1</v>
      </c>
      <c r="S103" s="134" t="inlineStr">
        <is>
          <t>Yes</t>
        </is>
      </c>
      <c r="T103" s="134" t="inlineStr">
        <is>
          <t>Integrated from cleaned high-signal dataset</t>
        </is>
      </c>
    </row>
    <row r="104" ht="26" customHeight="1" s="76">
      <c r="A104" s="134" t="inlineStr">
        <is>
          <t>cathinone</t>
        </is>
      </c>
      <c r="B104" s="134" t="inlineStr">
        <is>
          <t>cathinone</t>
        </is>
      </c>
      <c r="C104" s="134" t="n"/>
      <c r="D104" s="134" t="inlineStr">
        <is>
          <t>other</t>
        </is>
      </c>
      <c r="E104" s="134" t="inlineStr">
        <is>
          <t>insufficient evidence</t>
        </is>
      </c>
      <c r="F104" s="134" t="inlineStr">
        <is>
          <t>multi-target signaling modulation</t>
        </is>
      </c>
      <c r="G104" s="134" t="inlineStr">
        <is>
          <t>dopaminergic_modulation</t>
        </is>
      </c>
      <c r="H104" s="134" t="inlineStr">
        <is>
          <t>moderate absorption; hepatic metabolism</t>
        </is>
      </c>
      <c r="I104" s="134" t="inlineStr">
        <is>
          <t>low</t>
        </is>
      </c>
      <c r="J104" s="134" t="inlineStr">
        <is>
          <t>no well-documented interactions</t>
        </is>
      </c>
      <c r="K104" s="134" t="n"/>
      <c r="L104" s="134" t="inlineStr">
        <is>
          <t>compound_level</t>
        </is>
      </c>
      <c r="M104" s="134" t="inlineStr">
        <is>
          <t>https://plants.sc.egov.usda.gov/home/search?query=catha%20edulis | https://pubchem.ncbi.nlm.nih.gov/#query=cathinone</t>
        </is>
      </c>
      <c r="N104" s="134" t="inlineStr">
        <is>
          <t>trusted_gov_added</t>
        </is>
      </c>
      <c r="O104" s="134" t="inlineStr">
        <is>
          <t>PubChem compound page (NIH); USDA Plants database</t>
        </is>
      </c>
      <c r="P104" s="134" t="n"/>
      <c r="Q104" s="134" t="inlineStr">
        <is>
          <t>catha-edulis</t>
        </is>
      </c>
      <c r="R104" s="134" t="n">
        <v>1</v>
      </c>
      <c r="S104" s="134" t="inlineStr">
        <is>
          <t>Yes</t>
        </is>
      </c>
      <c r="T104" s="134" t="inlineStr">
        <is>
          <t>Integrated from cleaned high-signal dataset</t>
        </is>
      </c>
    </row>
    <row r="105" ht="26" customHeight="1" s="76">
      <c r="A105" s="134" t="inlineStr">
        <is>
          <t>cbd</t>
        </is>
      </c>
      <c r="B105" s="134" t="inlineStr">
        <is>
          <t>cbd</t>
        </is>
      </c>
      <c r="C105" s="134" t="n"/>
      <c r="D105" s="134" t="inlineStr">
        <is>
          <t>terpenes</t>
        </is>
      </c>
      <c r="E105" s="134" t="inlineStr">
        <is>
          <t>THC acts at CB1 receptors; terpenes may modulate neurotransmitter systems and pharmacokinetics.</t>
        </is>
      </c>
      <c r="F105" s="134" t="inlineStr">
        <is>
          <t>multi-target signaling modulation</t>
        </is>
      </c>
      <c r="G105" s="134" t="inlineStr">
        <is>
          <t>endocannabinoid_modulation</t>
        </is>
      </c>
      <c r="H105" s="134" t="inlineStr">
        <is>
          <t>Absorption and bioavailability vary; some compounds metabolized via cytochrome P450 enzymes.</t>
        </is>
      </c>
      <c r="I105" s="134" t="inlineStr">
        <is>
          <t>low</t>
        </is>
      </c>
      <c r="J105" s="134" t="inlineStr">
        <is>
          <t>no well-documented interactions</t>
        </is>
      </c>
      <c r="K105" s="134" t="n"/>
      <c r="L105" s="134" t="inlineStr">
        <is>
          <t>compound_level</t>
        </is>
      </c>
      <c r="M105" s="134" t="inlineStr">
        <is>
          <t>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https://pubchem.ncbi.nlm.nih.gov/#query=cbd</t>
        </is>
      </c>
      <c r="N105" s="134" t="inlineStr">
        <is>
          <t>inferred_plus_trusted_gov; trusted_gov_added</t>
        </is>
      </c>
      <c r="O105" s="134" t="inlineStr">
        <is>
          <t>PubChem compound page (NIH); USDA Plants database; scientific name; PubChem compound page (NIH); USDA Plants database</t>
        </is>
      </c>
      <c r="P105" s="134" t="n"/>
      <c r="Q105" s="134" t="inlineStr">
        <is>
          <t>cannabis-indica; cannabis-ruderalis; cannabis-sativa; cannabis-sativa-african-varieties</t>
        </is>
      </c>
      <c r="R105" s="134" t="n">
        <v>4</v>
      </c>
      <c r="S105" s="134" t="inlineStr">
        <is>
          <t>Yes</t>
        </is>
      </c>
      <c r="T105" s="134" t="inlineStr">
        <is>
          <t>Integrated from cleaned high-signal dataset</t>
        </is>
      </c>
    </row>
    <row r="106" ht="26" customHeight="1" s="76">
      <c r="A106" s="134" t="inlineStr">
        <is>
          <t>celapagin</t>
        </is>
      </c>
      <c r="B106" s="134" t="inlineStr">
        <is>
          <t>celapagin</t>
        </is>
      </c>
      <c r="C106" s="134" t="n"/>
      <c r="D106" s="134" t="inlineStr">
        <is>
          <t>other</t>
        </is>
      </c>
      <c r="E106" s="134" t="inlineStr">
        <is>
          <t>insufficient evidence</t>
        </is>
      </c>
      <c r="F106" s="134" t="inlineStr">
        <is>
          <t>multi-target signaling modulation</t>
        </is>
      </c>
      <c r="G106" s="134" t="inlineStr">
        <is>
          <t>general or unknown targets</t>
        </is>
      </c>
      <c r="H106" s="134" t="inlineStr">
        <is>
          <t>moderate absorption; hepatic metabolism</t>
        </is>
      </c>
      <c r="I106" s="134" t="inlineStr">
        <is>
          <t>low</t>
        </is>
      </c>
      <c r="J106" s="134" t="inlineStr">
        <is>
          <t>no well-documented interactions</t>
        </is>
      </c>
      <c r="K106" s="134" t="n"/>
      <c r="L106" s="134" t="inlineStr">
        <is>
          <t>compound_level</t>
        </is>
      </c>
      <c r="M106" s="134" t="inlineStr">
        <is>
          <t>https://plants.sc.egov.usda.gov/home/search?query=Celastrus%20Paniculatus | https://plants.sc.egov.usda.gov/home/search?query=celastrus%20paniculatus | https://pubchem.ncbi.nlm.nih.gov/#query=celapagin</t>
        </is>
      </c>
      <c r="N106" s="134" t="inlineStr">
        <is>
          <t>trusted_gov_added</t>
        </is>
      </c>
      <c r="O106" s="134" t="inlineStr">
        <is>
          <t>PubChem compound page (NIH); USDA Plants database</t>
        </is>
      </c>
      <c r="P106" s="134" t="n"/>
      <c r="Q106" s="134" t="inlineStr">
        <is>
          <t>celastrus-paniculatus; celastrus-paniculatus-intellect-tree</t>
        </is>
      </c>
      <c r="R106" s="134" t="n">
        <v>2</v>
      </c>
      <c r="S106" s="134" t="inlineStr">
        <is>
          <t>Yes</t>
        </is>
      </c>
      <c r="T106" s="134" t="inlineStr">
        <is>
          <t>Integrated from cleaned high-signal dataset</t>
        </is>
      </c>
    </row>
    <row r="107" ht="26" customHeight="1" s="76">
      <c r="A107" s="134" t="inlineStr">
        <is>
          <t>celapanin</t>
        </is>
      </c>
      <c r="B107" s="134" t="inlineStr">
        <is>
          <t>celapanin</t>
        </is>
      </c>
      <c r="C107" s="134" t="n"/>
      <c r="D107" s="134" t="inlineStr">
        <is>
          <t>other</t>
        </is>
      </c>
      <c r="E107" s="134" t="inlineStr">
        <is>
          <t>insufficient evidence</t>
        </is>
      </c>
      <c r="F107" s="134" t="inlineStr">
        <is>
          <t>multi-target signaling modulation</t>
        </is>
      </c>
      <c r="G107" s="134" t="inlineStr">
        <is>
          <t>general or unknown targets</t>
        </is>
      </c>
      <c r="H107" s="134" t="inlineStr">
        <is>
          <t>moderate absorption; hepatic metabolism</t>
        </is>
      </c>
      <c r="I107" s="134" t="inlineStr">
        <is>
          <t>low</t>
        </is>
      </c>
      <c r="J107" s="134" t="inlineStr">
        <is>
          <t>no well-documented interactions</t>
        </is>
      </c>
      <c r="K107" s="134" t="n"/>
      <c r="L107" s="134" t="inlineStr">
        <is>
          <t>compound_level</t>
        </is>
      </c>
      <c r="M107" s="134" t="inlineStr">
        <is>
          <t>https://plants.sc.egov.usda.gov/home/search?query=Celastrus%20Paniculatus | https://plants.sc.egov.usda.gov/home/search?query=celastrus%20paniculatus | https://pubchem.ncbi.nlm.nih.gov/#query=celapanin</t>
        </is>
      </c>
      <c r="N107" s="134" t="inlineStr">
        <is>
          <t>trusted_gov_added</t>
        </is>
      </c>
      <c r="O107" s="134" t="inlineStr">
        <is>
          <t>PubChem compound page (NIH); USDA Plants database</t>
        </is>
      </c>
      <c r="P107" s="134" t="n"/>
      <c r="Q107" s="134" t="inlineStr">
        <is>
          <t>celastrus-paniculatus; celastrus-paniculatus-intellect-tree</t>
        </is>
      </c>
      <c r="R107" s="134" t="n">
        <v>2</v>
      </c>
      <c r="S107" s="134" t="inlineStr">
        <is>
          <t>Yes</t>
        </is>
      </c>
      <c r="T107" s="134" t="inlineStr">
        <is>
          <t>Integrated from cleaned high-signal dataset</t>
        </is>
      </c>
    </row>
    <row r="108" ht="26" customHeight="1" s="76">
      <c r="A108" s="134" t="inlineStr">
        <is>
          <t>celastrine</t>
        </is>
      </c>
      <c r="B108" s="134" t="inlineStr">
        <is>
          <t>celastrine</t>
        </is>
      </c>
      <c r="C108" s="134" t="n"/>
      <c r="D108" s="134" t="inlineStr">
        <is>
          <t>other</t>
        </is>
      </c>
      <c r="E108" s="134" t="inlineStr">
        <is>
          <t>insufficient evidence</t>
        </is>
      </c>
      <c r="F108" s="134" t="inlineStr">
        <is>
          <t>multi-target signaling modulation</t>
        </is>
      </c>
      <c r="G108" s="134" t="inlineStr">
        <is>
          <t>general or unknown targets</t>
        </is>
      </c>
      <c r="H108" s="134" t="inlineStr">
        <is>
          <t>moderate absorption; hepatic metabolism</t>
        </is>
      </c>
      <c r="I108" s="134" t="inlineStr">
        <is>
          <t>low</t>
        </is>
      </c>
      <c r="J108" s="134" t="inlineStr">
        <is>
          <t>no well-documented interactions</t>
        </is>
      </c>
      <c r="K108" s="134" t="n"/>
      <c r="L108" s="134" t="inlineStr">
        <is>
          <t>compound_level</t>
        </is>
      </c>
      <c r="M108" s="134" t="inlineStr">
        <is>
          <t>https://plants.sc.egov.usda.gov/home/search?query=Celastrus%20Paniculatus | https://plants.sc.egov.usda.gov/home/search?query=celastrus%20paniculatus | https://pubchem.ncbi.nlm.nih.gov/#query=celastrine</t>
        </is>
      </c>
      <c r="N108" s="134" t="inlineStr">
        <is>
          <t>trusted_gov_added</t>
        </is>
      </c>
      <c r="O108" s="134" t="inlineStr">
        <is>
          <t>PubChem compound page (NIH); USDA Plants database</t>
        </is>
      </c>
      <c r="P108" s="134" t="n"/>
      <c r="Q108" s="134" t="inlineStr">
        <is>
          <t>celastrus-paniculatus; celastrus-paniculatus-intellect-tree</t>
        </is>
      </c>
      <c r="R108" s="134" t="n">
        <v>2</v>
      </c>
      <c r="S108" s="134" t="inlineStr">
        <is>
          <t>Yes</t>
        </is>
      </c>
      <c r="T108" s="134" t="inlineStr">
        <is>
          <t>Integrated from cleaned high-signal dataset</t>
        </is>
      </c>
    </row>
    <row r="109" ht="26" customHeight="1" s="76">
      <c r="A109" s="134" t="inlineStr">
        <is>
          <t>cephaeline</t>
        </is>
      </c>
      <c r="B109" s="134" t="inlineStr">
        <is>
          <t>cephaeline</t>
        </is>
      </c>
      <c r="C109" s="134" t="n"/>
      <c r="D109" s="134" t="inlineStr">
        <is>
          <t>Emetine, cephaeline, alkaloids</t>
        </is>
      </c>
      <c r="E109" s="134" t="inlineStr">
        <is>
          <t>insufficient evidence</t>
        </is>
      </c>
      <c r="F109" s="134" t="inlineStr">
        <is>
          <t>multi-target signaling modulation</t>
        </is>
      </c>
      <c r="G109" s="134" t="inlineStr">
        <is>
          <t>general or unknown targets</t>
        </is>
      </c>
      <c r="H109" s="134" t="inlineStr">
        <is>
          <t>Oral; expectorant and anti-protozoal</t>
        </is>
      </c>
      <c r="I109" s="134" t="inlineStr">
        <is>
          <t>low</t>
        </is>
      </c>
      <c r="J109" s="134" t="inlineStr">
        <is>
          <t>no well-documented interactions</t>
        </is>
      </c>
      <c r="K109" s="134" t="n"/>
      <c r="L109" s="134" t="inlineStr">
        <is>
          <t>compound_level</t>
        </is>
      </c>
      <c r="M109" s="134" t="inlineStr">
        <is>
          <t>https://plants.sc.egov.usda.gov/home/search?query=Cephaelis%20ipecacuanha | https://pubchem.ncbi.nlm.nih.gov/#query=cephaeline</t>
        </is>
      </c>
      <c r="N109" s="134" t="inlineStr">
        <is>
          <t>inferred_plus_trusted_gov</t>
        </is>
      </c>
      <c r="O109" s="134" t="inlineStr">
        <is>
          <t>scientific name; PubChem compound page (NIH); USDA Plants database</t>
        </is>
      </c>
      <c r="P109" s="134" t="n"/>
      <c r="Q109" s="134" t="inlineStr">
        <is>
          <t>cephaelis-ipecacuanha</t>
        </is>
      </c>
      <c r="R109" s="134" t="n">
        <v>1</v>
      </c>
      <c r="S109" s="134" t="inlineStr">
        <is>
          <t>Yes</t>
        </is>
      </c>
      <c r="T109" s="134" t="inlineStr">
        <is>
          <t>Integrated from cleaned high-signal dataset</t>
        </is>
      </c>
    </row>
    <row r="110" ht="26" customHeight="1" s="76">
      <c r="A110" s="134" t="inlineStr">
        <is>
          <t>cepharanthine</t>
        </is>
      </c>
      <c r="B110" s="134" t="inlineStr">
        <is>
          <t>cepharanthine</t>
        </is>
      </c>
      <c r="C110" s="134" t="n"/>
      <c r="D110" s="134" t="inlineStr">
        <is>
          <t>biscoclaurine alkaloids</t>
        </is>
      </c>
      <c r="E110" s="134" t="inlineStr">
        <is>
          <t>insufficient evidence</t>
        </is>
      </c>
      <c r="F110" s="134" t="inlineStr">
        <is>
          <t>multi-target signaling modulation</t>
        </is>
      </c>
      <c r="G110" s="134" t="inlineStr">
        <is>
          <t>general or unknown targets</t>
        </is>
      </c>
      <c r="H110" s="134" t="inlineStr">
        <is>
          <t>Absorption and bioavailability vary; some compounds metabolized via cytochrome P450 enzymes.</t>
        </is>
      </c>
      <c r="I110" s="134" t="inlineStr">
        <is>
          <t>low</t>
        </is>
      </c>
      <c r="J110" s="134" t="inlineStr">
        <is>
          <t>no well-documented interactions</t>
        </is>
      </c>
      <c r="K110" s="134" t="n"/>
      <c r="L110" s="134" t="inlineStr">
        <is>
          <t>compound_level</t>
        </is>
      </c>
      <c r="M110" s="134" t="inlineStr">
        <is>
          <t>https://plants.sc.egov.usda.gov/home/search?query=Stephania%20cepharantha | https://pubchem.ncbi.nlm.nih.gov/#query=cepharanthine</t>
        </is>
      </c>
      <c r="N110" s="134" t="inlineStr">
        <is>
          <t>inferred_plus_trusted_gov</t>
        </is>
      </c>
      <c r="O110" s="134" t="inlineStr">
        <is>
          <t>scientific name; PubChem compound page (NIH); USDA Plants database</t>
        </is>
      </c>
      <c r="P110" s="134" t="n"/>
      <c r="Q110" s="134" t="inlineStr">
        <is>
          <t>stephania-cepharantha</t>
        </is>
      </c>
      <c r="R110" s="134" t="n">
        <v>1</v>
      </c>
      <c r="S110" s="134" t="inlineStr">
        <is>
          <t>Yes</t>
        </is>
      </c>
      <c r="T110" s="134" t="inlineStr">
        <is>
          <t>Integrated from cleaned high-signal dataset</t>
        </is>
      </c>
    </row>
    <row r="111" ht="26" customHeight="1" s="76">
      <c r="A111" s="134" t="inlineStr">
        <is>
          <t>chamazulene</t>
        </is>
      </c>
      <c r="B111" s="134" t="inlineStr">
        <is>
          <t>chamazulene</t>
        </is>
      </c>
      <c r="C111" s="134" t="n"/>
      <c r="D111" s="134" t="inlineStr">
        <is>
          <t>other</t>
        </is>
      </c>
      <c r="E111" s="134" t="inlineStr">
        <is>
          <t>Chamomile's CNS effects are partly attributed to apigenin, which binds at the central benzodiazepine site associated with GABA_A receptor signaling; other constituents contribute anti-inflammatory and spasmolytic activity.</t>
        </is>
      </c>
      <c r="F111" s="134" t="inlineStr">
        <is>
          <t>gaba_a_modulation; multi-target signaling modulation</t>
        </is>
      </c>
      <c r="G111" s="134" t="inlineStr">
        <is>
          <t>gabaergic_modulation; general or unknown targets; inflammatory_pathway_modulation</t>
        </is>
      </c>
      <c r="H111" s="134" t="inlineStr">
        <is>
          <t>moderate absorption; hepatic metabolism</t>
        </is>
      </c>
      <c r="I111" s="134" t="inlineStr">
        <is>
          <t>low</t>
        </is>
      </c>
      <c r="J111" s="134" t="inlineStr">
        <is>
          <t>no well-documented interactions</t>
        </is>
      </c>
      <c r="K111" s="134" t="n"/>
      <c r="L111" s="134" t="inlineStr">
        <is>
          <t>compound_level</t>
        </is>
      </c>
      <c r="M111" s="134" t="inlineStr">
        <is>
          <t>https://plants.sc.egov.usda.gov/home/search?query=Matricaria%20chamomilla | https://plants.sc.egov.usda.gov/home/search?query=chamomile | https://pubchem.ncbi.nlm.nih.gov/#query=chamazulene</t>
        </is>
      </c>
      <c r="N111" s="134" t="inlineStr">
        <is>
          <t>inferred_plus_trusted_gov; trusted_gov_added</t>
        </is>
      </c>
      <c r="O111" s="134" t="inlineStr">
        <is>
          <t>PubChem compound page (NIH); USDA Plants database; scientific name; PubChem compound page (NIH); USDA Plants database</t>
        </is>
      </c>
      <c r="P111" s="134" t="n"/>
      <c r="Q111" s="134" t="inlineStr">
        <is>
          <t>matricaria-chamomilla</t>
        </is>
      </c>
      <c r="R111" s="134" t="n">
        <v>1</v>
      </c>
      <c r="S111" s="134" t="inlineStr">
        <is>
          <t>Yes</t>
        </is>
      </c>
      <c r="T111" s="134" t="inlineStr">
        <is>
          <t>Integrated from cleaned high-signal dataset</t>
        </is>
      </c>
    </row>
    <row r="112" ht="26" customHeight="1" s="76">
      <c r="A112" s="134" t="inlineStr">
        <is>
          <t>charantin</t>
        </is>
      </c>
      <c r="B112" s="134" t="inlineStr">
        <is>
          <t>charantin</t>
        </is>
      </c>
      <c r="C112" s="134" t="n"/>
      <c r="D112" s="134" t="inlineStr">
        <is>
          <t>other</t>
        </is>
      </c>
      <c r="E112" s="134" t="inlineStr">
        <is>
          <t>insufficient evidence</t>
        </is>
      </c>
      <c r="F112" s="134" t="inlineStr">
        <is>
          <t>multi-target signaling modulation</t>
        </is>
      </c>
      <c r="G112" s="134" t="inlineStr">
        <is>
          <t>general or unknown targets</t>
        </is>
      </c>
      <c r="H112" s="134" t="inlineStr">
        <is>
          <t>Oral; insulin mimetic and antidiabetic</t>
        </is>
      </c>
      <c r="I112" s="134" t="inlineStr">
        <is>
          <t>low</t>
        </is>
      </c>
      <c r="J112" s="134" t="inlineStr">
        <is>
          <t>no well-documented interactions</t>
        </is>
      </c>
      <c r="K112" s="134" t="n"/>
      <c r="L112" s="134" t="inlineStr">
        <is>
          <t>compound_level</t>
        </is>
      </c>
      <c r="M112" s="134" t="inlineStr">
        <is>
          <t>https://plants.sc.egov.usda.gov/home/search?query=Momordica%20charantia | https://pubchem.ncbi.nlm.nih.gov/#query=charantin</t>
        </is>
      </c>
      <c r="N112" s="134" t="inlineStr">
        <is>
          <t>inferred_plus_trusted_gov</t>
        </is>
      </c>
      <c r="O112" s="134" t="inlineStr">
        <is>
          <t>scientific name; PubChem compound page (NIH); USDA Plants database</t>
        </is>
      </c>
      <c r="P112" s="134" t="n"/>
      <c r="Q112" s="134" t="inlineStr">
        <is>
          <t>momordica-charantia</t>
        </is>
      </c>
      <c r="R112" s="134" t="n">
        <v>1</v>
      </c>
      <c r="S112" s="134" t="inlineStr">
        <is>
          <t>Yes</t>
        </is>
      </c>
      <c r="T112" s="134" t="inlineStr">
        <is>
          <t>Integrated from cleaned high-signal dataset</t>
        </is>
      </c>
    </row>
    <row r="113" ht="26" customHeight="1" s="76">
      <c r="A113" s="134" t="inlineStr">
        <is>
          <t>chavicol</t>
        </is>
      </c>
      <c r="B113" s="134" t="inlineStr">
        <is>
          <t>chavicol</t>
        </is>
      </c>
      <c r="C113" s="134" t="n"/>
      <c r="D113" s="134" t="inlineStr">
        <is>
          <t>other</t>
        </is>
      </c>
      <c r="E113" s="134" t="inlineStr">
        <is>
          <t>insufficient evidence</t>
        </is>
      </c>
      <c r="F113" s="134" t="inlineStr">
        <is>
          <t>multi-target signaling modulation</t>
        </is>
      </c>
      <c r="G113" s="134" t="inlineStr">
        <is>
          <t>general or unknown targets</t>
        </is>
      </c>
      <c r="H113" s="134" t="inlineStr">
        <is>
          <t>Absorption and bioavailability vary; some compounds metabolized via cytochrome P450 enzymes.</t>
        </is>
      </c>
      <c r="I113" s="134" t="inlineStr">
        <is>
          <t>low</t>
        </is>
      </c>
      <c r="J113" s="134" t="inlineStr">
        <is>
          <t>no well-documented interactions</t>
        </is>
      </c>
      <c r="K113" s="134" t="n"/>
      <c r="L113" s="134" t="inlineStr">
        <is>
          <t>compound_level</t>
        </is>
      </c>
      <c r="M113" s="134" t="inlineStr">
        <is>
          <t>https://plants.sc.egov.usda.gov/home/search?query=Pimenta%20racemosa | https://pubchem.ncbi.nlm.nih.gov/#query=chavicol</t>
        </is>
      </c>
      <c r="N113" s="134" t="inlineStr">
        <is>
          <t>inferred_plus_trusted_gov</t>
        </is>
      </c>
      <c r="O113" s="134" t="inlineStr">
        <is>
          <t>scientific name; PubChem compound page (NIH); USDA Plants database</t>
        </is>
      </c>
      <c r="P113" s="134" t="n"/>
      <c r="Q113" s="134" t="inlineStr">
        <is>
          <t>pimenta-racemosa</t>
        </is>
      </c>
      <c r="R113" s="134" t="n">
        <v>1</v>
      </c>
      <c r="S113" s="134" t="inlineStr">
        <is>
          <t>Yes</t>
        </is>
      </c>
      <c r="T113" s="134" t="inlineStr">
        <is>
          <t>Integrated from cleaned high-signal dataset</t>
        </is>
      </c>
    </row>
    <row r="114" ht="26" customHeight="1" s="76">
      <c r="A114" s="134" t="inlineStr">
        <is>
          <t>chelerythrine</t>
        </is>
      </c>
      <c r="B114" s="134" t="inlineStr">
        <is>
          <t>chelerythrine</t>
        </is>
      </c>
      <c r="C114" s="134" t="n"/>
      <c r="D114" s="134" t="inlineStr">
        <is>
          <t>other</t>
        </is>
      </c>
      <c r="E114" s="134" t="inlineStr">
        <is>
          <t>insufficient evidence</t>
        </is>
      </c>
      <c r="F114" s="134" t="inlineStr">
        <is>
          <t>multi-target signaling modulation</t>
        </is>
      </c>
      <c r="G114" s="134" t="inlineStr">
        <is>
          <t>general or unknown targets</t>
        </is>
      </c>
      <c r="H114" s="134" t="inlineStr">
        <is>
          <t>Topical; cytotoxic and antimicrobial</t>
        </is>
      </c>
      <c r="I114" s="134" t="inlineStr">
        <is>
          <t>low</t>
        </is>
      </c>
      <c r="J114" s="134" t="inlineStr">
        <is>
          <t>no well-documented interactions</t>
        </is>
      </c>
      <c r="K114" s="134" t="n"/>
      <c r="L114" s="134" t="inlineStr">
        <is>
          <t>compound_level</t>
        </is>
      </c>
      <c r="M114" s="134" t="inlineStr">
        <is>
          <t>https://plants.sc.egov.usda.gov/home/search?query=Sanguinaria%20canadensis | https://pubchem.ncbi.nlm.nih.gov/#query=chelerythrine</t>
        </is>
      </c>
      <c r="N114" s="134" t="inlineStr">
        <is>
          <t>inferred_plus_trusted_gov</t>
        </is>
      </c>
      <c r="O114" s="134" t="inlineStr">
        <is>
          <t>scientific name; PubChem compound page (NIH); USDA Plants database</t>
        </is>
      </c>
      <c r="P114" s="134" t="n"/>
      <c r="Q114" s="134" t="inlineStr">
        <is>
          <t>sanguinaria-canadensis</t>
        </is>
      </c>
      <c r="R114" s="134" t="n">
        <v>1</v>
      </c>
      <c r="S114" s="134" t="inlineStr">
        <is>
          <t>Yes</t>
        </is>
      </c>
      <c r="T114" s="134" t="inlineStr">
        <is>
          <t>Integrated from cleaned high-signal dataset</t>
        </is>
      </c>
    </row>
    <row r="115" ht="26" customHeight="1" s="76">
      <c r="A115" s="134" t="inlineStr">
        <is>
          <t>chelidonine</t>
        </is>
      </c>
      <c r="B115" s="134" t="inlineStr">
        <is>
          <t>chelidonine</t>
        </is>
      </c>
      <c r="C115" s="134" t="n"/>
      <c r="D115" s="134" t="inlineStr">
        <is>
          <t>Chelidonine, berberine, alkaloids</t>
        </is>
      </c>
      <c r="E115" s="134" t="inlineStr">
        <is>
          <t>insufficient evidence</t>
        </is>
      </c>
      <c r="F115" s="134" t="inlineStr">
        <is>
          <t>multi-target signaling modulation</t>
        </is>
      </c>
      <c r="G115" s="134" t="inlineStr">
        <is>
          <t>general or unknown targets</t>
        </is>
      </c>
      <c r="H115" s="134" t="inlineStr">
        <is>
          <t>Oral/topical; cholagogue and antiviral</t>
        </is>
      </c>
      <c r="I115" s="134" t="inlineStr">
        <is>
          <t>low</t>
        </is>
      </c>
      <c r="J115" s="134" t="inlineStr">
        <is>
          <t>no well-documented interactions</t>
        </is>
      </c>
      <c r="K115" s="134" t="n"/>
      <c r="L115" s="134" t="inlineStr">
        <is>
          <t>compound_level</t>
        </is>
      </c>
      <c r="M115" s="134" t="inlineStr">
        <is>
          <t>https://plants.sc.egov.usda.gov/home/search?query=Chelidonium%20majus | https://pubchem.ncbi.nlm.nih.gov/#query=chelidonine</t>
        </is>
      </c>
      <c r="N115" s="134" t="inlineStr">
        <is>
          <t>inferred_plus_trusted_gov</t>
        </is>
      </c>
      <c r="O115" s="134" t="inlineStr">
        <is>
          <t>scientific name; PubChem compound page (NIH); USDA Plants database</t>
        </is>
      </c>
      <c r="P115" s="134" t="n"/>
      <c r="Q115" s="134" t="inlineStr">
        <is>
          <t>chelidonium-majus</t>
        </is>
      </c>
      <c r="R115" s="134" t="n">
        <v>1</v>
      </c>
      <c r="S115" s="134" t="inlineStr">
        <is>
          <t>Yes</t>
        </is>
      </c>
      <c r="T115" s="134" t="inlineStr">
        <is>
          <t>Integrated from cleaned high-signal dataset</t>
        </is>
      </c>
    </row>
    <row r="116" ht="26" customHeight="1" s="76">
      <c r="A116" s="134" t="inlineStr">
        <is>
          <t>chlorogenic acid</t>
        </is>
      </c>
      <c r="B116" s="134" t="inlineStr">
        <is>
          <t>chlorogenic acid</t>
        </is>
      </c>
      <c r="C116" s="134" t="n"/>
      <c r="D116" s="134" t="inlineStr">
        <is>
          <t>flavonoids; triterpenes</t>
        </is>
      </c>
      <c r="E116" s="134" t="inlineStr">
        <is>
          <t>insufficient evidence</t>
        </is>
      </c>
      <c r="F116" s="134" t="inlineStr">
        <is>
          <t>multi-target signaling modulation</t>
        </is>
      </c>
      <c r="G116" s="134" t="inlineStr">
        <is>
          <t>general or unknown targets</t>
        </is>
      </c>
      <c r="H116" s="134" t="inlineStr">
        <is>
          <t>Absorption and bioavailability vary; some compounds metabolized via cytochrome P450 enzymes.</t>
        </is>
      </c>
      <c r="I116" s="134" t="inlineStr">
        <is>
          <t>low</t>
        </is>
      </c>
      <c r="J116" s="134" t="inlineStr">
        <is>
          <t>no well-documented interactions</t>
        </is>
      </c>
      <c r="K116" s="134" t="n"/>
      <c r="L116" s="134" t="inlineStr">
        <is>
          <t>compound_level</t>
        </is>
      </c>
      <c r="M116" s="134" t="inlineStr">
        <is>
          <t>https://plants.sc.egov.usda.gov/home/search?query=Cecropia%20peltata | https://plants.sc.egov.usda.gov/home/search?query=Lonicera%20japonica | https://plants.sc.egov.usda.gov/home/search?query=Moringa%20oleifera | https://pubchem.ncbi.nlm.nih.gov/#query=chlorogenic%20acid</t>
        </is>
      </c>
      <c r="N116" s="134" t="inlineStr">
        <is>
          <t>inferred_plus_trusted_gov</t>
        </is>
      </c>
      <c r="O116" s="134" t="inlineStr">
        <is>
          <t>scientific name; PubChem compound page (NIH); USDA Plants database</t>
        </is>
      </c>
      <c r="P116" s="134" t="n"/>
      <c r="Q116" s="134" t="inlineStr">
        <is>
          <t>cecropia-peltata; lonicera-japonica; moringa-oleifera</t>
        </is>
      </c>
      <c r="R116" s="134" t="n">
        <v>3</v>
      </c>
      <c r="S116" s="134" t="inlineStr">
        <is>
          <t>Yes</t>
        </is>
      </c>
      <c r="T116" s="134" t="inlineStr">
        <is>
          <t>Integrated from cleaned high-signal dataset</t>
        </is>
      </c>
    </row>
    <row r="117" ht="26" customHeight="1" s="76">
      <c r="A117" s="134" t="inlineStr">
        <is>
          <t>choline</t>
        </is>
      </c>
      <c r="B117" s="134" t="inlineStr">
        <is>
          <t>choline</t>
        </is>
      </c>
      <c r="C117" s="134" t="n"/>
      <c r="D117" s="134" t="inlineStr">
        <is>
          <t>essential nutrient</t>
        </is>
      </c>
      <c r="E117" s="134" t="inlineStr">
        <is>
          <t>Precursor for acetylcholine synthesis and phosphatidylcholine membrane formation; involved in methyl-group metabolism.</t>
        </is>
      </c>
      <c r="F117" s="134" t="inlineStr">
        <is>
          <t>multi-target signaling modulation</t>
        </is>
      </c>
      <c r="G117" s="134" t="inlineStr">
        <is>
          <t>Acetylcholine synthesis pathway; Methylation pathways; Phospholipid metabolism; general or unknown targets</t>
        </is>
      </c>
      <c r="H117" s="134" t="inlineStr">
        <is>
          <t>Absorbed in intestine; metabolized to betaine.</t>
        </is>
      </c>
      <c r="I117" s="134" t="inlineStr">
        <is>
          <t>Excess intake can cause hypotension, sweating, and fishy body odor.</t>
        </is>
      </c>
      <c r="J117" s="134" t="inlineStr">
        <is>
          <t>Anticholinergic drugs (functional opposition ↓ effect).</t>
        </is>
      </c>
      <c r="K117" s="134" t="inlineStr">
        <is>
          <t>high</t>
        </is>
      </c>
      <c r="L117" s="134" t="inlineStr">
        <is>
          <t>Batch10</t>
        </is>
      </c>
      <c r="M117" s="134" t="inlineStr">
        <is>
          <t>https://plants.sc.egov.usda.gov/home/search?query=Capsella%20bursa-pastoris | https://pubchem.ncbi.nlm.nih.gov/#query=choline</t>
        </is>
      </c>
      <c r="N117" s="134" t="inlineStr">
        <is>
          <t>inferred_plus_trusted_gov</t>
        </is>
      </c>
      <c r="O117" s="134" t="inlineStr">
        <is>
          <t>scientific name; PubChem compound page (NIH); USDA Plants database</t>
        </is>
      </c>
      <c r="P117" s="134" t="inlineStr">
        <is>
          <t>manual_batch10</t>
        </is>
      </c>
      <c r="Q117" s="134" t="inlineStr">
        <is>
          <t>capsella-bursa-pastoris</t>
        </is>
      </c>
      <c r="R117" s="134" t="n">
        <v>1</v>
      </c>
      <c r="S117" s="134" t="inlineStr">
        <is>
          <t>Yes</t>
        </is>
      </c>
      <c r="T117" s="134" t="inlineStr">
        <is>
          <t>Integrated from cleaned high-signal dataset; Integrated from compound monograph workbook</t>
        </is>
      </c>
    </row>
    <row r="118" ht="26" customHeight="1" s="76">
      <c r="A118" s="134" t="inlineStr">
        <is>
          <t>chrysoeriol</t>
        </is>
      </c>
      <c r="B118" s="134" t="inlineStr">
        <is>
          <t>chrysoeriol</t>
        </is>
      </c>
      <c r="C118" s="134" t="n"/>
      <c r="D118" s="134" t="inlineStr">
        <is>
          <t>other</t>
        </is>
      </c>
      <c r="E118" s="134" t="inlineStr">
        <is>
          <t>insufficient evidence</t>
        </is>
      </c>
      <c r="F118" s="134" t="inlineStr">
        <is>
          <t>muscarinic receptor interaction</t>
        </is>
      </c>
      <c r="G118" s="134" t="inlineStr">
        <is>
          <t>cholinergic_modulation</t>
        </is>
      </c>
      <c r="H118" s="134" t="inlineStr">
        <is>
          <t>rapid systemic absorption; crosses BBB; hepatic metabolism</t>
        </is>
      </c>
      <c r="I118" s="134" t="inlineStr">
        <is>
          <t>low</t>
        </is>
      </c>
      <c r="J118" s="134" t="inlineStr">
        <is>
          <t>no well-documented interactions</t>
        </is>
      </c>
      <c r="K118" s="134" t="n"/>
      <c r="L118" s="134" t="inlineStr">
        <is>
          <t>compound_level</t>
        </is>
      </c>
      <c r="M118" s="134" t="inlineStr">
        <is>
          <t>https://plants.sc.egov.usda.gov/home/search?query=amorpha%20fruticosa | https://pubchem.ncbi.nlm.nih.gov/#query=chrysoeriol</t>
        </is>
      </c>
      <c r="N118" s="134" t="inlineStr">
        <is>
          <t>trusted_gov_added</t>
        </is>
      </c>
      <c r="O118" s="134" t="inlineStr">
        <is>
          <t>PubChem compound page (NIH); USDA Plants database</t>
        </is>
      </c>
      <c r="P118" s="134" t="n"/>
      <c r="Q118" s="134" t="inlineStr">
        <is>
          <t>amorpha-fruticosa</t>
        </is>
      </c>
      <c r="R118" s="134" t="n">
        <v>1</v>
      </c>
      <c r="S118" s="134" t="inlineStr">
        <is>
          <t>Yes</t>
        </is>
      </c>
      <c r="T118" s="134" t="inlineStr">
        <is>
          <t>Integrated from cleaned high-signal dataset</t>
        </is>
      </c>
    </row>
    <row r="119" ht="26" customHeight="1" s="76">
      <c r="A119" s="134" t="inlineStr">
        <is>
          <t>chrysophanol</t>
        </is>
      </c>
      <c r="B119" s="134" t="inlineStr">
        <is>
          <t>chrysophanol</t>
        </is>
      </c>
      <c r="C119" s="134" t="n"/>
      <c r="D119" s="134" t="inlineStr">
        <is>
          <t>other</t>
        </is>
      </c>
      <c r="E119" s="134" t="inlineStr">
        <is>
          <t>insufficient evidence</t>
        </is>
      </c>
      <c r="F119" s="134" t="inlineStr">
        <is>
          <t>multi-target signaling modulation</t>
        </is>
      </c>
      <c r="G119" s="134" t="inlineStr">
        <is>
          <t>general or unknown targets</t>
        </is>
      </c>
      <c r="H119" s="134" t="inlineStr">
        <is>
          <t>Absorption and bioavailability vary; some compounds metabolized via cytochrome P450 enzymes.</t>
        </is>
      </c>
      <c r="I119" s="134" t="inlineStr">
        <is>
          <t>low</t>
        </is>
      </c>
      <c r="J119" s="134" t="inlineStr">
        <is>
          <t>no well-documented interactions</t>
        </is>
      </c>
      <c r="K119" s="134" t="n"/>
      <c r="L119" s="134" t="inlineStr">
        <is>
          <t>compound_level</t>
        </is>
      </c>
      <c r="M119" s="134" t="inlineStr">
        <is>
          <t>https://plants.sc.egov.usda.gov/home/search?query=Cassia%20alata | https://plants.sc.egov.usda.gov/home/search?query=Rheum%20palmatum | https://pubchem.ncbi.nlm.nih.gov/#query=chrysophanol</t>
        </is>
      </c>
      <c r="N119" s="134" t="inlineStr">
        <is>
          <t>inferred_plus_trusted_gov</t>
        </is>
      </c>
      <c r="O119" s="134" t="inlineStr">
        <is>
          <t>scientific name; PubChem compound page (NIH); USDA Plants database</t>
        </is>
      </c>
      <c r="P119" s="134" t="n"/>
      <c r="Q119" s="134" t="inlineStr">
        <is>
          <t>cassia-alata; rheum-palmatum</t>
        </is>
      </c>
      <c r="R119" s="134" t="n">
        <v>2</v>
      </c>
      <c r="S119" s="134" t="inlineStr">
        <is>
          <t>Yes</t>
        </is>
      </c>
      <c r="T119" s="134" t="inlineStr">
        <is>
          <t>Integrated from cleaned high-signal dataset</t>
        </is>
      </c>
    </row>
    <row r="120" ht="26" customHeight="1" s="76">
      <c r="A120" s="134" t="inlineStr">
        <is>
          <t>chymopapain</t>
        </is>
      </c>
      <c r="B120" s="134" t="inlineStr">
        <is>
          <t>chymopapain</t>
        </is>
      </c>
      <c r="C120" s="134" t="n"/>
      <c r="D120" s="134" t="inlineStr">
        <is>
          <t>other</t>
        </is>
      </c>
      <c r="E120" s="134" t="inlineStr">
        <is>
          <t>insufficient evidence</t>
        </is>
      </c>
      <c r="F120" s="134" t="inlineStr">
        <is>
          <t>multi-target signaling modulation</t>
        </is>
      </c>
      <c r="G120" s="134" t="inlineStr">
        <is>
          <t>general or unknown targets</t>
        </is>
      </c>
      <c r="H120" s="134" t="inlineStr">
        <is>
          <t>moderate absorption; hepatic metabolism</t>
        </is>
      </c>
      <c r="I120" s="134" t="inlineStr">
        <is>
          <t>low</t>
        </is>
      </c>
      <c r="J120" s="134" t="inlineStr">
        <is>
          <t>no well-documented interactions</t>
        </is>
      </c>
      <c r="K120" s="134" t="n"/>
      <c r="L120" s="134" t="inlineStr">
        <is>
          <t>compound_level</t>
        </is>
      </c>
      <c r="M120" s="134" t="inlineStr">
        <is>
          <t>https://plants.sc.egov.usda.gov/home/search?query=carica%20papaya | https://pubchem.ncbi.nlm.nih.gov/#query=chymopapain</t>
        </is>
      </c>
      <c r="N120" s="134" t="inlineStr">
        <is>
          <t>trusted_gov_added</t>
        </is>
      </c>
      <c r="O120" s="134" t="inlineStr">
        <is>
          <t>PubChem compound page (NIH); USDA Plants database</t>
        </is>
      </c>
      <c r="P120" s="134" t="n"/>
      <c r="Q120" s="134" t="inlineStr">
        <is>
          <t>carica-papaya</t>
        </is>
      </c>
      <c r="R120" s="134" t="n">
        <v>1</v>
      </c>
      <c r="S120" s="134" t="inlineStr">
        <is>
          <t>Yes</t>
        </is>
      </c>
      <c r="T120" s="134" t="inlineStr">
        <is>
          <t>Integrated from cleaned high-signal dataset</t>
        </is>
      </c>
    </row>
    <row r="121" ht="26" customHeight="1" s="76">
      <c r="A121" s="134" t="inlineStr">
        <is>
          <t>cineole</t>
        </is>
      </c>
      <c r="B121" s="134" t="inlineStr">
        <is>
          <t>cineole</t>
        </is>
      </c>
      <c r="C121" s="134" t="n"/>
      <c r="D121" s="134" t="inlineStr">
        <is>
          <t>other</t>
        </is>
      </c>
      <c r="E121" s="134" t="inlineStr">
        <is>
          <t>insufficient evidence</t>
        </is>
      </c>
      <c r="F121" s="134" t="inlineStr">
        <is>
          <t>multi-target signaling modulation</t>
        </is>
      </c>
      <c r="G121" s="134" t="inlineStr">
        <is>
          <t>general or unknown targets</t>
        </is>
      </c>
      <c r="H121" s="134" t="inlineStr">
        <is>
          <t>Absorption and bioavailability vary; some compounds metabolized via cytochrome P450 enzymes.</t>
        </is>
      </c>
      <c r="I121" s="134" t="inlineStr">
        <is>
          <t>low</t>
        </is>
      </c>
      <c r="J121" s="134" t="inlineStr">
        <is>
          <t>no well-documented interactions</t>
        </is>
      </c>
      <c r="K121" s="134" t="n"/>
      <c r="L121" s="134" t="inlineStr">
        <is>
          <t>compound_level</t>
        </is>
      </c>
      <c r="M121" s="134" t="inlineStr">
        <is>
          <t>https://plants.sc.egov.usda.gov/home/search?query=Artemisia%20judaica | https://plants.sc.egov.usda.gov/home/search?query=Artemisia%20vulgaris | https://plants.sc.egov.usda.gov/home/search?query=Laurus%20nobilis | https://plants.sc.egov.usda.gov/home/search?query=Melaleuca%20alternifolia | https://plants.sc.egov.usda.gov/home/search?query=Rosmarinus%20officinalis | https://plants.sc.egov.usda.gov/home/search?query=Salvia%20officinalis | https://pubchem.ncbi.nlm.nih.gov/#query=cineole</t>
        </is>
      </c>
      <c r="N121" s="134" t="inlineStr">
        <is>
          <t>inferred_plus_trusted_gov</t>
        </is>
      </c>
      <c r="O121" s="134" t="inlineStr">
        <is>
          <t>scientific name; PubChem compound page (NIH); USDA Plants database</t>
        </is>
      </c>
      <c r="P121" s="134" t="n"/>
      <c r="Q121" s="134" t="inlineStr">
        <is>
          <t>artemisia-judaica; artemisia-vulgaris; laurus-nobilis; melaleuca-alternifolia; rosmarinus-officinalis; salvia-officinalis</t>
        </is>
      </c>
      <c r="R121" s="134" t="n">
        <v>6</v>
      </c>
      <c r="S121" s="134" t="inlineStr">
        <is>
          <t>Yes</t>
        </is>
      </c>
      <c r="T121" s="134" t="inlineStr">
        <is>
          <t>Integrated from cleaned high-signal dataset</t>
        </is>
      </c>
    </row>
    <row r="122" ht="26" customHeight="1" s="76">
      <c r="A122" s="134" t="inlineStr">
        <is>
          <t>cinnamaldehyde</t>
        </is>
      </c>
      <c r="B122" s="134" t="inlineStr">
        <is>
          <t>cinnamaldehyde</t>
        </is>
      </c>
      <c r="C122" s="134" t="n"/>
      <c r="D122" s="134" t="inlineStr">
        <is>
          <t>Cinnamaldehyde, eugenol, coumarin (low)</t>
        </is>
      </c>
      <c r="E122" s="134" t="inlineStr">
        <is>
          <t>insufficient evidence</t>
        </is>
      </c>
      <c r="F122" s="134" t="inlineStr">
        <is>
          <t>multi-target signaling modulation</t>
        </is>
      </c>
      <c r="G122" s="134" t="inlineStr">
        <is>
          <t>general or unknown targets</t>
        </is>
      </c>
      <c r="H122" s="134" t="inlineStr">
        <is>
          <t>Oral; insulin sensitizer and carminative</t>
        </is>
      </c>
      <c r="I122" s="134" t="inlineStr">
        <is>
          <t>low</t>
        </is>
      </c>
      <c r="J122" s="134" t="inlineStr">
        <is>
          <t>no well-documented interactions</t>
        </is>
      </c>
      <c r="K122" s="134" t="n"/>
      <c r="L122" s="134" t="inlineStr">
        <is>
          <t>compound_level</t>
        </is>
      </c>
      <c r="M122" s="134" t="inlineStr">
        <is>
          <t>https://plants.sc.egov.usda.gov/home/search?query=Cinnamomum%20verum | https://pubchem.ncbi.nlm.nih.gov/#query=cinnamaldehyde</t>
        </is>
      </c>
      <c r="N122" s="134" t="inlineStr">
        <is>
          <t>inferred_plus_trusted_gov</t>
        </is>
      </c>
      <c r="O122" s="134" t="inlineStr">
        <is>
          <t>scientific name; PubChem compound page (NIH); USDA Plants database</t>
        </is>
      </c>
      <c r="P122" s="134" t="n"/>
      <c r="Q122" s="134" t="inlineStr">
        <is>
          <t>cinnamomum-verum</t>
        </is>
      </c>
      <c r="R122" s="134" t="n">
        <v>1</v>
      </c>
      <c r="S122" s="134" t="inlineStr">
        <is>
          <t>Yes</t>
        </is>
      </c>
      <c r="T122" s="134" t="inlineStr">
        <is>
          <t>Integrated from cleaned high-signal dataset</t>
        </is>
      </c>
    </row>
    <row r="123" ht="26" customHeight="1" s="76">
      <c r="A123" s="134" t="inlineStr">
        <is>
          <t>cinnamoylcocaine</t>
        </is>
      </c>
      <c r="B123" s="134" t="inlineStr">
        <is>
          <t>cinnamoylcocaine</t>
        </is>
      </c>
      <c r="C123" s="134" t="n"/>
      <c r="D123" s="134" t="inlineStr">
        <is>
          <t>other</t>
        </is>
      </c>
      <c r="E123" s="134" t="inlineStr">
        <is>
          <t>insufficient evidence</t>
        </is>
      </c>
      <c r="F123" s="134" t="inlineStr">
        <is>
          <t>multi-target signaling modulation</t>
        </is>
      </c>
      <c r="G123" s="134" t="inlineStr">
        <is>
          <t>dopaminergic_modulation; general or unknown targets</t>
        </is>
      </c>
      <c r="H123" s="134" t="inlineStr">
        <is>
          <t>moderate absorption; hepatic metabolism</t>
        </is>
      </c>
      <c r="I123" s="134" t="inlineStr">
        <is>
          <t>low</t>
        </is>
      </c>
      <c r="J123" s="134" t="inlineStr">
        <is>
          <t>no well-documented interactions</t>
        </is>
      </c>
      <c r="K123" s="134" t="n"/>
      <c r="L123" s="134" t="inlineStr">
        <is>
          <t>compound_level</t>
        </is>
      </c>
      <c r="M123" s="134" t="inlineStr">
        <is>
          <t>https://plants.sc.egov.usda.gov/home/search?query=Erythroxylum%20novogranatense | https://plants.sc.egov.usda.gov/home/search?query=erythroxylum%20coca | https://pubchem.ncbi.nlm.nih.gov/#query=cinnamoylcocaine</t>
        </is>
      </c>
      <c r="N123" s="134" t="inlineStr">
        <is>
          <t>inferred_plus_trusted_gov; trusted_gov_added</t>
        </is>
      </c>
      <c r="O123" s="134" t="inlineStr">
        <is>
          <t>PubChem compound page (NIH); USDA Plants database; scientific name; PubChem compound page (NIH); USDA Plants database</t>
        </is>
      </c>
      <c r="P123" s="134" t="n"/>
      <c r="Q123" s="134" t="inlineStr">
        <is>
          <t>erythroxylum-coca; erythroxylum-novogranatense</t>
        </is>
      </c>
      <c r="R123" s="134" t="n">
        <v>2</v>
      </c>
      <c r="S123" s="134" t="inlineStr">
        <is>
          <t>Yes</t>
        </is>
      </c>
      <c r="T123" s="134" t="inlineStr">
        <is>
          <t>Integrated from cleaned high-signal dataset</t>
        </is>
      </c>
    </row>
    <row r="124" ht="26" customHeight="1" s="76">
      <c r="A124" s="134" t="inlineStr">
        <is>
          <t>cis-cinnamoylcocaine</t>
        </is>
      </c>
      <c r="B124" s="134" t="inlineStr">
        <is>
          <t>cis-cinnamoylcocaine</t>
        </is>
      </c>
      <c r="C124" s="134" t="n"/>
      <c r="D124" s="134" t="inlineStr">
        <is>
          <t>other</t>
        </is>
      </c>
      <c r="E124" s="134" t="inlineStr">
        <is>
          <t>insufficient evidence</t>
        </is>
      </c>
      <c r="F124" s="134" t="inlineStr">
        <is>
          <t>multi-target signaling modulation</t>
        </is>
      </c>
      <c r="G124" s="134" t="inlineStr">
        <is>
          <t>dopaminergic_modulation</t>
        </is>
      </c>
      <c r="H124" s="134" t="inlineStr">
        <is>
          <t>moderate absorption; hepatic metabolism</t>
        </is>
      </c>
      <c r="I124" s="134" t="inlineStr">
        <is>
          <t>low</t>
        </is>
      </c>
      <c r="J124" s="134" t="inlineStr">
        <is>
          <t>no well-documented interactions</t>
        </is>
      </c>
      <c r="K124" s="134" t="n"/>
      <c r="L124" s="134" t="inlineStr">
        <is>
          <t>compound_level</t>
        </is>
      </c>
      <c r="M124" s="134" t="inlineStr">
        <is>
          <t>https://plants.sc.egov.usda.gov/home/search?query=coca | https://plants.sc.egov.usda.gov/home/search?query=coca%20leaf | https://pubchem.ncbi.nlm.nih.gov/#query=cis-cinnamoylcocaine</t>
        </is>
      </c>
      <c r="N124" s="134" t="inlineStr">
        <is>
          <t>trusted_gov_added</t>
        </is>
      </c>
      <c r="O124" s="134" t="inlineStr">
        <is>
          <t>PubChem compound page (NIH); USDA Plants database</t>
        </is>
      </c>
      <c r="P124" s="134" t="n"/>
      <c r="Q124" s="134" t="inlineStr">
        <is>
          <t>coca; coca-leaf</t>
        </is>
      </c>
      <c r="R124" s="134" t="n">
        <v>2</v>
      </c>
      <c r="S124" s="134" t="inlineStr">
        <is>
          <t>Yes</t>
        </is>
      </c>
      <c r="T124" s="134" t="inlineStr">
        <is>
          <t>Integrated from cleaned high-signal dataset</t>
        </is>
      </c>
    </row>
    <row r="125" ht="26" customHeight="1" s="76">
      <c r="A125" s="134" t="inlineStr">
        <is>
          <t>citicoline cdp-choline</t>
        </is>
      </c>
      <c r="B125" s="134" t="inlineStr">
        <is>
          <t>citicoline (CDP-choline)</t>
        </is>
      </c>
      <c r="C125" s="134" t="n"/>
      <c r="D125" s="134" t="inlineStr">
        <is>
          <t>endogenous nucleotide derivative</t>
        </is>
      </c>
      <c r="E125" s="134" t="inlineStr">
        <is>
          <t>Choline donor and cytidine-containing intermediate in phosphatidylcholine synthesis that supports acetylcholine precursor biology and membrane phospholipid turnover.</t>
        </is>
      </c>
      <c r="F125" s="134" t="n"/>
      <c r="G125" s="134" t="inlineStr">
        <is>
          <t>Kennedy pathway / phosphatidylcholine biosynthesis; acetylcholine precursor biology; membrane phospholipid turnover</t>
        </is>
      </c>
      <c r="H125" s="134" t="inlineStr">
        <is>
          <t>Orally absorbed and hydrolyzed to choline and cytidine/uridine-related metabolites before resynthesis in tissues; human exposure reflects metabolite handling more than intact circulating CDP-choline.</t>
        </is>
      </c>
      <c r="I125" s="134" t="inlineStr">
        <is>
          <t>Generally well tolerated in clinical studies; GI upset, headache, insomnia, or restlessness can occur. Keep cholinergic-overlap caution conservative rather than overstated.</t>
        </is>
      </c>
      <c r="J125" s="134" t="inlineStr">
        <is>
          <t>Anticholinergic drugs (functional opposition to cholinergic support); cholinergic drugs / acetylcholinesterase inhibitors (possible additive cholinergic effects).</t>
        </is>
      </c>
      <c r="K125" s="134" t="inlineStr">
        <is>
          <t>High</t>
        </is>
      </c>
      <c r="L125" s="134" t="inlineStr">
        <is>
          <t>mixed</t>
        </is>
      </c>
      <c r="M125" s="134" t="inlineStr">
        <is>
          <t>https://pubchem.ncbi.nlm.nih.gov/compound/Citicoline | https://pubmed.ncbi.nlm.nih.gov/18087675/ | https://pubmed.ncbi.nlm.nih.gov/8709678/</t>
        </is>
      </c>
      <c r="N125" s="134" t="n"/>
      <c r="O125" s="134" t="n"/>
      <c r="P125" s="134" t="inlineStr">
        <is>
          <t>Batch12_cholinergic_cognition_2026-04-07</t>
        </is>
      </c>
      <c r="Q125" s="134" t="n"/>
      <c r="R125" s="134" t="n">
        <v>0</v>
      </c>
      <c r="S125" s="134" t="inlineStr">
        <is>
          <t>No</t>
        </is>
      </c>
      <c r="T125" s="134" t="inlineStr">
        <is>
          <t>Integrated from compound monograph workbook</t>
        </is>
      </c>
    </row>
    <row r="126" ht="26" customHeight="1" s="76">
      <c r="A126" s="134" t="inlineStr">
        <is>
          <t>citral</t>
        </is>
      </c>
      <c r="B126" s="134" t="inlineStr">
        <is>
          <t>citral</t>
        </is>
      </c>
      <c r="C126" s="134" t="n"/>
      <c r="D126" s="134" t="inlineStr">
        <is>
          <t>monoterpenoid aldehyde</t>
        </is>
      </c>
      <c r="E126" s="134" t="inlineStr">
        <is>
          <t>Preclinical work supports TRP-channel-linked nociception modulation and anti-inflammatory cytokine reduction.</t>
        </is>
      </c>
      <c r="F126" s="134" t="inlineStr">
        <is>
          <t>gaba_a_modulation; multi-target signaling modulation</t>
        </is>
      </c>
      <c r="G126" s="134" t="inlineStr">
        <is>
          <t>TNF-a reduction; TRPM3 modulation; TRP_M8 modulation; TRPV1 modulation; gabaergic_modulation; general or unknown targets</t>
        </is>
      </c>
      <c r="H126" s="134" t="inlineStr">
        <is>
          <t>Human PK profile not locked in this pass; keep PK claims minimal.</t>
        </is>
      </c>
      <c r="I126" s="134" t="inlineStr">
        <is>
          <t>Irritation/sensitization potential is the main safety watchout.</t>
        </is>
      </c>
      <c r="J126" s="134" t="inlineStr">
        <is>
          <t>Potential additive irritation with other pungent/counterirritant agents; no strong clinical DDI retained in this pass.</t>
        </is>
      </c>
      <c r="K126" s="134" t="inlineStr">
        <is>
          <t>moderate</t>
        </is>
      </c>
      <c r="L126" s="134" t="inlineStr">
        <is>
          <t>Sprint3</t>
        </is>
      </c>
      <c r="M126" s="134" t="inlineStr">
        <is>
          <t>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t>
        </is>
      </c>
      <c r="N126" s="134" t="inlineStr">
        <is>
          <t>inferred_plus_trusted_gov; trusted_gov_added</t>
        </is>
      </c>
      <c r="O126" s="134" t="inlineStr">
        <is>
          <t>PubChem compound page (NIH); USDA Plants database; scientific name; PubChem compound page (NIH); USDA Plants database</t>
        </is>
      </c>
      <c r="P126" s="134" t="inlineStr">
        <is>
          <t>precision_monographs_sprint3.xlsx</t>
        </is>
      </c>
      <c r="Q126" s="134" t="inlineStr">
        <is>
          <t>lemon-balm</t>
        </is>
      </c>
      <c r="R126" s="134" t="n">
        <v>1</v>
      </c>
      <c r="S126" s="134" t="inlineStr">
        <is>
          <t>Yes</t>
        </is>
      </c>
      <c r="T126" s="134" t="inlineStr">
        <is>
          <t>Integrated from cleaned high-signal dataset; Integrated from compound monograph workbook</t>
        </is>
      </c>
    </row>
    <row r="127" ht="26" customHeight="1" s="76">
      <c r="A127" s="134" t="inlineStr">
        <is>
          <t>citric acid</t>
        </is>
      </c>
      <c r="B127" s="134" t="inlineStr">
        <is>
          <t>citric acid</t>
        </is>
      </c>
      <c r="C127" s="134" t="n"/>
      <c r="D127" s="134" t="inlineStr">
        <is>
          <t>Limonene, flavonoids, citric acid</t>
        </is>
      </c>
      <c r="E127" s="134" t="inlineStr">
        <is>
          <t>insufficient evidence</t>
        </is>
      </c>
      <c r="F127" s="134" t="inlineStr">
        <is>
          <t>multi-target signaling modulation</t>
        </is>
      </c>
      <c r="G127" s="134" t="inlineStr">
        <is>
          <t>general or unknown targets</t>
        </is>
      </c>
      <c r="H127" s="134" t="inlineStr">
        <is>
          <t>Oral; alkalizing and liver supportive</t>
        </is>
      </c>
      <c r="I127" s="134" t="inlineStr">
        <is>
          <t>low</t>
        </is>
      </c>
      <c r="J127" s="134" t="inlineStr">
        <is>
          <t>no well-documented interactions</t>
        </is>
      </c>
      <c r="K127" s="134" t="n"/>
      <c r="L127" s="134" t="inlineStr">
        <is>
          <t>compound_level</t>
        </is>
      </c>
      <c r="M127" s="134" t="inlineStr">
        <is>
          <t>https://plants.sc.egov.usda.gov/home/search?query=Citrus%20limon | https://pubchem.ncbi.nlm.nih.gov/#query=citric%20acid</t>
        </is>
      </c>
      <c r="N127" s="134" t="inlineStr">
        <is>
          <t>inferred_plus_trusted_gov</t>
        </is>
      </c>
      <c r="O127" s="134" t="inlineStr">
        <is>
          <t>scientific name; PubChem compound page (NIH); USDA Plants database</t>
        </is>
      </c>
      <c r="P127" s="134" t="n"/>
      <c r="Q127" s="134" t="inlineStr">
        <is>
          <t>citrus-limon</t>
        </is>
      </c>
      <c r="R127" s="134" t="n">
        <v>1</v>
      </c>
      <c r="S127" s="134" t="inlineStr">
        <is>
          <t>Yes</t>
        </is>
      </c>
      <c r="T127" s="134" t="inlineStr">
        <is>
          <t>Integrated from cleaned high-signal dataset</t>
        </is>
      </c>
    </row>
    <row r="128" ht="26" customHeight="1" s="76">
      <c r="A128" s="134" t="inlineStr">
        <is>
          <t>citronellal</t>
        </is>
      </c>
      <c r="B128" s="134" t="inlineStr">
        <is>
          <t>citronellal</t>
        </is>
      </c>
      <c r="C128" s="134" t="n"/>
      <c r="D128" s="134" t="inlineStr">
        <is>
          <t>other</t>
        </is>
      </c>
      <c r="E128" s="134" t="inlineStr">
        <is>
          <t>insufficient evidence</t>
        </is>
      </c>
      <c r="F128" s="134" t="inlineStr">
        <is>
          <t>gaba_a_modulation</t>
        </is>
      </c>
      <c r="G128" s="134" t="inlineStr">
        <is>
          <t>gabaergic_modulation</t>
        </is>
      </c>
      <c r="H128" s="134" t="inlineStr">
        <is>
          <t>moderate absorption; hepatic metabolism</t>
        </is>
      </c>
      <c r="I128" s="134" t="inlineStr">
        <is>
          <t>low</t>
        </is>
      </c>
      <c r="J128" s="134" t="inlineStr">
        <is>
          <t>no well-documented interactions</t>
        </is>
      </c>
      <c r="K128" s="134" t="n"/>
      <c r="L128" s="134" t="inlineStr">
        <is>
          <t>compound_level</t>
        </is>
      </c>
      <c r="M128" s="134" t="inlineStr">
        <is>
          <t>https://plants.sc.egov.usda.gov/home/search?query=Melissa%20Officinalis | https://plants.sc.egov.usda.gov/home/search?query=lemon%20balm | https://pubchem.ncbi.nlm.nih.gov/#query=citronellal</t>
        </is>
      </c>
      <c r="N128" s="134" t="inlineStr">
        <is>
          <t>trusted_gov_added</t>
        </is>
      </c>
      <c r="O128" s="134" t="inlineStr">
        <is>
          <t>PubChem compound page (NIH); USDA Plants database</t>
        </is>
      </c>
      <c r="P128" s="134" t="n"/>
      <c r="Q128" s="134" t="inlineStr">
        <is>
          <t>lemon-balm</t>
        </is>
      </c>
      <c r="R128" s="134" t="n">
        <v>1</v>
      </c>
      <c r="S128" s="134" t="inlineStr">
        <is>
          <t>Yes</t>
        </is>
      </c>
      <c r="T128" s="134" t="inlineStr">
        <is>
          <t>Integrated from cleaned high-signal dataset</t>
        </is>
      </c>
    </row>
    <row r="129" ht="26" customHeight="1" s="76">
      <c r="A129" s="134" t="inlineStr">
        <is>
          <t>cocaine</t>
        </is>
      </c>
      <c r="B129" s="134" t="inlineStr">
        <is>
          <t>cocaine</t>
        </is>
      </c>
      <c r="C129" s="134" t="n"/>
      <c r="D129" s="134" t="inlineStr">
        <is>
          <t>other</t>
        </is>
      </c>
      <c r="E129" s="134" t="inlineStr">
        <is>
          <t>insufficient evidence</t>
        </is>
      </c>
      <c r="F129" s="134" t="inlineStr">
        <is>
          <t>multi-target signaling modulation</t>
        </is>
      </c>
      <c r="G129" s="134" t="inlineStr">
        <is>
          <t>dopaminergic_modulation; general or unknown targets</t>
        </is>
      </c>
      <c r="H129" s="134" t="inlineStr">
        <is>
          <t>moderate absorption; hepatic metabolism</t>
        </is>
      </c>
      <c r="I129" s="134" t="inlineStr">
        <is>
          <t>low</t>
        </is>
      </c>
      <c r="J129" s="134" t="inlineStr">
        <is>
          <t>no well-documented interactions</t>
        </is>
      </c>
      <c r="K129" s="134" t="n"/>
      <c r="L129" s="134" t="inlineStr">
        <is>
          <t>compound_level</t>
        </is>
      </c>
      <c r="M129" s="134" t="inlineStr">
        <is>
          <t>https://plants.sc.egov.usda.gov/home/search?query=Erythroxylum%20novogranatense | https://plants.sc.egov.usda.gov/home/search?query=coca | https://plants.sc.egov.usda.gov/home/search?query=coca%20leaf | https://plants.sc.egov.usda.gov/home/search?query=erythroxylum%20coca | https://pubchem.ncbi.nlm.nih.gov/#query=cocaine</t>
        </is>
      </c>
      <c r="N129" s="134" t="inlineStr">
        <is>
          <t>inferred_plus_trusted_gov; trusted_gov_added</t>
        </is>
      </c>
      <c r="O129" s="134" t="inlineStr">
        <is>
          <t>PubChem compound page (NIH); USDA Plants database; scientific name; PubChem compound page (NIH); USDA Plants database</t>
        </is>
      </c>
      <c r="P129" s="134" t="n"/>
      <c r="Q129" s="134" t="inlineStr">
        <is>
          <t>coca; coca-leaf; erythroxylum-coca; erythroxylum-novogranatense</t>
        </is>
      </c>
      <c r="R129" s="134" t="n">
        <v>4</v>
      </c>
      <c r="S129" s="134" t="inlineStr">
        <is>
          <t>Yes</t>
        </is>
      </c>
      <c r="T129" s="134" t="inlineStr">
        <is>
          <t>Integrated from cleaned high-signal dataset</t>
        </is>
      </c>
    </row>
    <row r="130" ht="26" customHeight="1" s="76">
      <c r="A130" s="134" t="inlineStr">
        <is>
          <t>codeine</t>
        </is>
      </c>
      <c r="B130" s="134" t="inlineStr">
        <is>
          <t>codeine</t>
        </is>
      </c>
      <c r="C130" s="134" t="n"/>
      <c r="D130" s="134" t="inlineStr">
        <is>
          <t>other</t>
        </is>
      </c>
      <c r="E130" s="134" t="inlineStr">
        <is>
          <t>insufficient evidence</t>
        </is>
      </c>
      <c r="F130" s="134" t="inlineStr">
        <is>
          <t>multi-target signaling modulation</t>
        </is>
      </c>
      <c r="G130" s="134" t="inlineStr">
        <is>
          <t>general or unknown targets</t>
        </is>
      </c>
      <c r="H130" s="134" t="inlineStr">
        <is>
          <t>Oral/parenteral; CNS depressant and analgesic</t>
        </is>
      </c>
      <c r="I130" s="134" t="inlineStr">
        <is>
          <t>low</t>
        </is>
      </c>
      <c r="J130" s="134" t="inlineStr">
        <is>
          <t>no well-documented interactions</t>
        </is>
      </c>
      <c r="K130" s="134" t="n"/>
      <c r="L130" s="134" t="inlineStr">
        <is>
          <t>compound_level</t>
        </is>
      </c>
      <c r="M130" s="134" t="inlineStr">
        <is>
          <t>https://plants.sc.egov.usda.gov/home/search?query=Papaver%20somniferum | https://pubchem.ncbi.nlm.nih.gov/#query=codeine</t>
        </is>
      </c>
      <c r="N130" s="134" t="inlineStr">
        <is>
          <t>inferred_plus_trusted_gov</t>
        </is>
      </c>
      <c r="O130" s="134" t="inlineStr">
        <is>
          <t>scientific name; PubChem compound page (NIH); USDA Plants database</t>
        </is>
      </c>
      <c r="P130" s="134" t="n"/>
      <c r="Q130" s="134" t="inlineStr">
        <is>
          <t>papaver-somniferum</t>
        </is>
      </c>
      <c r="R130" s="134" t="n">
        <v>1</v>
      </c>
      <c r="S130" s="134" t="inlineStr">
        <is>
          <t>Yes</t>
        </is>
      </c>
      <c r="T130" s="134" t="inlineStr">
        <is>
          <t>Integrated from cleaned high-signal dataset</t>
        </is>
      </c>
    </row>
    <row r="131" ht="26" customHeight="1" s="76">
      <c r="A131" s="134" t="inlineStr">
        <is>
          <t>columbamine</t>
        </is>
      </c>
      <c r="B131" s="134" t="inlineStr">
        <is>
          <t>columbamine</t>
        </is>
      </c>
      <c r="C131" s="134" t="n"/>
      <c r="D131" s="134" t="inlineStr">
        <is>
          <t>protopine alkaloids</t>
        </is>
      </c>
      <c r="E131" s="134" t="inlineStr">
        <is>
          <t>insufficient evidence</t>
        </is>
      </c>
      <c r="F131" s="134" t="inlineStr">
        <is>
          <t>multi-target signaling modulation</t>
        </is>
      </c>
      <c r="G131" s="134" t="inlineStr">
        <is>
          <t>general or unknown targets</t>
        </is>
      </c>
      <c r="H131" s="134" t="inlineStr">
        <is>
          <t>good oral absorption; CNS penetration; hepatic metabolism</t>
        </is>
      </c>
      <c r="I131" s="134" t="inlineStr">
        <is>
          <t>low</t>
        </is>
      </c>
      <c r="J131" s="134" t="inlineStr">
        <is>
          <t>no well-documented interactions</t>
        </is>
      </c>
      <c r="K131" s="134" t="n"/>
      <c r="L131" s="134" t="inlineStr">
        <is>
          <t>compound_level</t>
        </is>
      </c>
      <c r="M131" s="134" t="inlineStr">
        <is>
          <t>https://plants.sc.egov.usda.gov/home/search?query=argemone%20mexicana | https://pubchem.ncbi.nlm.nih.gov/#query=columbamine</t>
        </is>
      </c>
      <c r="N131" s="134" t="inlineStr">
        <is>
          <t>trusted_gov_added</t>
        </is>
      </c>
      <c r="O131" s="134" t="inlineStr">
        <is>
          <t>PubChem compound page (NIH); USDA Plants database</t>
        </is>
      </c>
      <c r="P131" s="134" t="n"/>
      <c r="Q131" s="134" t="inlineStr">
        <is>
          <t>argemone-mexicana</t>
        </is>
      </c>
      <c r="R131" s="134" t="n">
        <v>1</v>
      </c>
      <c r="S131" s="134" t="inlineStr">
        <is>
          <t>Yes</t>
        </is>
      </c>
      <c r="T131" s="134" t="inlineStr">
        <is>
          <t>Integrated from cleaned high-signal dataset</t>
        </is>
      </c>
    </row>
    <row r="132" ht="26" customHeight="1" s="76">
      <c r="A132" s="134" t="inlineStr">
        <is>
          <t>conhydrine</t>
        </is>
      </c>
      <c r="B132" s="134" t="inlineStr">
        <is>
          <t>conhydrine</t>
        </is>
      </c>
      <c r="C132" s="134" t="n"/>
      <c r="D132" s="134" t="inlineStr">
        <is>
          <t>Coniine, conhydrine, piperidine alkaloids</t>
        </is>
      </c>
      <c r="E132" s="134" t="inlineStr">
        <is>
          <t>insufficient evidence</t>
        </is>
      </c>
      <c r="F132" s="134" t="inlineStr">
        <is>
          <t>multi-target signaling modulation</t>
        </is>
      </c>
      <c r="G132" s="134" t="inlineStr">
        <is>
          <t>general or unknown targets</t>
        </is>
      </c>
      <c r="H132" s="134" t="inlineStr">
        <is>
          <t>Topical/homeopathic; neurotoxin in crude form</t>
        </is>
      </c>
      <c r="I132" s="134" t="inlineStr">
        <is>
          <t>low</t>
        </is>
      </c>
      <c r="J132" s="134" t="inlineStr">
        <is>
          <t>no well-documented interactions</t>
        </is>
      </c>
      <c r="K132" s="134" t="n"/>
      <c r="L132" s="134" t="inlineStr">
        <is>
          <t>compound_level</t>
        </is>
      </c>
      <c r="M132" s="134" t="inlineStr">
        <is>
          <t>https://plants.sc.egov.usda.gov/home/search?query=Conium%20maculatum | https://pubchem.ncbi.nlm.nih.gov/#query=conhydrine</t>
        </is>
      </c>
      <c r="N132" s="134" t="inlineStr">
        <is>
          <t>inferred_plus_trusted_gov</t>
        </is>
      </c>
      <c r="O132" s="134" t="inlineStr">
        <is>
          <t>scientific name; PubChem compound page (NIH); USDA Plants database</t>
        </is>
      </c>
      <c r="P132" s="134" t="n"/>
      <c r="Q132" s="134" t="inlineStr">
        <is>
          <t>conium-maculatum</t>
        </is>
      </c>
      <c r="R132" s="134" t="n">
        <v>1</v>
      </c>
      <c r="S132" s="134" t="inlineStr">
        <is>
          <t>Yes</t>
        </is>
      </c>
      <c r="T132" s="134" t="inlineStr">
        <is>
          <t>Integrated from cleaned high-signal dataset</t>
        </is>
      </c>
    </row>
    <row r="133" ht="26" customHeight="1" s="76">
      <c r="A133" s="134" t="inlineStr">
        <is>
          <t>coniine</t>
        </is>
      </c>
      <c r="B133" s="134" t="inlineStr">
        <is>
          <t>coniine</t>
        </is>
      </c>
      <c r="C133" s="134" t="n"/>
      <c r="D133" s="134" t="inlineStr">
        <is>
          <t>Coniine, conhydrine, piperidine alkaloids</t>
        </is>
      </c>
      <c r="E133" s="134" t="inlineStr">
        <is>
          <t>insufficient evidence</t>
        </is>
      </c>
      <c r="F133" s="134" t="inlineStr">
        <is>
          <t>multi-target signaling modulation</t>
        </is>
      </c>
      <c r="G133" s="134" t="inlineStr">
        <is>
          <t>general or unknown targets</t>
        </is>
      </c>
      <c r="H133" s="134" t="inlineStr">
        <is>
          <t>Topical/homeopathic; neurotoxin in crude form</t>
        </is>
      </c>
      <c r="I133" s="134" t="inlineStr">
        <is>
          <t>low</t>
        </is>
      </c>
      <c r="J133" s="134" t="inlineStr">
        <is>
          <t>no well-documented interactions</t>
        </is>
      </c>
      <c r="K133" s="134" t="n"/>
      <c r="L133" s="134" t="inlineStr">
        <is>
          <t>compound_level</t>
        </is>
      </c>
      <c r="M133" s="134" t="inlineStr">
        <is>
          <t>https://plants.sc.egov.usda.gov/home/search?query=Conium%20maculatum | https://pubchem.ncbi.nlm.nih.gov/#query=coniine</t>
        </is>
      </c>
      <c r="N133" s="134" t="inlineStr">
        <is>
          <t>inferred_plus_trusted_gov</t>
        </is>
      </c>
      <c r="O133" s="134" t="inlineStr">
        <is>
          <t>scientific name; PubChem compound page (NIH); USDA Plants database</t>
        </is>
      </c>
      <c r="P133" s="134" t="n"/>
      <c r="Q133" s="134" t="inlineStr">
        <is>
          <t>conium-maculatum</t>
        </is>
      </c>
      <c r="R133" s="134" t="n">
        <v>1</v>
      </c>
      <c r="S133" s="134" t="inlineStr">
        <is>
          <t>Yes</t>
        </is>
      </c>
      <c r="T133" s="134" t="inlineStr">
        <is>
          <t>Integrated from cleaned high-signal dataset</t>
        </is>
      </c>
    </row>
    <row r="134" ht="26" customHeight="1" s="76">
      <c r="A134" s="134" t="inlineStr">
        <is>
          <t>convallatoxin</t>
        </is>
      </c>
      <c r="B134" s="134" t="inlineStr">
        <is>
          <t>convallatoxin</t>
        </is>
      </c>
      <c r="C134" s="134" t="n"/>
      <c r="D134" s="134" t="inlineStr">
        <is>
          <t>Convallatoxin, convalloside (cardiac glycosides)</t>
        </is>
      </c>
      <c r="E134" s="134" t="inlineStr">
        <is>
          <t>insufficient evidence</t>
        </is>
      </c>
      <c r="F134" s="134" t="inlineStr">
        <is>
          <t>multi-target signaling modulation</t>
        </is>
      </c>
      <c r="G134" s="134" t="inlineStr">
        <is>
          <t>general or unknown targets</t>
        </is>
      </c>
      <c r="H134" s="134" t="inlineStr">
        <is>
          <t>Oral (Rx); positive inotrope and diuretic</t>
        </is>
      </c>
      <c r="I134" s="134" t="inlineStr">
        <is>
          <t>low</t>
        </is>
      </c>
      <c r="J134" s="134" t="inlineStr">
        <is>
          <t>no well-documented interactions</t>
        </is>
      </c>
      <c r="K134" s="134" t="n"/>
      <c r="L134" s="134" t="inlineStr">
        <is>
          <t>compound_level</t>
        </is>
      </c>
      <c r="M134" s="134" t="inlineStr">
        <is>
          <t>https://plants.sc.egov.usda.gov/home/search?query=Convallaria%20majalis | https://pubchem.ncbi.nlm.nih.gov/#query=convallatoxin</t>
        </is>
      </c>
      <c r="N134" s="134" t="inlineStr">
        <is>
          <t>inferred_plus_trusted_gov</t>
        </is>
      </c>
      <c r="O134" s="134" t="inlineStr">
        <is>
          <t>scientific name; PubChem compound page (NIH); USDA Plants database</t>
        </is>
      </c>
      <c r="P134" s="134" t="n"/>
      <c r="Q134" s="134" t="inlineStr">
        <is>
          <t>convallaria-majalis</t>
        </is>
      </c>
      <c r="R134" s="134" t="n">
        <v>1</v>
      </c>
      <c r="S134" s="134" t="inlineStr">
        <is>
          <t>Yes</t>
        </is>
      </c>
      <c r="T134" s="134" t="inlineStr">
        <is>
          <t>Integrated from cleaned high-signal dataset</t>
        </is>
      </c>
    </row>
    <row r="135" ht="26" customHeight="1" s="76">
      <c r="A135" s="134" t="inlineStr">
        <is>
          <t>convalloside cardiac glycosides</t>
        </is>
      </c>
      <c r="B135" s="134" t="inlineStr">
        <is>
          <t>convalloside (cardiac glycosides)</t>
        </is>
      </c>
      <c r="C135" s="134" t="n"/>
      <c r="D135" s="134" t="inlineStr">
        <is>
          <t>Convallatoxin, convalloside (cardiac glycosides)</t>
        </is>
      </c>
      <c r="E135" s="134" t="inlineStr">
        <is>
          <t>insufficient evidence</t>
        </is>
      </c>
      <c r="F135" s="134" t="inlineStr">
        <is>
          <t>multi-target signaling modulation</t>
        </is>
      </c>
      <c r="G135" s="134" t="inlineStr">
        <is>
          <t>general or unknown targets</t>
        </is>
      </c>
      <c r="H135" s="134" t="inlineStr">
        <is>
          <t>Oral (Rx); positive inotrope and diuretic</t>
        </is>
      </c>
      <c r="I135" s="134" t="inlineStr">
        <is>
          <t>low</t>
        </is>
      </c>
      <c r="J135" s="134" t="inlineStr">
        <is>
          <t>no well-documented interactions</t>
        </is>
      </c>
      <c r="K135" s="134" t="n"/>
      <c r="L135" s="134" t="inlineStr">
        <is>
          <t>compound_level</t>
        </is>
      </c>
      <c r="M135" s="134" t="inlineStr">
        <is>
          <t>https://plants.sc.egov.usda.gov/home/search?query=Convallaria%20majalis | https://pubchem.ncbi.nlm.nih.gov/#query=convalloside%20%28cardiac%20glycosides%29</t>
        </is>
      </c>
      <c r="N135" s="134" t="inlineStr">
        <is>
          <t>inferred_plus_trusted_gov</t>
        </is>
      </c>
      <c r="O135" s="134" t="inlineStr">
        <is>
          <t>scientific name; PubChem compound page (NIH); USDA Plants database</t>
        </is>
      </c>
      <c r="P135" s="134" t="n"/>
      <c r="Q135" s="134" t="inlineStr">
        <is>
          <t>convallaria-majalis</t>
        </is>
      </c>
      <c r="R135" s="134" t="n">
        <v>1</v>
      </c>
      <c r="S135" s="134" t="inlineStr">
        <is>
          <t>Yes</t>
        </is>
      </c>
      <c r="T135" s="134" t="inlineStr">
        <is>
          <t>Integrated from cleaned high-signal dataset</t>
        </is>
      </c>
    </row>
    <row r="136" ht="26" customHeight="1" s="76">
      <c r="A136" s="134" t="inlineStr">
        <is>
          <t>copalic acid</t>
        </is>
      </c>
      <c r="B136" s="134" t="inlineStr">
        <is>
          <t>copalic acid</t>
        </is>
      </c>
      <c r="C136" s="134" t="n"/>
      <c r="D136" s="134" t="inlineStr">
        <is>
          <t>diterpenes</t>
        </is>
      </c>
      <c r="E136" s="134" t="inlineStr">
        <is>
          <t>insufficient evidence</t>
        </is>
      </c>
      <c r="F136" s="134" t="inlineStr">
        <is>
          <t>multi-target signaling modulation</t>
        </is>
      </c>
      <c r="G136" s="134" t="inlineStr">
        <is>
          <t>general or unknown targets</t>
        </is>
      </c>
      <c r="H136" s="134" t="inlineStr">
        <is>
          <t>Absorption and bioavailability vary; some compounds metabolized via cytochrome P450 enzymes.</t>
        </is>
      </c>
      <c r="I136" s="134" t="inlineStr">
        <is>
          <t>low</t>
        </is>
      </c>
      <c r="J136" s="134" t="inlineStr">
        <is>
          <t>no well-documented interactions</t>
        </is>
      </c>
      <c r="K136" s="134" t="n"/>
      <c r="L136" s="134" t="inlineStr">
        <is>
          <t>compound_level</t>
        </is>
      </c>
      <c r="M136" s="134" t="inlineStr">
        <is>
          <t>https://plants.sc.egov.usda.gov/home/search?query=Copaifera%20officinalis | https://pubchem.ncbi.nlm.nih.gov/#query=copalic%20acid</t>
        </is>
      </c>
      <c r="N136" s="134" t="inlineStr">
        <is>
          <t>inferred_plus_trusted_gov</t>
        </is>
      </c>
      <c r="O136" s="134" t="inlineStr">
        <is>
          <t>scientific name; PubChem compound page (NIH); USDA Plants database</t>
        </is>
      </c>
      <c r="P136" s="134" t="n"/>
      <c r="Q136" s="134" t="inlineStr">
        <is>
          <t>copaifera-officinalis</t>
        </is>
      </c>
      <c r="R136" s="134" t="n">
        <v>1</v>
      </c>
      <c r="S136" s="134" t="inlineStr">
        <is>
          <t>Yes</t>
        </is>
      </c>
      <c r="T136" s="134" t="inlineStr">
        <is>
          <t>Integrated from cleaned high-signal dataset</t>
        </is>
      </c>
    </row>
    <row r="137" ht="26" customHeight="1" s="76">
      <c r="A137" s="134" t="inlineStr">
        <is>
          <t>coptisine</t>
        </is>
      </c>
      <c r="B137" s="134" t="inlineStr">
        <is>
          <t>coptisine</t>
        </is>
      </c>
      <c r="C137" s="134" t="n"/>
      <c r="D137" s="134" t="inlineStr">
        <is>
          <t>other</t>
        </is>
      </c>
      <c r="E137" s="134" t="inlineStr">
        <is>
          <t>insufficient evidence</t>
        </is>
      </c>
      <c r="F137" s="134" t="inlineStr">
        <is>
          <t>multi-target signaling modulation</t>
        </is>
      </c>
      <c r="G137" s="134" t="inlineStr">
        <is>
          <t>general or unknown targets</t>
        </is>
      </c>
      <c r="H137" s="134" t="inlineStr">
        <is>
          <t>Oral; antibacterial and hepatic</t>
        </is>
      </c>
      <c r="I137" s="134" t="inlineStr">
        <is>
          <t>low</t>
        </is>
      </c>
      <c r="J137" s="134" t="inlineStr">
        <is>
          <t>no well-documented interactions</t>
        </is>
      </c>
      <c r="K137" s="134" t="n"/>
      <c r="L137" s="134" t="inlineStr">
        <is>
          <t>compound_level</t>
        </is>
      </c>
      <c r="M137" s="134" t="inlineStr">
        <is>
          <t>https://plants.sc.egov.usda.gov/home/search?query=Coptis%20chinensis | https://pubchem.ncbi.nlm.nih.gov/#query=coptisine</t>
        </is>
      </c>
      <c r="N137" s="134" t="inlineStr">
        <is>
          <t>inferred_plus_trusted_gov</t>
        </is>
      </c>
      <c r="O137" s="134" t="inlineStr">
        <is>
          <t>scientific name; PubChem compound page (NIH); USDA Plants database</t>
        </is>
      </c>
      <c r="P137" s="134" t="n"/>
      <c r="Q137" s="134" t="inlineStr">
        <is>
          <t>coptis-chinensis</t>
        </is>
      </c>
      <c r="R137" s="134" t="n">
        <v>1</v>
      </c>
      <c r="S137" s="134" t="inlineStr">
        <is>
          <t>Yes</t>
        </is>
      </c>
      <c r="T137" s="134" t="inlineStr">
        <is>
          <t>Integrated from cleaned high-signal dataset</t>
        </is>
      </c>
    </row>
    <row r="138" ht="26" customHeight="1" s="76">
      <c r="A138" s="134" t="inlineStr">
        <is>
          <t>cordycepin</t>
        </is>
      </c>
      <c r="B138" s="134" t="inlineStr">
        <is>
          <t>cordycepin</t>
        </is>
      </c>
      <c r="C138" s="134" t="n"/>
      <c r="D138" s="134" t="inlineStr">
        <is>
          <t>polysaccharides</t>
        </is>
      </c>
      <c r="E138" s="134" t="inlineStr">
        <is>
          <t>insufficient evidence</t>
        </is>
      </c>
      <c r="F138" s="134" t="inlineStr">
        <is>
          <t>adenosine receptor antagonism</t>
        </is>
      </c>
      <c r="G138" s="134" t="inlineStr">
        <is>
          <t>adenosine_antagonism</t>
        </is>
      </c>
      <c r="H138" s="134" t="inlineStr">
        <is>
          <t>Absorption and bioavailability vary; some compounds metabolized via cytochrome P450 enzymes.</t>
        </is>
      </c>
      <c r="I138" s="134" t="inlineStr">
        <is>
          <t>low</t>
        </is>
      </c>
      <c r="J138" s="134" t="inlineStr">
        <is>
          <t>no well-documented interactions</t>
        </is>
      </c>
      <c r="K138" s="134" t="n"/>
      <c r="L138" s="134" t="inlineStr">
        <is>
          <t>compound_level</t>
        </is>
      </c>
      <c r="M138" s="134" t="inlineStr">
        <is>
          <t>https://plants.sc.egov.usda.gov/home/search?query=Cordyceps%20sinensis | https://pubchem.ncbi.nlm.nih.gov/#query=cordycepin</t>
        </is>
      </c>
      <c r="N138" s="134" t="inlineStr">
        <is>
          <t>inferred_plus_trusted_gov</t>
        </is>
      </c>
      <c r="O138" s="134" t="inlineStr">
        <is>
          <t>scientific name; PubChem compound page (NIH); USDA Plants database</t>
        </is>
      </c>
      <c r="P138" s="134" t="n"/>
      <c r="Q138" s="134" t="inlineStr">
        <is>
          <t>cordyceps-sinensis</t>
        </is>
      </c>
      <c r="R138" s="134" t="n">
        <v>1</v>
      </c>
      <c r="S138" s="134" t="inlineStr">
        <is>
          <t>Yes</t>
        </is>
      </c>
      <c r="T138" s="134" t="inlineStr">
        <is>
          <t>Integrated from cleaned high-signal dataset</t>
        </is>
      </c>
    </row>
    <row r="139" ht="26" customHeight="1" s="76">
      <c r="A139" s="134" t="inlineStr">
        <is>
          <t>coronaridine</t>
        </is>
      </c>
      <c r="B139" s="134" t="inlineStr">
        <is>
          <t>coronaridine</t>
        </is>
      </c>
      <c r="C139" s="134" t="n"/>
      <c r="D139" s="134" t="inlineStr">
        <is>
          <t>indole alkaloids</t>
        </is>
      </c>
      <c r="E139" s="134" t="inlineStr">
        <is>
          <t>insufficient evidence</t>
        </is>
      </c>
      <c r="F139" s="134" t="inlineStr">
        <is>
          <t>multi-target signaling modulation</t>
        </is>
      </c>
      <c r="G139" s="134" t="inlineStr">
        <is>
          <t>general or unknown targets</t>
        </is>
      </c>
      <c r="H139" s="134" t="inlineStr">
        <is>
          <t>Absorption and bioavailability vary; some compounds metabolized via cytochrome P450 enzymes.</t>
        </is>
      </c>
      <c r="I139" s="134" t="inlineStr">
        <is>
          <t>low</t>
        </is>
      </c>
      <c r="J139" s="134" t="inlineStr">
        <is>
          <t>no well-documented interactions</t>
        </is>
      </c>
      <c r="K139" s="134" t="n"/>
      <c r="L139" s="134" t="inlineStr">
        <is>
          <t>compound_level</t>
        </is>
      </c>
      <c r="M139" s="134" t="inlineStr">
        <is>
          <t>https://plants.sc.egov.usda.gov/home/search?query=Tabernaemontana%20divaricata | https://pubchem.ncbi.nlm.nih.gov/#query=coronaridine</t>
        </is>
      </c>
      <c r="N139" s="134" t="inlineStr">
        <is>
          <t>inferred_plus_trusted_gov</t>
        </is>
      </c>
      <c r="O139" s="134" t="inlineStr">
        <is>
          <t>scientific name; PubChem compound page (NIH); USDA Plants database</t>
        </is>
      </c>
      <c r="P139" s="134" t="n"/>
      <c r="Q139" s="134" t="inlineStr">
        <is>
          <t>tabernaemontana-divaricata</t>
        </is>
      </c>
      <c r="R139" s="134" t="n">
        <v>1</v>
      </c>
      <c r="S139" s="134" t="inlineStr">
        <is>
          <t>Yes</t>
        </is>
      </c>
      <c r="T139" s="134" t="inlineStr">
        <is>
          <t>Integrated from cleaned high-signal dataset</t>
        </is>
      </c>
    </row>
    <row r="140" ht="26" customHeight="1" s="76">
      <c r="A140" s="134" t="inlineStr">
        <is>
          <t>corydaline</t>
        </is>
      </c>
      <c r="B140" s="134" t="inlineStr">
        <is>
          <t>corydaline</t>
        </is>
      </c>
      <c r="C140" s="134" t="n"/>
      <c r="D140" s="134" t="inlineStr">
        <is>
          <t>other</t>
        </is>
      </c>
      <c r="E140" s="134" t="inlineStr">
        <is>
          <t>insufficient evidence</t>
        </is>
      </c>
      <c r="F140" s="134" t="inlineStr">
        <is>
          <t>multi-target signaling modulation</t>
        </is>
      </c>
      <c r="G140" s="134" t="inlineStr">
        <is>
          <t>dopaminergic_modulation; general or unknown targets</t>
        </is>
      </c>
      <c r="H140" s="134" t="inlineStr">
        <is>
          <t>Absorption and bioavailability vary; some compounds metabolized via cytochrome P450 enzymes.</t>
        </is>
      </c>
      <c r="I140" s="134" t="inlineStr">
        <is>
          <t>low</t>
        </is>
      </c>
      <c r="J140" s="134" t="inlineStr">
        <is>
          <t>no well-documented interactions</t>
        </is>
      </c>
      <c r="K140" s="134" t="n"/>
      <c r="L140" s="134" t="inlineStr">
        <is>
          <t>compound_level</t>
        </is>
      </c>
      <c r="M140" s="134" t="inlineStr">
        <is>
          <t>https://plants.sc.egov.usda.gov/home/search?query=Corydalis%20cava | https://plants.sc.egov.usda.gov/home/search?query=corydalis%20yanhusuo | https://pubchem.ncbi.nlm.nih.gov/#query=corydaline</t>
        </is>
      </c>
      <c r="N140" s="134" t="inlineStr">
        <is>
          <t>inferred_plus_trusted_gov; trusted_gov_added</t>
        </is>
      </c>
      <c r="O140" s="134" t="inlineStr">
        <is>
          <t>PubChem compound page (NIH); USDA Plants database; scientific name; PubChem compound page (NIH); USDA Plants database</t>
        </is>
      </c>
      <c r="P140" s="134" t="n"/>
      <c r="Q140" s="134" t="inlineStr">
        <is>
          <t>corydalis-cava; corydalis-yanhusuo</t>
        </is>
      </c>
      <c r="R140" s="134" t="n">
        <v>2</v>
      </c>
      <c r="S140" s="134" t="inlineStr">
        <is>
          <t>Yes</t>
        </is>
      </c>
      <c r="T140" s="134" t="inlineStr">
        <is>
          <t>Integrated from cleaned high-signal dataset</t>
        </is>
      </c>
    </row>
    <row r="141" ht="26" customHeight="1" s="76">
      <c r="A141" s="134" t="inlineStr">
        <is>
          <t>crocetin</t>
        </is>
      </c>
      <c r="B141" s="134" t="inlineStr">
        <is>
          <t>crocetin</t>
        </is>
      </c>
      <c r="C141" s="134" t="n"/>
      <c r="D141" s="134" t="inlineStr">
        <is>
          <t>other</t>
        </is>
      </c>
      <c r="E141" s="134" t="inlineStr">
        <is>
          <t>insufficient evidence</t>
        </is>
      </c>
      <c r="F141" s="134" t="inlineStr">
        <is>
          <t>multi-target signaling modulation</t>
        </is>
      </c>
      <c r="G141" s="134" t="inlineStr">
        <is>
          <t>general or unknown targets</t>
        </is>
      </c>
      <c r="H141" s="134" t="inlineStr">
        <is>
          <t>moderate absorption; hepatic metabolism</t>
        </is>
      </c>
      <c r="I141" s="134" t="inlineStr">
        <is>
          <t>low</t>
        </is>
      </c>
      <c r="J141" s="134" t="inlineStr">
        <is>
          <t>no well-documented interactions</t>
        </is>
      </c>
      <c r="K141" s="134" t="n"/>
      <c r="L141" s="134" t="inlineStr">
        <is>
          <t>compound_level</t>
        </is>
      </c>
      <c r="M141" s="134" t="inlineStr">
        <is>
          <t>https://plants.sc.egov.usda.gov/home/search?query=crocus%20sativus | https://pubchem.ncbi.nlm.nih.gov/#query=crocetin</t>
        </is>
      </c>
      <c r="N141" s="134" t="inlineStr">
        <is>
          <t>trusted_gov_added</t>
        </is>
      </c>
      <c r="O141" s="134" t="inlineStr">
        <is>
          <t>PubChem compound page (NIH); USDA Plants database</t>
        </is>
      </c>
      <c r="P141" s="134" t="n"/>
      <c r="Q141" s="134" t="inlineStr">
        <is>
          <t>crocus-sativus</t>
        </is>
      </c>
      <c r="R141" s="134" t="n">
        <v>1</v>
      </c>
      <c r="S141" s="134" t="inlineStr">
        <is>
          <t>Yes</t>
        </is>
      </c>
      <c r="T141" s="134" t="inlineStr">
        <is>
          <t>Integrated from cleaned high-signal dataset</t>
        </is>
      </c>
    </row>
    <row r="142" ht="26" customHeight="1" s="76">
      <c r="A142" s="134" t="inlineStr">
        <is>
          <t>crocin</t>
        </is>
      </c>
      <c r="B142" s="134" t="inlineStr">
        <is>
          <t>crocin</t>
        </is>
      </c>
      <c r="C142" s="134" t="n"/>
      <c r="D142" s="134" t="inlineStr">
        <is>
          <t>other</t>
        </is>
      </c>
      <c r="E142" s="134" t="inlineStr">
        <is>
          <t>insufficient evidence</t>
        </is>
      </c>
      <c r="F142" s="134" t="inlineStr">
        <is>
          <t>multi-target signaling modulation</t>
        </is>
      </c>
      <c r="G142" s="134" t="inlineStr">
        <is>
          <t>general or unknown targets</t>
        </is>
      </c>
      <c r="H142" s="134" t="inlineStr">
        <is>
          <t>moderate absorption; hepatic metabolism</t>
        </is>
      </c>
      <c r="I142" s="134" t="inlineStr">
        <is>
          <t>low</t>
        </is>
      </c>
      <c r="J142" s="134" t="inlineStr">
        <is>
          <t>no well-documented interactions</t>
        </is>
      </c>
      <c r="K142" s="134" t="n"/>
      <c r="L142" s="134" t="inlineStr">
        <is>
          <t>compound_level</t>
        </is>
      </c>
      <c r="M142" s="134" t="inlineStr">
        <is>
          <t>https://plants.sc.egov.usda.gov/home/search?query=Gardenia%20jasminoides | https://plants.sc.egov.usda.gov/home/search?query=crocus%20sativus | https://pubchem.ncbi.nlm.nih.gov/#query=crocin</t>
        </is>
      </c>
      <c r="N142" s="134" t="inlineStr">
        <is>
          <t>inferred_plus_trusted_gov; trusted_gov_added</t>
        </is>
      </c>
      <c r="O142" s="134" t="inlineStr">
        <is>
          <t>PubChem compound page (NIH); USDA Plants database; scientific name; PubChem compound page (NIH); USDA Plants database</t>
        </is>
      </c>
      <c r="P142" s="134" t="n"/>
      <c r="Q142" s="134" t="inlineStr">
        <is>
          <t>crocus-sativus; gardenia-jasminoides</t>
        </is>
      </c>
      <c r="R142" s="134" t="n">
        <v>2</v>
      </c>
      <c r="S142" s="134" t="inlineStr">
        <is>
          <t>Yes</t>
        </is>
      </c>
      <c r="T142" s="134" t="inlineStr">
        <is>
          <t>Integrated from cleaned high-signal dataset</t>
        </is>
      </c>
    </row>
    <row r="143" ht="26" customHeight="1" s="76">
      <c r="A143" s="134" t="inlineStr">
        <is>
          <t>cryogenine vertine</t>
        </is>
      </c>
      <c r="B143" s="134" t="inlineStr">
        <is>
          <t>cryogenine (vertine)</t>
        </is>
      </c>
      <c r="C143" s="134" t="n"/>
      <c r="D143" s="134" t="inlineStr">
        <is>
          <t>other</t>
        </is>
      </c>
      <c r="E143" s="134" t="inlineStr">
        <is>
          <t>Heimia alkaloids, especially vertine (cryogenine), show ataractic, antispasmodic, and anti-inflammatory activity in preclinical work; precise human psychoactive receptor targets remain unresolved.</t>
        </is>
      </c>
      <c r="F143" s="134" t="inlineStr">
        <is>
          <t>multi-target signaling modulation</t>
        </is>
      </c>
      <c r="G143" s="134" t="inlineStr">
        <is>
          <t>general or unknown targets; inflammatory_pathway_modulation</t>
        </is>
      </c>
      <c r="H143" s="134" t="inlineStr">
        <is>
          <t>Oral; affects serotonin pathways</t>
        </is>
      </c>
      <c r="I143" s="134" t="inlineStr">
        <is>
          <t>low</t>
        </is>
      </c>
      <c r="J143" s="134" t="inlineStr">
        <is>
          <t>cns depressants, alcohol.</t>
        </is>
      </c>
      <c r="K143" s="134" t="n"/>
      <c r="L143" s="134" t="inlineStr">
        <is>
          <t>compound_level</t>
        </is>
      </c>
      <c r="M143" s="134" t="inlineStr">
        <is>
          <t>https://plants.sc.egov.usda.gov/home/search?query=Heimia%20salicifolia | https://plants.sc.egov.usda.gov/home/search?query=Heimia%20spp. | https://plants.sc.egov.usda.gov/home/search?query=sinicuichi | https://pubchem.ncbi.nlm.nih.gov/#query=cryogenine%20%28vertine%29</t>
        </is>
      </c>
      <c r="N143" s="134" t="inlineStr">
        <is>
          <t>inferred_plus_trusted_gov; trusted_gov_added</t>
        </is>
      </c>
      <c r="O143" s="134" t="inlineStr">
        <is>
          <t>PubChem compound page (NIH); USDA Plants database; Unknown; PubChem compound page (NIH); USDA Plants database; scientific name; PubChem compound page (NIH); USDA Plants database</t>
        </is>
      </c>
      <c r="P143" s="134" t="n"/>
      <c r="Q143" s="134" t="inlineStr">
        <is>
          <t>heimia; heimia-salicifolia-sinicuichi; sinicuichi</t>
        </is>
      </c>
      <c r="R143" s="134" t="n">
        <v>3</v>
      </c>
      <c r="S143" s="134" t="inlineStr">
        <is>
          <t>Yes</t>
        </is>
      </c>
      <c r="T143" s="134" t="inlineStr">
        <is>
          <t>Integrated from cleaned high-signal dataset</t>
        </is>
      </c>
    </row>
    <row r="144" ht="26" customHeight="1" s="76">
      <c r="A144" s="134" t="inlineStr">
        <is>
          <t>curcumin</t>
        </is>
      </c>
      <c r="B144" s="134" t="inlineStr">
        <is>
          <t>curcumin</t>
        </is>
      </c>
      <c r="C144" s="134" t="str"/>
      <c r="D144" s="134" t="inlineStr">
        <is>
          <t>phenolic</t>
        </is>
      </c>
      <c r="E144" s="134" t="inlineStr">
        <is>
          <t>Pleiotropic anti-inflammatory polyphenol associated with suppression of NF-kB and other inflammatory signaling; many reported targets exist, but oral PK limitations complicate translation.</t>
        </is>
      </c>
      <c r="F144" s="134" t="inlineStr">
        <is>
          <t>nf-kb inhibition</t>
        </is>
      </c>
      <c r="G144" s="134" t="inlineStr">
        <is>
          <t>COX-2 pathway modulation; NF-kB pathway inhibition; NFKB1 pathway; NRF2 pathway activation</t>
        </is>
      </c>
      <c r="H144" s="134" t="inlineStr">
        <is>
          <t>Poor oral absorption with rapid metabolism and systemic clearance; formulation strongly affects exposure.</t>
        </is>
      </c>
      <c r="I144" s="134" t="inlineStr">
        <is>
          <t>Highly bioavailable formulations may harm the liver; supplement risk is formulation-dependent rather than equivalent across all turmeric intake.</t>
        </is>
      </c>
      <c r="J144" s="134" t="inlineStr">
        <is>
          <t>Anticoagulants/antiplatelets (potential additive bleeding risk); CYP-metabolized drugs (possible altered exposure); piperine-containing products may materially increase exposure</t>
        </is>
      </c>
      <c r="K144" s="134" t="inlineStr">
        <is>
          <t>moderate</t>
        </is>
      </c>
      <c r="L144" s="134" t="inlineStr">
        <is>
          <t>Sprint4</t>
        </is>
      </c>
      <c r="M144" s="134" t="inlineStr">
        <is>
          <t>https://plants.sc.egov.usda.gov/home/search?query=Curcuma%20longa | https://pubchem.ncbi.nlm.nih.gov/#query=curcumin</t>
        </is>
      </c>
      <c r="N144" s="134" t="inlineStr">
        <is>
          <t>inferred_plus_trusted_gov</t>
        </is>
      </c>
      <c r="O144" s="134" t="inlineStr">
        <is>
          <t>scientific name; PubChem compound page (NIH); USDA Plants database</t>
        </is>
      </c>
      <c r="P144" s="134" t="inlineStr">
        <is>
          <t>precision_monographs_sprint4.xlsx</t>
        </is>
      </c>
      <c r="Q144" s="134" t="inlineStr">
        <is>
          <t>turmeric</t>
        </is>
      </c>
      <c r="R144" s="134" t="n">
        <v>1</v>
      </c>
      <c r="S144" s="134" t="inlineStr">
        <is>
          <t>Yes</t>
        </is>
      </c>
      <c r="T144" s="134" t="inlineStr">
        <is>
          <t>Integrated from cleaned high-signal dataset; Integrated from compound monograph workbook</t>
        </is>
      </c>
    </row>
    <row r="145" ht="26" customHeight="1" s="76">
      <c r="A145" s="134" t="inlineStr">
        <is>
          <t>curcuminoids</t>
        </is>
      </c>
      <c r="B145" s="134" t="inlineStr">
        <is>
          <t>curcuminoids</t>
        </is>
      </c>
      <c r="C145" s="134" t="n"/>
      <c r="D145" s="134" t="inlineStr">
        <is>
          <t>polyphenol</t>
        </is>
      </c>
      <c r="E145" s="134" t="inlineStr">
        <is>
          <t>Inhibits NF-kB and COX-2 signaling</t>
        </is>
      </c>
      <c r="F145" s="134" t="n"/>
      <c r="G145" s="134" t="inlineStr">
        <is>
          <t>COX-2 inhibition; NF-kB inhibition</t>
        </is>
      </c>
      <c r="H145" s="134" t="n"/>
      <c r="I145" s="134" t="n"/>
      <c r="J145" s="134" t="inlineStr">
        <is>
          <t>Anticoagulants (↑ bleeding risk)</t>
        </is>
      </c>
      <c r="K145" s="134" t="n"/>
      <c r="L145" s="134" t="inlineStr">
        <is>
          <t>Batch8</t>
        </is>
      </c>
      <c r="M145" s="134" t="n"/>
      <c r="N145" s="134" t="n"/>
      <c r="O145" s="134" t="n"/>
      <c r="P145" s="134" t="inlineStr">
        <is>
          <t>precision_monographs_batch8.xlsx</t>
        </is>
      </c>
      <c r="Q145" s="134" t="n"/>
      <c r="R145" s="134" t="n">
        <v>0</v>
      </c>
      <c r="S145" s="134" t="inlineStr">
        <is>
          <t>No</t>
        </is>
      </c>
      <c r="T145" s="134" t="inlineStr">
        <is>
          <t>Integrated from compound monograph workbook</t>
        </is>
      </c>
    </row>
    <row r="146" ht="26" customHeight="1" s="76">
      <c r="A146" s="134" t="inlineStr">
        <is>
          <t>curcuminoids curcumin</t>
        </is>
      </c>
      <c r="B146" s="134" t="inlineStr">
        <is>
          <t>curcuminoids (curcumin)</t>
        </is>
      </c>
      <c r="C146" s="134" t="n"/>
      <c r="D146" s="134" t="inlineStr">
        <is>
          <t>other</t>
        </is>
      </c>
      <c r="E146" s="134" t="inlineStr">
        <is>
          <t>insufficient evidence</t>
        </is>
      </c>
      <c r="F146" s="134" t="inlineStr">
        <is>
          <t>nf-kb inhibition</t>
        </is>
      </c>
      <c r="G146" s="134" t="inlineStr">
        <is>
          <t>inflammatory_pathway_modulation</t>
        </is>
      </c>
      <c r="H146" s="134" t="inlineStr">
        <is>
          <t>oral absorption; hepatic metabolism; systemic distribution</t>
        </is>
      </c>
      <c r="I146" s="134" t="inlineStr">
        <is>
          <t>low</t>
        </is>
      </c>
      <c r="J146" s="134" t="inlineStr">
        <is>
          <t>no well-documented interactions</t>
        </is>
      </c>
      <c r="K146" s="134" t="n"/>
      <c r="L146" s="134" t="inlineStr">
        <is>
          <t>compound_level</t>
        </is>
      </c>
      <c r="M146" s="134" t="inlineStr">
        <is>
          <t>https://plants.sc.egov.usda.gov/home/search?query=turmeric | https://pubchem.ncbi.nlm.nih.gov/#query=curcuminoids%20%28curcumin%29</t>
        </is>
      </c>
      <c r="N146" s="134" t="inlineStr">
        <is>
          <t>trusted_gov_added</t>
        </is>
      </c>
      <c r="O146" s="134" t="inlineStr">
        <is>
          <t>PubChem compound page (NIH); USDA Plants database</t>
        </is>
      </c>
      <c r="P146" s="134" t="n"/>
      <c r="Q146" s="134" t="inlineStr">
        <is>
          <t>curcuma-longa</t>
        </is>
      </c>
      <c r="R146" s="134" t="n">
        <v>1</v>
      </c>
      <c r="S146" s="134" t="inlineStr">
        <is>
          <t>Yes</t>
        </is>
      </c>
      <c r="T146" s="134" t="inlineStr">
        <is>
          <t>Integrated from cleaned high-signal dataset</t>
        </is>
      </c>
    </row>
    <row r="147" ht="26" customHeight="1" s="76">
      <c r="A147" s="134" t="inlineStr">
        <is>
          <t>cuscohygrine</t>
        </is>
      </c>
      <c r="B147" s="134" t="inlineStr">
        <is>
          <t>cuscohygrine</t>
        </is>
      </c>
      <c r="C147" s="134" t="n"/>
      <c r="D147" s="134" t="inlineStr">
        <is>
          <t>other</t>
        </is>
      </c>
      <c r="E147" s="134" t="inlineStr">
        <is>
          <t>insufficient evidence</t>
        </is>
      </c>
      <c r="F147" s="134" t="inlineStr">
        <is>
          <t>multi-target signaling modulation</t>
        </is>
      </c>
      <c r="G147" s="134" t="inlineStr">
        <is>
          <t>dopaminergic_modulation</t>
        </is>
      </c>
      <c r="H147" s="134" t="inlineStr">
        <is>
          <t>moderate absorption; hepatic metabolism</t>
        </is>
      </c>
      <c r="I147" s="134" t="inlineStr">
        <is>
          <t>low</t>
        </is>
      </c>
      <c r="J147" s="134" t="inlineStr">
        <is>
          <t>no well-documented interactions</t>
        </is>
      </c>
      <c r="K147" s="134" t="n"/>
      <c r="L147" s="134" t="inlineStr">
        <is>
          <t>compound_level</t>
        </is>
      </c>
      <c r="M147" s="134" t="inlineStr">
        <is>
          <t>https://plants.sc.egov.usda.gov/home/search?query=coca | https://plants.sc.egov.usda.gov/home/search?query=coca%20leaf | https://pubchem.ncbi.nlm.nih.gov/#query=cuscohygrine</t>
        </is>
      </c>
      <c r="N147" s="134" t="inlineStr">
        <is>
          <t>trusted_gov_added</t>
        </is>
      </c>
      <c r="O147" s="134" t="inlineStr">
        <is>
          <t>PubChem compound page (NIH); USDA Plants database</t>
        </is>
      </c>
      <c r="P147" s="134" t="n"/>
      <c r="Q147" s="134" t="inlineStr">
        <is>
          <t>coca; coca-leaf</t>
        </is>
      </c>
      <c r="R147" s="134" t="n">
        <v>2</v>
      </c>
      <c r="S147" s="134" t="inlineStr">
        <is>
          <t>Yes</t>
        </is>
      </c>
      <c r="T147" s="134" t="inlineStr">
        <is>
          <t>Integrated from cleaned high-signal dataset</t>
        </is>
      </c>
    </row>
    <row r="148" ht="26" customHeight="1" s="76">
      <c r="A148" s="134" t="inlineStr">
        <is>
          <t>cyanidin</t>
        </is>
      </c>
      <c r="B148" s="134" t="inlineStr">
        <is>
          <t>cyanidin)</t>
        </is>
      </c>
      <c r="C148" s="134" t="n"/>
      <c r="D148" s="134" t="inlineStr">
        <is>
          <t>other</t>
        </is>
      </c>
      <c r="E148" s="134" t="inlineStr">
        <is>
          <t>Anthocyanins and organic acids contribute antioxidant and ACE-inhibitory activity.</t>
        </is>
      </c>
      <c r="F148" s="134" t="inlineStr">
        <is>
          <t>multi-target signaling modulation</t>
        </is>
      </c>
      <c r="G148" s="134" t="inlineStr">
        <is>
          <t>general or unknown targets</t>
        </is>
      </c>
      <c r="H148" s="134" t="inlineStr">
        <is>
          <t>moderate absorption; hepatic metabolism</t>
        </is>
      </c>
      <c r="I148" s="134" t="inlineStr">
        <is>
          <t>low</t>
        </is>
      </c>
      <c r="J148" s="134" t="inlineStr">
        <is>
          <t>no well-documented interactions</t>
        </is>
      </c>
      <c r="K148" s="134" t="n"/>
      <c r="L148" s="134" t="inlineStr">
        <is>
          <t>compound_level</t>
        </is>
      </c>
      <c r="M148" s="134" t="inlineStr">
        <is>
          <t>https://plants.sc.egov.usda.gov/home/search?query=hibiscus%20sabdariffa | https://pubchem.ncbi.nlm.nih.gov/#query=cyanidin%29</t>
        </is>
      </c>
      <c r="N148" s="134" t="inlineStr">
        <is>
          <t>trusted_gov_added</t>
        </is>
      </c>
      <c r="O148" s="134" t="inlineStr">
        <is>
          <t>PubChem compound page (NIH); USDA Plants database</t>
        </is>
      </c>
      <c r="P148" s="134" t="n"/>
      <c r="Q148" s="134" t="inlineStr">
        <is>
          <t>hibiscus-sabdariffa</t>
        </is>
      </c>
      <c r="R148" s="134" t="n">
        <v>1</v>
      </c>
      <c r="S148" s="134" t="inlineStr">
        <is>
          <t>Yes</t>
        </is>
      </c>
      <c r="T148" s="134" t="inlineStr">
        <is>
          <t>Integrated from cleaned high-signal dataset</t>
        </is>
      </c>
    </row>
    <row r="149" ht="26" customHeight="1" s="76">
      <c r="A149" s="134" t="inlineStr">
        <is>
          <t>cynarin</t>
        </is>
      </c>
      <c r="B149" s="134" t="inlineStr">
        <is>
          <t>cynarin</t>
        </is>
      </c>
      <c r="C149" s="134" t="n"/>
      <c r="D149" s="134" t="inlineStr">
        <is>
          <t>Cynarin, caffeoylquinic acids, flavonoids</t>
        </is>
      </c>
      <c r="E149" s="134" t="inlineStr">
        <is>
          <t>insufficient evidence</t>
        </is>
      </c>
      <c r="F149" s="134" t="inlineStr">
        <is>
          <t>multi-target signaling modulation</t>
        </is>
      </c>
      <c r="G149" s="134" t="inlineStr">
        <is>
          <t>general or unknown targets</t>
        </is>
      </c>
      <c r="H149" s="134" t="inlineStr">
        <is>
          <t>Oral; bile stimulant and lipid lowering</t>
        </is>
      </c>
      <c r="I149" s="134" t="inlineStr">
        <is>
          <t>low</t>
        </is>
      </c>
      <c r="J149" s="134" t="inlineStr">
        <is>
          <t>no well-documented interactions</t>
        </is>
      </c>
      <c r="K149" s="134" t="n"/>
      <c r="L149" s="134" t="inlineStr">
        <is>
          <t>compound_level</t>
        </is>
      </c>
      <c r="M149" s="134" t="inlineStr">
        <is>
          <t>https://plants.sc.egov.usda.gov/home/search?query=Cynara%20scolymus | https://pubchem.ncbi.nlm.nih.gov/#query=cynarin</t>
        </is>
      </c>
      <c r="N149" s="134" t="inlineStr">
        <is>
          <t>inferred_plus_trusted_gov</t>
        </is>
      </c>
      <c r="O149" s="134" t="inlineStr">
        <is>
          <t>scientific name; PubChem compound page (NIH); USDA Plants database</t>
        </is>
      </c>
      <c r="P149" s="134" t="n"/>
      <c r="Q149" s="134" t="inlineStr">
        <is>
          <t>echinacea-purpurea</t>
        </is>
      </c>
      <c r="R149" s="134" t="n">
        <v>1</v>
      </c>
      <c r="S149" s="134" t="inlineStr">
        <is>
          <t>Yes</t>
        </is>
      </c>
      <c r="T149" s="134" t="inlineStr">
        <is>
          <t>Integrated from cleaned high-signal dataset</t>
        </is>
      </c>
    </row>
    <row r="150" ht="26" customHeight="1" s="76">
      <c r="A150" s="134" t="inlineStr">
        <is>
          <t>cyperene</t>
        </is>
      </c>
      <c r="B150" s="134" t="inlineStr">
        <is>
          <t>cyperene</t>
        </is>
      </c>
      <c r="C150" s="134" t="n"/>
      <c r="D150" s="134" t="inlineStr">
        <is>
          <t>Cyperene, flavonoids, sesquiterpenes</t>
        </is>
      </c>
      <c r="E150" s="134" t="inlineStr">
        <is>
          <t>insufficient evidence</t>
        </is>
      </c>
      <c r="F150" s="134" t="inlineStr">
        <is>
          <t>multi-target signaling modulation</t>
        </is>
      </c>
      <c r="G150" s="134" t="inlineStr">
        <is>
          <t>general or unknown targets</t>
        </is>
      </c>
      <c r="H150" s="134" t="inlineStr">
        <is>
          <t>Oral; adaptogen and antispasmodic</t>
        </is>
      </c>
      <c r="I150" s="134" t="inlineStr">
        <is>
          <t>low</t>
        </is>
      </c>
      <c r="J150" s="134" t="inlineStr">
        <is>
          <t>no well-documented interactions</t>
        </is>
      </c>
      <c r="K150" s="134" t="n"/>
      <c r="L150" s="134" t="inlineStr">
        <is>
          <t>compound_level</t>
        </is>
      </c>
      <c r="M150" s="134" t="inlineStr">
        <is>
          <t>https://plants.sc.egov.usda.gov/home/search?query=Cyperus%20rotundus | https://pubchem.ncbi.nlm.nih.gov/#query=cyperene</t>
        </is>
      </c>
      <c r="N150" s="134" t="inlineStr">
        <is>
          <t>inferred_plus_trusted_gov</t>
        </is>
      </c>
      <c r="O150" s="134" t="inlineStr">
        <is>
          <t>scientific name; PubChem compound page (NIH); USDA Plants database</t>
        </is>
      </c>
      <c r="P150" s="134" t="n"/>
      <c r="Q150" s="134" t="inlineStr">
        <is>
          <t>cyperus-rotundus</t>
        </is>
      </c>
      <c r="R150" s="134" t="n">
        <v>1</v>
      </c>
      <c r="S150" s="134" t="inlineStr">
        <is>
          <t>Yes</t>
        </is>
      </c>
      <c r="T150" s="134" t="inlineStr">
        <is>
          <t>Integrated from cleaned high-signal dataset</t>
        </is>
      </c>
    </row>
    <row r="151" ht="26" customHeight="1" s="76">
      <c r="A151" s="134" t="inlineStr">
        <is>
          <t>daidzein</t>
        </is>
      </c>
      <c r="B151" s="134" t="inlineStr">
        <is>
          <t>daidzein)</t>
        </is>
      </c>
      <c r="C151" s="134" t="n"/>
      <c r="D151" s="134" t="inlineStr">
        <is>
          <t>other</t>
        </is>
      </c>
      <c r="E151" s="134" t="inlineStr">
        <is>
          <t>insufficient evidence</t>
        </is>
      </c>
      <c r="F151" s="134" t="inlineStr">
        <is>
          <t>multi-target signaling modulation</t>
        </is>
      </c>
      <c r="G151" s="134" t="inlineStr">
        <is>
          <t>general or unknown targets</t>
        </is>
      </c>
      <c r="H151" s="134" t="inlineStr">
        <is>
          <t>Oral; estrogen receptor modulation</t>
        </is>
      </c>
      <c r="I151" s="134" t="inlineStr">
        <is>
          <t>low</t>
        </is>
      </c>
      <c r="J151" s="134" t="inlineStr">
        <is>
          <t>no well-documented interactions</t>
        </is>
      </c>
      <c r="K151" s="134" t="n"/>
      <c r="L151" s="134" t="inlineStr">
        <is>
          <t>compound_level</t>
        </is>
      </c>
      <c r="M151" s="134" t="inlineStr">
        <is>
          <t>https://plants.sc.egov.usda.gov/home/search?query=Trifolium%20pratense | https://pubchem.ncbi.nlm.nih.gov/#query=daidzein%29</t>
        </is>
      </c>
      <c r="N151" s="134" t="inlineStr">
        <is>
          <t>inferred_plus_trusted_gov</t>
        </is>
      </c>
      <c r="O151" s="134" t="inlineStr">
        <is>
          <t>scientific name; PubChem compound page (NIH); USDA Plants database</t>
        </is>
      </c>
      <c r="P151" s="134" t="n"/>
      <c r="Q151" s="134" t="inlineStr">
        <is>
          <t>trifolium-pratense</t>
        </is>
      </c>
      <c r="R151" s="134" t="n">
        <v>1</v>
      </c>
      <c r="S151" s="134" t="inlineStr">
        <is>
          <t>Yes</t>
        </is>
      </c>
      <c r="T151" s="134" t="inlineStr">
        <is>
          <t>Integrated from cleaned high-signal dataset</t>
        </is>
      </c>
    </row>
    <row r="152" ht="26" customHeight="1" s="76">
      <c r="A152" s="134" t="inlineStr">
        <is>
          <t>damnacanthal</t>
        </is>
      </c>
      <c r="B152" s="134" t="inlineStr">
        <is>
          <t>damnacanthal</t>
        </is>
      </c>
      <c r="C152" s="134" t="n"/>
      <c r="D152" s="134" t="inlineStr">
        <is>
          <t>Scopoletin, damnacanthal, polysaccharides</t>
        </is>
      </c>
      <c r="E152" s="134" t="inlineStr">
        <is>
          <t>insufficient evidence</t>
        </is>
      </c>
      <c r="F152" s="134" t="inlineStr">
        <is>
          <t>multi-target signaling modulation</t>
        </is>
      </c>
      <c r="G152" s="134" t="inlineStr">
        <is>
          <t>general or unknown targets</t>
        </is>
      </c>
      <c r="H152" s="134" t="inlineStr">
        <is>
          <t>Oral; anti-inflammatory and adaptogenic</t>
        </is>
      </c>
      <c r="I152" s="134" t="inlineStr">
        <is>
          <t>low</t>
        </is>
      </c>
      <c r="J152" s="134" t="inlineStr">
        <is>
          <t>no well-documented interactions</t>
        </is>
      </c>
      <c r="K152" s="134" t="n"/>
      <c r="L152" s="134" t="inlineStr">
        <is>
          <t>compound_level</t>
        </is>
      </c>
      <c r="M152" s="134" t="inlineStr">
        <is>
          <t>https://plants.sc.egov.usda.gov/home/search?query=Morinda%20citrifolia | https://pubchem.ncbi.nlm.nih.gov/#query=damnacanthal</t>
        </is>
      </c>
      <c r="N152" s="134" t="inlineStr">
        <is>
          <t>inferred_plus_trusted_gov</t>
        </is>
      </c>
      <c r="O152" s="134" t="inlineStr">
        <is>
          <t>scientific name; PubChem compound page (NIH); USDA Plants database</t>
        </is>
      </c>
      <c r="P152" s="134" t="n"/>
      <c r="Q152" s="134" t="inlineStr">
        <is>
          <t>morinda-citrifolia</t>
        </is>
      </c>
      <c r="R152" s="134" t="n">
        <v>1</v>
      </c>
      <c r="S152" s="134" t="inlineStr">
        <is>
          <t>Yes</t>
        </is>
      </c>
      <c r="T152" s="134" t="inlineStr">
        <is>
          <t>Integrated from cleaned high-signal dataset</t>
        </is>
      </c>
    </row>
    <row r="153" ht="26" customHeight="1" s="76">
      <c r="A153" s="134" t="inlineStr">
        <is>
          <t>dehydrocorybulbine</t>
        </is>
      </c>
      <c r="B153" s="134" t="inlineStr">
        <is>
          <t>dehydrocorybulbine</t>
        </is>
      </c>
      <c r="C153" s="134" t="n"/>
      <c r="D153" s="134" t="inlineStr">
        <is>
          <t>other</t>
        </is>
      </c>
      <c r="E153" s="134" t="inlineStr">
        <is>
          <t>insufficient evidence</t>
        </is>
      </c>
      <c r="F153" s="134" t="inlineStr">
        <is>
          <t>multi-target signaling modulation</t>
        </is>
      </c>
      <c r="G153" s="134" t="inlineStr">
        <is>
          <t>dopaminergic_modulation</t>
        </is>
      </c>
      <c r="H153" s="134" t="inlineStr">
        <is>
          <t>moderate absorption; hepatic metabolism</t>
        </is>
      </c>
      <c r="I153" s="134" t="inlineStr">
        <is>
          <t>low</t>
        </is>
      </c>
      <c r="J153" s="134" t="inlineStr">
        <is>
          <t>no well-documented interactions</t>
        </is>
      </c>
      <c r="K153" s="134" t="n"/>
      <c r="L153" s="134" t="inlineStr">
        <is>
          <t>compound_level</t>
        </is>
      </c>
      <c r="M153" s="134" t="inlineStr">
        <is>
          <t>https://plants.sc.egov.usda.gov/home/search?query=corydalis%20yanhusuo | https://pubchem.ncbi.nlm.nih.gov/#query=dehydrocorybulbine</t>
        </is>
      </c>
      <c r="N153" s="134" t="inlineStr">
        <is>
          <t>trusted_gov_added</t>
        </is>
      </c>
      <c r="O153" s="134" t="inlineStr">
        <is>
          <t>PubChem compound page (NIH); USDA Plants database</t>
        </is>
      </c>
      <c r="P153" s="134" t="n"/>
      <c r="Q153" s="134" t="inlineStr">
        <is>
          <t>corydalis-yanhusuo</t>
        </is>
      </c>
      <c r="R153" s="134" t="n">
        <v>1</v>
      </c>
      <c r="S153" s="134" t="inlineStr">
        <is>
          <t>Yes</t>
        </is>
      </c>
      <c r="T153" s="134" t="inlineStr">
        <is>
          <t>Integrated from cleaned high-signal dataset</t>
        </is>
      </c>
    </row>
    <row r="154" ht="26" customHeight="1" s="76">
      <c r="A154" s="134" t="inlineStr">
        <is>
          <t>dehydrocorydalmine</t>
        </is>
      </c>
      <c r="B154" s="134" t="inlineStr">
        <is>
          <t>dehydrocorydalmine</t>
        </is>
      </c>
      <c r="C154" s="134" t="n"/>
      <c r="D154" s="134" t="inlineStr">
        <is>
          <t>protopine alkaloids</t>
        </is>
      </c>
      <c r="E154" s="134" t="inlineStr">
        <is>
          <t>insufficient evidence</t>
        </is>
      </c>
      <c r="F154" s="134" t="inlineStr">
        <is>
          <t>multi-target signaling modulation</t>
        </is>
      </c>
      <c r="G154" s="134" t="inlineStr">
        <is>
          <t>general or unknown targets</t>
        </is>
      </c>
      <c r="H154" s="134" t="inlineStr">
        <is>
          <t>good oral absorption; CNS penetration; hepatic metabolism</t>
        </is>
      </c>
      <c r="I154" s="134" t="inlineStr">
        <is>
          <t>low</t>
        </is>
      </c>
      <c r="J154" s="134" t="inlineStr">
        <is>
          <t>no well-documented interactions</t>
        </is>
      </c>
      <c r="K154" s="134" t="n"/>
      <c r="L154" s="134" t="inlineStr">
        <is>
          <t>compound_level</t>
        </is>
      </c>
      <c r="M154" s="134" t="inlineStr">
        <is>
          <t>https://plants.sc.egov.usda.gov/home/search?query=argemone%20mexicana | https://pubchem.ncbi.nlm.nih.gov/#query=dehydrocorydalmine</t>
        </is>
      </c>
      <c r="N154" s="134" t="inlineStr">
        <is>
          <t>trusted_gov_added</t>
        </is>
      </c>
      <c r="O154" s="134" t="inlineStr">
        <is>
          <t>PubChem compound page (NIH); USDA Plants database</t>
        </is>
      </c>
      <c r="P154" s="134" t="n"/>
      <c r="Q154" s="134" t="inlineStr">
        <is>
          <t>argemone-mexicana</t>
        </is>
      </c>
      <c r="R154" s="134" t="n">
        <v>1</v>
      </c>
      <c r="S154" s="134" t="inlineStr">
        <is>
          <t>Yes</t>
        </is>
      </c>
      <c r="T154" s="134" t="inlineStr">
        <is>
          <t>Integrated from cleaned high-signal dataset</t>
        </is>
      </c>
    </row>
    <row r="155" ht="26" customHeight="1" s="76">
      <c r="A155" s="134" t="inlineStr">
        <is>
          <t>dendrobine</t>
        </is>
      </c>
      <c r="B155" s="134" t="inlineStr">
        <is>
          <t>dendrobine</t>
        </is>
      </c>
      <c r="C155" s="134" t="n"/>
      <c r="D155" s="134" t="inlineStr">
        <is>
          <t>alkaloids</t>
        </is>
      </c>
      <c r="E155" s="134" t="inlineStr">
        <is>
          <t>insufficient evidence</t>
        </is>
      </c>
      <c r="F155" s="134" t="inlineStr">
        <is>
          <t>multi-target signaling modulation</t>
        </is>
      </c>
      <c r="G155" s="134" t="inlineStr">
        <is>
          <t>general or unknown targets</t>
        </is>
      </c>
      <c r="H155" s="134" t="inlineStr">
        <is>
          <t>Absorption and bioavailability vary; some compounds metabolized via cytochrome P450 enzymes.</t>
        </is>
      </c>
      <c r="I155" s="134" t="inlineStr">
        <is>
          <t>low</t>
        </is>
      </c>
      <c r="J155" s="134" t="inlineStr">
        <is>
          <t>no well-documented interactions</t>
        </is>
      </c>
      <c r="K155" s="134" t="n"/>
      <c r="L155" s="134" t="inlineStr">
        <is>
          <t>compound_level</t>
        </is>
      </c>
      <c r="M155" s="134" t="inlineStr">
        <is>
          <t>https://plants.sc.egov.usda.gov/home/search?query=Dendrobium%20nobile | https://pubchem.ncbi.nlm.nih.gov/#query=dendrobine</t>
        </is>
      </c>
      <c r="N155" s="134" t="inlineStr">
        <is>
          <t>inferred_plus_trusted_gov</t>
        </is>
      </c>
      <c r="O155" s="134" t="inlineStr">
        <is>
          <t>scientific name; PubChem compound page (NIH); USDA Plants database</t>
        </is>
      </c>
      <c r="P155" s="134" t="n"/>
      <c r="Q155" s="134" t="inlineStr">
        <is>
          <t>dendrobium-nobile</t>
        </is>
      </c>
      <c r="R155" s="134" t="n">
        <v>1</v>
      </c>
      <c r="S155" s="134" t="inlineStr">
        <is>
          <t>Yes</t>
        </is>
      </c>
      <c r="T155" s="134" t="inlineStr">
        <is>
          <t>Integrated from cleaned high-signal dataset</t>
        </is>
      </c>
    </row>
    <row r="156" ht="26" customHeight="1" s="76">
      <c r="A156" s="134" t="inlineStr">
        <is>
          <t>deoxymiroestrol</t>
        </is>
      </c>
      <c r="B156" s="134" t="inlineStr">
        <is>
          <t>deoxymiroestrol</t>
        </is>
      </c>
      <c r="C156" s="134" t="n"/>
      <c r="D156" s="134" t="inlineStr">
        <is>
          <t>other</t>
        </is>
      </c>
      <c r="E156" s="134" t="inlineStr">
        <is>
          <t>insufficient evidence</t>
        </is>
      </c>
      <c r="F156" s="134" t="inlineStr">
        <is>
          <t>multi-target signaling modulation</t>
        </is>
      </c>
      <c r="G156" s="134" t="inlineStr">
        <is>
          <t>general or unknown targets</t>
        </is>
      </c>
      <c r="H156" s="134" t="inlineStr">
        <is>
          <t>Oral; mimics estrogen receptor activity</t>
        </is>
      </c>
      <c r="I156" s="134" t="inlineStr">
        <is>
          <t>low</t>
        </is>
      </c>
      <c r="J156" s="134" t="inlineStr">
        <is>
          <t>no well-documented interactions</t>
        </is>
      </c>
      <c r="K156" s="134" t="n"/>
      <c r="L156" s="134" t="inlineStr">
        <is>
          <t>compound_level</t>
        </is>
      </c>
      <c r="M156" s="134" t="inlineStr">
        <is>
          <t>https://plants.sc.egov.usda.gov/home/search?query=Pueraria%20mirifica | https://pubchem.ncbi.nlm.nih.gov/#query=deoxymiroestrol</t>
        </is>
      </c>
      <c r="N156" s="134" t="inlineStr">
        <is>
          <t>inferred_plus_trusted_gov</t>
        </is>
      </c>
      <c r="O156" s="134" t="inlineStr">
        <is>
          <t>scientific name; PubChem compound page (NIH); USDA Plants database</t>
        </is>
      </c>
      <c r="P156" s="134" t="n"/>
      <c r="Q156" s="134" t="inlineStr">
        <is>
          <t>pueraria-mirifica</t>
        </is>
      </c>
      <c r="R156" s="134" t="n">
        <v>1</v>
      </c>
      <c r="S156" s="134" t="inlineStr">
        <is>
          <t>Yes</t>
        </is>
      </c>
      <c r="T156" s="134" t="inlineStr">
        <is>
          <t>Integrated from cleaned high-signal dataset</t>
        </is>
      </c>
    </row>
    <row r="157" ht="26" customHeight="1" s="76">
      <c r="A157" s="134" t="inlineStr">
        <is>
          <t>desmethoxyyangonin</t>
        </is>
      </c>
      <c r="B157" s="134" t="inlineStr">
        <is>
          <t>desmethoxyyangonin</t>
        </is>
      </c>
      <c r="C157" s="134" t="n"/>
      <c r="D157" s="134" t="inlineStr">
        <is>
          <t>other</t>
        </is>
      </c>
      <c r="E157" s="134" t="inlineStr">
        <is>
          <t>Kavalactones modulate GABA_A receptor activity, inhibit voltage-gated sodium and calcium channels, and influence dopamine signaling.</t>
        </is>
      </c>
      <c r="F157" s="134" t="inlineStr">
        <is>
          <t>gaba_a_modulation; multi-target signaling modulation</t>
        </is>
      </c>
      <c r="G157" s="134" t="inlineStr">
        <is>
          <t>dopaminergic_modulation; gabaergic_modulation</t>
        </is>
      </c>
      <c r="H157" s="134" t="inlineStr">
        <is>
          <t>moderate absorption; hepatic metabolism</t>
        </is>
      </c>
      <c r="I157" s="134" t="inlineStr">
        <is>
          <t>low</t>
        </is>
      </c>
      <c r="J157" s="134" t="inlineStr">
        <is>
          <t>no well-documented interactions</t>
        </is>
      </c>
      <c r="K157" s="134" t="n"/>
      <c r="L157" s="134" t="inlineStr">
        <is>
          <t>compound_level</t>
        </is>
      </c>
      <c r="M157" s="134" t="inlineStr">
        <is>
          <t>https://plants.sc.egov.usda.gov/home/search?query=kava | https://plants.sc.egov.usda.gov/home/search?query=piper%20methysticum | https://pubchem.ncbi.nlm.nih.gov/#query=desmethoxyyangonin</t>
        </is>
      </c>
      <c r="N157" s="134" t="inlineStr">
        <is>
          <t>trusted_gov_added</t>
        </is>
      </c>
      <c r="O157" s="134" t="inlineStr">
        <is>
          <t>PubChem compound page (NIH); USDA Plants database</t>
        </is>
      </c>
      <c r="P157" s="134" t="n"/>
      <c r="Q157" s="134" t="inlineStr">
        <is>
          <t>kava</t>
        </is>
      </c>
      <c r="R157" s="134" t="n">
        <v>1</v>
      </c>
      <c r="S157" s="134" t="inlineStr">
        <is>
          <t>Yes</t>
        </is>
      </c>
      <c r="T157" s="134" t="inlineStr">
        <is>
          <t>Integrated from cleaned high-signal dataset</t>
        </is>
      </c>
    </row>
    <row r="158" ht="26" customHeight="1" s="76">
      <c r="A158" s="134" t="inlineStr">
        <is>
          <t>dibenzyl trisulfide</t>
        </is>
      </c>
      <c r="B158" s="134" t="inlineStr">
        <is>
          <t>dibenzyl trisulfide</t>
        </is>
      </c>
      <c r="C158" s="134" t="n"/>
      <c r="D158" s="134" t="inlineStr">
        <is>
          <t>other</t>
        </is>
      </c>
      <c r="E158" s="134" t="inlineStr">
        <is>
          <t>insufficient evidence</t>
        </is>
      </c>
      <c r="F158" s="134" t="inlineStr">
        <is>
          <t>multi-target signaling modulation</t>
        </is>
      </c>
      <c r="G158" s="134" t="inlineStr">
        <is>
          <t>general or unknown targets</t>
        </is>
      </c>
      <c r="H158" s="134" t="inlineStr">
        <is>
          <t>Absorption and bioavailability vary; some compounds metabolized via cytochrome P450 enzymes.</t>
        </is>
      </c>
      <c r="I158" s="134" t="inlineStr">
        <is>
          <t>low</t>
        </is>
      </c>
      <c r="J158" s="134" t="inlineStr">
        <is>
          <t>no well-documented interactions</t>
        </is>
      </c>
      <c r="K158" s="134" t="n"/>
      <c r="L158" s="134" t="inlineStr">
        <is>
          <t>compound_level</t>
        </is>
      </c>
      <c r="M158" s="134" t="inlineStr">
        <is>
          <t>https://plants.sc.egov.usda.gov/home/search?query=Petiveria%20alliacea | https://pubchem.ncbi.nlm.nih.gov/#query=dibenzyl%20trisulfide</t>
        </is>
      </c>
      <c r="N158" s="134" t="inlineStr">
        <is>
          <t>inferred_plus_trusted_gov</t>
        </is>
      </c>
      <c r="O158" s="134" t="inlineStr">
        <is>
          <t>scientific name; PubChem compound page (NIH); USDA Plants database</t>
        </is>
      </c>
      <c r="P158" s="134" t="n"/>
      <c r="Q158" s="134" t="inlineStr">
        <is>
          <t>petiveria-alliacea</t>
        </is>
      </c>
      <c r="R158" s="134" t="n">
        <v>1</v>
      </c>
      <c r="S158" s="134" t="inlineStr">
        <is>
          <t>Yes</t>
        </is>
      </c>
      <c r="T158" s="134" t="inlineStr">
        <is>
          <t>Integrated from cleaned high-signal dataset</t>
        </is>
      </c>
    </row>
    <row r="159" ht="26" customHeight="1" s="76">
      <c r="A159" s="134" t="inlineStr">
        <is>
          <t>digitoxin</t>
        </is>
      </c>
      <c r="B159" s="134" t="inlineStr">
        <is>
          <t>digitoxin</t>
        </is>
      </c>
      <c r="C159" s="134" t="n"/>
      <c r="D159" s="134" t="inlineStr">
        <is>
          <t>other</t>
        </is>
      </c>
      <c r="E159" s="134" t="inlineStr">
        <is>
          <t>insufficient evidence</t>
        </is>
      </c>
      <c r="F159" s="134" t="inlineStr">
        <is>
          <t>multi-target signaling modulation</t>
        </is>
      </c>
      <c r="G159" s="134" t="inlineStr">
        <is>
          <t>general or unknown targets</t>
        </is>
      </c>
      <c r="H159" s="134" t="inlineStr">
        <is>
          <t>moderate absorption; hepatic metabolism</t>
        </is>
      </c>
      <c r="I159" s="134" t="inlineStr">
        <is>
          <t>low</t>
        </is>
      </c>
      <c r="J159" s="134" t="inlineStr">
        <is>
          <t>no well-documented interactions</t>
        </is>
      </c>
      <c r="K159" s="134" t="n"/>
      <c r="L159" s="134" t="inlineStr">
        <is>
          <t>compound_level</t>
        </is>
      </c>
      <c r="M159" s="134" t="inlineStr">
        <is>
          <t>https://plants.sc.egov.usda.gov/home/search?query=foxglove | https://pubchem.ncbi.nlm.nih.gov/#query=digitoxin</t>
        </is>
      </c>
      <c r="N159" s="134" t="inlineStr">
        <is>
          <t>trusted_gov_added</t>
        </is>
      </c>
      <c r="O159" s="134" t="inlineStr">
        <is>
          <t>PubChem compound page (NIH); USDA Plants database</t>
        </is>
      </c>
      <c r="P159" s="134" t="n"/>
      <c r="Q159" s="134" t="inlineStr">
        <is>
          <t>foxglove</t>
        </is>
      </c>
      <c r="R159" s="134" t="n">
        <v>1</v>
      </c>
      <c r="S159" s="134" t="inlineStr">
        <is>
          <t>Yes</t>
        </is>
      </c>
      <c r="T159" s="134" t="inlineStr">
        <is>
          <t>Integrated from cleaned high-signal dataset</t>
        </is>
      </c>
    </row>
    <row r="160" ht="26" customHeight="1" s="76">
      <c r="A160" s="134" t="inlineStr">
        <is>
          <t>digoxin</t>
        </is>
      </c>
      <c r="B160" s="134" t="inlineStr">
        <is>
          <t>digoxin</t>
        </is>
      </c>
      <c r="C160" s="134" t="n"/>
      <c r="D160" s="134" t="inlineStr">
        <is>
          <t>other</t>
        </is>
      </c>
      <c r="E160" s="134" t="inlineStr">
        <is>
          <t>insufficient evidence</t>
        </is>
      </c>
      <c r="F160" s="134" t="inlineStr">
        <is>
          <t>multi-target signaling modulation</t>
        </is>
      </c>
      <c r="G160" s="134" t="inlineStr">
        <is>
          <t>general or unknown targets</t>
        </is>
      </c>
      <c r="H160" s="134" t="inlineStr">
        <is>
          <t>moderate absorption; hepatic metabolism</t>
        </is>
      </c>
      <c r="I160" s="134" t="inlineStr">
        <is>
          <t>low</t>
        </is>
      </c>
      <c r="J160" s="134" t="inlineStr">
        <is>
          <t>no well-documented interactions</t>
        </is>
      </c>
      <c r="K160" s="134" t="n"/>
      <c r="L160" s="134" t="inlineStr">
        <is>
          <t>compound_level</t>
        </is>
      </c>
      <c r="M160" s="134" t="inlineStr">
        <is>
          <t>https://plants.sc.egov.usda.gov/home/search?query=foxglove | https://pubchem.ncbi.nlm.nih.gov/#query=digoxin</t>
        </is>
      </c>
      <c r="N160" s="134" t="inlineStr">
        <is>
          <t>trusted_gov_added</t>
        </is>
      </c>
      <c r="O160" s="134" t="inlineStr">
        <is>
          <t>PubChem compound page (NIH); USDA Plants database</t>
        </is>
      </c>
      <c r="P160" s="134" t="n"/>
      <c r="Q160" s="134" t="inlineStr">
        <is>
          <t>foxglove</t>
        </is>
      </c>
      <c r="R160" s="134" t="n">
        <v>1</v>
      </c>
      <c r="S160" s="134" t="inlineStr">
        <is>
          <t>Yes</t>
        </is>
      </c>
      <c r="T160" s="134" t="inlineStr">
        <is>
          <t>Integrated from cleaned high-signal dataset</t>
        </is>
      </c>
    </row>
    <row r="161" ht="26" customHeight="1" s="76">
      <c r="A161" s="134" t="inlineStr">
        <is>
          <t>dihydrocapsaicin</t>
        </is>
      </c>
      <c r="B161" s="134" t="inlineStr">
        <is>
          <t>dihydrocapsaicin</t>
        </is>
      </c>
      <c r="C161" s="134" t="n"/>
      <c r="D161" s="134" t="inlineStr">
        <is>
          <t>other</t>
        </is>
      </c>
      <c r="E161" s="134" t="inlineStr">
        <is>
          <t>Capsaicinoids, especially capsaicin, act primarily as TRPV1 agonists; downstream effects include sensory neuron activation followed by desensitization and antinociceptive effects.</t>
        </is>
      </c>
      <c r="F161" s="134" t="inlineStr">
        <is>
          <t>multi-target signaling modulation</t>
        </is>
      </c>
      <c r="G161" s="134" t="inlineStr">
        <is>
          <t>general or unknown targets</t>
        </is>
      </c>
      <c r="H161" s="134" t="inlineStr">
        <is>
          <t>moderate absorption; hepatic metabolism</t>
        </is>
      </c>
      <c r="I161" s="134" t="inlineStr">
        <is>
          <t>low</t>
        </is>
      </c>
      <c r="J161" s="134" t="inlineStr">
        <is>
          <t>no well-documented interactions</t>
        </is>
      </c>
      <c r="K161" s="134" t="n"/>
      <c r="L161" s="134" t="inlineStr">
        <is>
          <t>compound_level</t>
        </is>
      </c>
      <c r="M161" s="134" t="inlineStr">
        <is>
          <t>https://plants.sc.egov.usda.gov/home/search?query=capsicum%20annuum | https://pubchem.ncbi.nlm.nih.gov/#query=dihydrocapsaicin</t>
        </is>
      </c>
      <c r="N161" s="134" t="inlineStr">
        <is>
          <t>trusted_gov_added</t>
        </is>
      </c>
      <c r="O161" s="134" t="inlineStr">
        <is>
          <t>PubChem compound page (NIH); USDA Plants database</t>
        </is>
      </c>
      <c r="P161" s="134" t="n"/>
      <c r="Q161" s="134" t="inlineStr">
        <is>
          <t>capsicum-annuum</t>
        </is>
      </c>
      <c r="R161" s="134" t="n">
        <v>1</v>
      </c>
      <c r="S161" s="134" t="inlineStr">
        <is>
          <t>Yes</t>
        </is>
      </c>
      <c r="T161" s="134" t="inlineStr">
        <is>
          <t>Integrated from cleaned high-signal dataset</t>
        </is>
      </c>
    </row>
    <row r="162" ht="26" customHeight="1" s="76">
      <c r="A162" s="134" t="inlineStr">
        <is>
          <t>dihydrohelenalin</t>
        </is>
      </c>
      <c r="B162" s="134" t="inlineStr">
        <is>
          <t>dihydrohelenalin</t>
        </is>
      </c>
      <c r="C162" s="134" t="n"/>
      <c r="D162" s="134" t="inlineStr">
        <is>
          <t>sesquiterpene lactones</t>
        </is>
      </c>
      <c r="E162" s="134" t="inlineStr">
        <is>
          <t>insufficient evidence</t>
        </is>
      </c>
      <c r="F162" s="134" t="inlineStr">
        <is>
          <t>multi-target signaling modulation</t>
        </is>
      </c>
      <c r="G162" s="134" t="inlineStr">
        <is>
          <t>general or unknown targets</t>
        </is>
      </c>
      <c r="H162" s="134" t="inlineStr">
        <is>
          <t>Absorption and bioavailability vary; some compounds metabolized via cytochrome P450 enzymes.</t>
        </is>
      </c>
      <c r="I162" s="134" t="inlineStr">
        <is>
          <t>low</t>
        </is>
      </c>
      <c r="J162" s="134" t="inlineStr">
        <is>
          <t>no well-documented interactions</t>
        </is>
      </c>
      <c r="K162" s="134" t="n"/>
      <c r="L162" s="134" t="inlineStr">
        <is>
          <t>compound_level</t>
        </is>
      </c>
      <c r="M162" s="134" t="inlineStr">
        <is>
          <t>https://plants.sc.egov.usda.gov/home/search?query=Arnica%20montana | https://pubchem.ncbi.nlm.nih.gov/#query=dihydrohelenalin</t>
        </is>
      </c>
      <c r="N162" s="134" t="inlineStr">
        <is>
          <t>inferred_plus_trusted_gov</t>
        </is>
      </c>
      <c r="O162" s="134" t="inlineStr">
        <is>
          <t>scientific name; PubChem compound page (NIH); USDA Plants database</t>
        </is>
      </c>
      <c r="P162" s="134" t="n"/>
      <c r="Q162" s="134" t="inlineStr">
        <is>
          <t>arnica-montana</t>
        </is>
      </c>
      <c r="R162" s="134" t="n">
        <v>1</v>
      </c>
      <c r="S162" s="134" t="inlineStr">
        <is>
          <t>Yes</t>
        </is>
      </c>
      <c r="T162" s="134" t="inlineStr">
        <is>
          <t>Integrated from cleaned high-signal dataset</t>
        </is>
      </c>
    </row>
    <row r="163" ht="26" customHeight="1" s="76">
      <c r="A163" s="134" t="inlineStr">
        <is>
          <t>dihydrokavain</t>
        </is>
      </c>
      <c r="B163" s="134" t="inlineStr">
        <is>
          <t>dihydrokavain</t>
        </is>
      </c>
      <c r="C163" s="134" t="n"/>
      <c r="D163" s="134" t="inlineStr">
        <is>
          <t>other</t>
        </is>
      </c>
      <c r="E163" s="134" t="inlineStr">
        <is>
          <t>Kavalactones modulate GABA_A receptor activity, inhibit voltage-gated sodium and calcium channels, and influence dopamine signaling.</t>
        </is>
      </c>
      <c r="F163" s="134" t="inlineStr">
        <is>
          <t>gaba_a_modulation; multi-target signaling modulation</t>
        </is>
      </c>
      <c r="G163" s="134" t="inlineStr">
        <is>
          <t>dopaminergic_modulation; gabaergic_modulation</t>
        </is>
      </c>
      <c r="H163" s="134" t="inlineStr">
        <is>
          <t>moderate absorption; hepatic metabolism</t>
        </is>
      </c>
      <c r="I163" s="134" t="inlineStr">
        <is>
          <t>low</t>
        </is>
      </c>
      <c r="J163" s="134" t="inlineStr">
        <is>
          <t>no well-documented interactions</t>
        </is>
      </c>
      <c r="K163" s="134" t="n"/>
      <c r="L163" s="134" t="inlineStr">
        <is>
          <t>compound_level</t>
        </is>
      </c>
      <c r="M163" s="134" t="inlineStr">
        <is>
          <t>https://plants.sc.egov.usda.gov/home/search?query=kava | https://plants.sc.egov.usda.gov/home/search?query=piper%20methysticum | https://pubchem.ncbi.nlm.nih.gov/#query=dihydrokavain</t>
        </is>
      </c>
      <c r="N163" s="134" t="inlineStr">
        <is>
          <t>trusted_gov_added</t>
        </is>
      </c>
      <c r="O163" s="134" t="inlineStr">
        <is>
          <t>PubChem compound page (NIH); USDA Plants database</t>
        </is>
      </c>
      <c r="P163" s="134" t="n"/>
      <c r="Q163" s="134" t="inlineStr">
        <is>
          <t>kava</t>
        </is>
      </c>
      <c r="R163" s="134" t="n">
        <v>1</v>
      </c>
      <c r="S163" s="134" t="inlineStr">
        <is>
          <t>Yes</t>
        </is>
      </c>
      <c r="T163" s="134" t="inlineStr">
        <is>
          <t>Integrated from cleaned high-signal dataset</t>
        </is>
      </c>
    </row>
    <row r="164" ht="26" customHeight="1" s="76">
      <c r="A164" s="134" t="inlineStr">
        <is>
          <t>dihydromethysticin</t>
        </is>
      </c>
      <c r="B164" s="134" t="inlineStr">
        <is>
          <t>dihydromethysticin</t>
        </is>
      </c>
      <c r="C164" s="134" t="n"/>
      <c r="D164" s="134" t="inlineStr">
        <is>
          <t>other</t>
        </is>
      </c>
      <c r="E164" s="134" t="inlineStr">
        <is>
          <t>Kavalactones modulate GABA_A receptor activity, inhibit voltage-gated sodium and calcium channels, and influence dopamine signaling.</t>
        </is>
      </c>
      <c r="F164" s="134" t="inlineStr">
        <is>
          <t>multi-target signaling modulation</t>
        </is>
      </c>
      <c r="G164" s="134" t="inlineStr">
        <is>
          <t>dopaminergic_modulation; gabaergic_modulation</t>
        </is>
      </c>
      <c r="H164" s="134" t="inlineStr">
        <is>
          <t>moderate absorption; hepatic metabolism</t>
        </is>
      </c>
      <c r="I164" s="134" t="inlineStr">
        <is>
          <t>low</t>
        </is>
      </c>
      <c r="J164" s="134" t="inlineStr">
        <is>
          <t>no well-documented interactions</t>
        </is>
      </c>
      <c r="K164" s="134" t="n"/>
      <c r="L164" s="134" t="inlineStr">
        <is>
          <t>compound_level</t>
        </is>
      </c>
      <c r="M164" s="134" t="inlineStr">
        <is>
          <t>https://plants.sc.egov.usda.gov/home/search?query=kava | https://pubchem.ncbi.nlm.nih.gov/#query=dihydromethysticin</t>
        </is>
      </c>
      <c r="N164" s="134" t="inlineStr">
        <is>
          <t>trusted_gov_added</t>
        </is>
      </c>
      <c r="O164" s="134" t="inlineStr">
        <is>
          <t>PubChem compound page (NIH); USDA Plants database</t>
        </is>
      </c>
      <c r="P164" s="134" t="n"/>
      <c r="Q164" s="134" t="inlineStr">
        <is>
          <t>kava</t>
        </is>
      </c>
      <c r="R164" s="134" t="n">
        <v>1</v>
      </c>
      <c r="S164" s="134" t="inlineStr">
        <is>
          <t>Yes</t>
        </is>
      </c>
      <c r="T164" s="134" t="inlineStr">
        <is>
          <t>Integrated from cleaned high-signal dataset</t>
        </is>
      </c>
    </row>
    <row r="165" ht="26" customHeight="1" s="76">
      <c r="A165" s="134" t="inlineStr">
        <is>
          <t>dillapiole</t>
        </is>
      </c>
      <c r="B165" s="134" t="inlineStr">
        <is>
          <t>dillapiole</t>
        </is>
      </c>
      <c r="C165" s="134" t="n"/>
      <c r="D165" s="134" t="inlineStr">
        <is>
          <t>essential oils</t>
        </is>
      </c>
      <c r="E165" s="134" t="inlineStr">
        <is>
          <t>insufficient evidence</t>
        </is>
      </c>
      <c r="F165" s="134" t="inlineStr">
        <is>
          <t>multi-target signaling modulation</t>
        </is>
      </c>
      <c r="G165" s="134" t="inlineStr">
        <is>
          <t>general or unknown targets</t>
        </is>
      </c>
      <c r="H165" s="134" t="inlineStr">
        <is>
          <t>Absorption and bioavailability vary; some compounds metabolized via cytochrome P450 enzymes.</t>
        </is>
      </c>
      <c r="I165" s="134" t="inlineStr">
        <is>
          <t>low</t>
        </is>
      </c>
      <c r="J165" s="134" t="inlineStr">
        <is>
          <t>no well-documented interactions</t>
        </is>
      </c>
      <c r="K165" s="134" t="n"/>
      <c r="L165" s="134" t="inlineStr">
        <is>
          <t>compound_level</t>
        </is>
      </c>
      <c r="M165" s="134" t="inlineStr">
        <is>
          <t>https://plants.sc.egov.usda.gov/home/search?query=Macropiper%20excelsum | https://plants.sc.egov.usda.gov/home/search?query=Piper%20auritum | https://pubchem.ncbi.nlm.nih.gov/#query=dillapiole</t>
        </is>
      </c>
      <c r="N165" s="134" t="inlineStr">
        <is>
          <t>inferred_plus_trusted_gov</t>
        </is>
      </c>
      <c r="O165" s="134" t="inlineStr">
        <is>
          <t>scientific name; PubChem compound page (NIH); USDA Plants database</t>
        </is>
      </c>
      <c r="P165" s="134" t="n"/>
      <c r="Q165" s="134" t="inlineStr">
        <is>
          <t>macropiper-excelsum; piper-auritum</t>
        </is>
      </c>
      <c r="R165" s="134" t="n">
        <v>2</v>
      </c>
      <c r="S165" s="134" t="inlineStr">
        <is>
          <t>Yes</t>
        </is>
      </c>
      <c r="T165" s="134" t="inlineStr">
        <is>
          <t>Integrated from cleaned high-signal dataset</t>
        </is>
      </c>
    </row>
    <row r="166" ht="26" customHeight="1" s="76">
      <c r="A166" s="134" t="inlineStr">
        <is>
          <t>dmt</t>
        </is>
      </c>
      <c r="B166" s="134" t="inlineStr">
        <is>
          <t>dmt</t>
        </is>
      </c>
      <c r="C166" s="134" t="n"/>
      <c r="D166" s="134" t="inlineStr">
        <is>
          <t>alkaloid</t>
        </is>
      </c>
      <c r="E166" s="134" t="inlineStr">
        <is>
          <t>Tryptamines act on serotonergic receptors, especially 5-HT2A, producing psychedelic effects.</t>
        </is>
      </c>
      <c r="F166" s="134" t="inlineStr">
        <is>
          <t>serotonin receptor interaction</t>
        </is>
      </c>
      <c r="G166" s="134" t="inlineStr">
        <is>
          <t>serotonergic_5HT2A_agonism</t>
        </is>
      </c>
      <c r="H166" s="134" t="inlineStr">
        <is>
          <t>rapid absorption; CNS penetration; hepatic metabolism</t>
        </is>
      </c>
      <c r="I166" s="134" t="inlineStr">
        <is>
          <t>moderate-high</t>
        </is>
      </c>
      <c r="J166" s="134" t="inlineStr">
        <is>
          <t>avoid with SSRIs/MAOIs; risk of serotonin syndrome</t>
        </is>
      </c>
      <c r="K166" s="134" t="n"/>
      <c r="L166" s="134" t="inlineStr">
        <is>
          <t>compound_level</t>
        </is>
      </c>
      <c r="M166" s="134" t="inlineStr">
        <is>
          <t>https://plants.sc.egov.usda.gov/home/search?query=Anadenanthera%20Colubrina | https://plants.sc.egov.usda.gov/home/search?query=Piptadenia%20peregrina | https://plants.sc.egov.usda.gov/home/search?query=Virola%20spp. | https://plants.sc.egov.usda.gov/home/search?query=anadenanthera%20colubrina | https://plants.sc.egov.usda.gov/home/search?query=anadenanthera%20peregrina | https://pubchem.ncbi.nlm.nih.gov/#query=n%2Cn-dimethyltryptamine</t>
        </is>
      </c>
      <c r="N166" s="134" t="inlineStr">
        <is>
          <t>inferred_plus_trusted_gov; trusted_gov_added</t>
        </is>
      </c>
      <c r="O166" s="134" t="inlineStr">
        <is>
          <t>PubChem compound page (NIH); USDA Plants database; Unknown; PubChem compound page (NIH); USDA Plants database; scientific name; PubChem compound page (NIH); USDA Plants database</t>
        </is>
      </c>
      <c r="P166" s="134" t="n"/>
      <c r="Q166" s="134" t="inlineStr">
        <is>
          <t>anadenanthera-colubrina; anadenanthera-colubrina-ceb-l; anadenanthera-peregrina; piptadenia-peregrina; virola-spp.</t>
        </is>
      </c>
      <c r="R166" s="134" t="n">
        <v>5</v>
      </c>
      <c r="S166" s="134" t="inlineStr">
        <is>
          <t>Yes</t>
        </is>
      </c>
      <c r="T166" s="134" t="inlineStr">
        <is>
          <t>Integrated from cleaned high-signal dataset</t>
        </is>
      </c>
    </row>
    <row r="167" ht="26" customHeight="1" s="76">
      <c r="A167" s="134" t="inlineStr">
        <is>
          <t>ecliptine</t>
        </is>
      </c>
      <c r="B167" s="134" t="inlineStr">
        <is>
          <t>ecliptine</t>
        </is>
      </c>
      <c r="C167" s="134" t="n"/>
      <c r="D167" s="134" t="inlineStr">
        <is>
          <t>Wedelolactone, ecliptine, flavonoids</t>
        </is>
      </c>
      <c r="E167" s="134" t="inlineStr">
        <is>
          <t>insufficient evidence</t>
        </is>
      </c>
      <c r="F167" s="134" t="inlineStr">
        <is>
          <t>multi-target signaling modulation</t>
        </is>
      </c>
      <c r="G167" s="134" t="inlineStr">
        <is>
          <t>general or unknown targets</t>
        </is>
      </c>
      <c r="H167" s="134" t="inlineStr">
        <is>
          <t>Oral/topical; antioxidant, supports liver enzymes</t>
        </is>
      </c>
      <c r="I167" s="134" t="inlineStr">
        <is>
          <t>low</t>
        </is>
      </c>
      <c r="J167" s="134" t="inlineStr">
        <is>
          <t>no well-documented interactions</t>
        </is>
      </c>
      <c r="K167" s="134" t="n"/>
      <c r="L167" s="134" t="inlineStr">
        <is>
          <t>compound_level</t>
        </is>
      </c>
      <c r="M167" s="134" t="inlineStr">
        <is>
          <t>https://plants.sc.egov.usda.gov/home/search?query=Eclipta%20prostrata | https://pubchem.ncbi.nlm.nih.gov/#query=ecliptine</t>
        </is>
      </c>
      <c r="N167" s="134" t="inlineStr">
        <is>
          <t>inferred_plus_trusted_gov</t>
        </is>
      </c>
      <c r="O167" s="134" t="inlineStr">
        <is>
          <t>scientific name; PubChem compound page (NIH); USDA Plants database</t>
        </is>
      </c>
      <c r="P167" s="134" t="n"/>
      <c r="Q167" s="134" t="inlineStr">
        <is>
          <t>eclipta-prostrata</t>
        </is>
      </c>
      <c r="R167" s="134" t="n">
        <v>1</v>
      </c>
      <c r="S167" s="134" t="inlineStr">
        <is>
          <t>Yes</t>
        </is>
      </c>
      <c r="T167" s="134" t="inlineStr">
        <is>
          <t>Integrated from cleaned high-signal dataset</t>
        </is>
      </c>
    </row>
    <row r="168" ht="26" customHeight="1" s="76">
      <c r="A168" s="134" t="inlineStr">
        <is>
          <t>ellagic acid</t>
        </is>
      </c>
      <c r="B168" s="134" t="inlineStr">
        <is>
          <t>ellagic acid</t>
        </is>
      </c>
      <c r="C168" s="134" t="n"/>
      <c r="D168" s="134" t="inlineStr">
        <is>
          <t>polyphenol</t>
        </is>
      </c>
      <c r="E168" s="134" t="inlineStr">
        <is>
          <t>Antioxidant and anti-inflammatory signaling</t>
        </is>
      </c>
      <c r="F168" s="134" t="inlineStr">
        <is>
          <t>multi-target signaling modulation</t>
        </is>
      </c>
      <c r="G168" s="134" t="inlineStr">
        <is>
          <t>NF-kB modulation; general or unknown targets; oxidative stress pathways</t>
        </is>
      </c>
      <c r="H168" s="134" t="inlineStr">
        <is>
          <t>moderate absorption; hepatic metabolism</t>
        </is>
      </c>
      <c r="I168" s="134" t="inlineStr">
        <is>
          <t>low</t>
        </is>
      </c>
      <c r="J168" s="134" t="inlineStr">
        <is>
          <t>Anticoagulants (possible ↑ bleeding risk)</t>
        </is>
      </c>
      <c r="K168" s="134" t="n"/>
      <c r="L168" s="134" t="inlineStr">
        <is>
          <t>Batch9</t>
        </is>
      </c>
      <c r="M168" s="134" t="inlineStr">
        <is>
          <t>https://plants.sc.egov.usda.gov/home/search?query=Punica%20granatum | https://plants.sc.egov.usda.gov/home/search?query=acacia%20nilotica | https://pubchem.ncbi.nlm.nih.gov/#query=ellagic%20acid</t>
        </is>
      </c>
      <c r="N168" s="134" t="inlineStr">
        <is>
          <t>inferred_plus_trusted_gov; trusted_gov_added</t>
        </is>
      </c>
      <c r="O168" s="134" t="inlineStr">
        <is>
          <t>PubChem compound page (NIH); USDA Plants database; scientific name; PubChem compound page (NIH); USDA Plants database</t>
        </is>
      </c>
      <c r="P168" s="134" t="inlineStr">
        <is>
          <t>master_monographs_v3.xlsx</t>
        </is>
      </c>
      <c r="Q168" s="134" t="inlineStr">
        <is>
          <t>punica-granatum; vachellia-nilotica</t>
        </is>
      </c>
      <c r="R168" s="134" t="n">
        <v>2</v>
      </c>
      <c r="S168" s="134" t="inlineStr">
        <is>
          <t>Yes</t>
        </is>
      </c>
      <c r="T168" s="134" t="inlineStr">
        <is>
          <t>Integrated from cleaned high-signal dataset; Integrated from compound monograph workbook</t>
        </is>
      </c>
    </row>
    <row r="169" ht="26" customHeight="1" s="76">
      <c r="A169" s="134" t="inlineStr">
        <is>
          <t>emetine</t>
        </is>
      </c>
      <c r="B169" s="134" t="inlineStr">
        <is>
          <t>emetine</t>
        </is>
      </c>
      <c r="C169" s="134" t="n"/>
      <c r="D169" s="134" t="inlineStr">
        <is>
          <t>Emetine, cephaeline, alkaloids</t>
        </is>
      </c>
      <c r="E169" s="134" t="inlineStr">
        <is>
          <t>insufficient evidence</t>
        </is>
      </c>
      <c r="F169" s="134" t="inlineStr">
        <is>
          <t>multi-target signaling modulation</t>
        </is>
      </c>
      <c r="G169" s="134" t="inlineStr">
        <is>
          <t>general or unknown targets</t>
        </is>
      </c>
      <c r="H169" s="134" t="inlineStr">
        <is>
          <t>Oral; expectorant and anti-protozoal</t>
        </is>
      </c>
      <c r="I169" s="134" t="inlineStr">
        <is>
          <t>low</t>
        </is>
      </c>
      <c r="J169" s="134" t="inlineStr">
        <is>
          <t>no well-documented interactions</t>
        </is>
      </c>
      <c r="K169" s="134" t="n"/>
      <c r="L169" s="134" t="inlineStr">
        <is>
          <t>compound_level</t>
        </is>
      </c>
      <c r="M169" s="134" t="inlineStr">
        <is>
          <t>https://plants.sc.egov.usda.gov/home/search?query=Cephaelis%20ipecacuanha | https://pubchem.ncbi.nlm.nih.gov/#query=emetine</t>
        </is>
      </c>
      <c r="N169" s="134" t="inlineStr">
        <is>
          <t>inferred_plus_trusted_gov</t>
        </is>
      </c>
      <c r="O169" s="134" t="inlineStr">
        <is>
          <t>scientific name; PubChem compound page (NIH); USDA Plants database</t>
        </is>
      </c>
      <c r="P169" s="134" t="n"/>
      <c r="Q169" s="134" t="inlineStr">
        <is>
          <t>cephaelis-ipecacuanha</t>
        </is>
      </c>
      <c r="R169" s="134" t="n">
        <v>1</v>
      </c>
      <c r="S169" s="134" t="inlineStr">
        <is>
          <t>Yes</t>
        </is>
      </c>
      <c r="T169" s="134" t="inlineStr">
        <is>
          <t>Integrated from cleaned high-signal dataset</t>
        </is>
      </c>
    </row>
    <row r="170" ht="26" customHeight="1" s="76">
      <c r="A170" s="134" t="inlineStr">
        <is>
          <t>emodin</t>
        </is>
      </c>
      <c r="B170" s="134" t="inlineStr">
        <is>
          <t>emodin</t>
        </is>
      </c>
      <c r="C170" s="134" t="n"/>
      <c r="D170" s="134" t="inlineStr">
        <is>
          <t>anthraquinone</t>
        </is>
      </c>
      <c r="E170" s="134" t="inlineStr">
        <is>
          <t>NF-kB-linked anti-inflammatory signaling plus broader apoptosis/kinase-pathway effects.</t>
        </is>
      </c>
      <c r="F170" s="134" t="inlineStr">
        <is>
          <t>multi-target signaling modulation</t>
        </is>
      </c>
      <c r="G170" s="134" t="inlineStr">
        <is>
          <t>NF-kB pathway inhibition; apoptosis/caspase signaling modulation; general or unknown targets; tyrosine-kinase-related signaling</t>
        </is>
      </c>
      <c r="H170" s="134" t="inlineStr">
        <is>
          <t>PK/liver-toxicity framing should remain cautious rather than binary.</t>
        </is>
      </c>
      <c r="I170" s="134" t="inlineStr">
        <is>
          <t>Hepatotoxicity is the main safety issue worth preserving, especially with higher or prolonged exposure.</t>
        </is>
      </c>
      <c r="J170" s="134" t="inlineStr">
        <is>
          <t>CYP1A2/CYP3A4 substrates (possible altered exposure); caution with hepatotoxic drugs.</t>
        </is>
      </c>
      <c r="K170" s="134" t="inlineStr">
        <is>
          <t>moderate</t>
        </is>
      </c>
      <c r="L170" s="134" t="inlineStr">
        <is>
          <t>Sprint3</t>
        </is>
      </c>
      <c r="M170" s="134" t="inlineStr">
        <is>
          <t>https://plants.sc.egov.usda.gov/home/search?query=Cassia%20occidentalis | https://plants.sc.egov.usda.gov/home/search?query=Polygonum%20multiflorum | https://plants.sc.egov.usda.gov/home/search?query=Rheum%20palmatum | https://pmc.ncbi.nlm.nih.gov/articles/PMC11255441/ | https://pmc.ncbi.nlm.nih.gov/articles/PMC11944761/ | https://pmc.ncbi.nlm.nih.gov/articles/PMC7168079/ | https://pubchem.ncbi.nlm.nih.gov/#query=emodin</t>
        </is>
      </c>
      <c r="N170" s="134" t="inlineStr">
        <is>
          <t>inferred_plus_trusted_gov</t>
        </is>
      </c>
      <c r="O170" s="134" t="inlineStr">
        <is>
          <t>scientific name; PubChem compound page (NIH); USDA Plants database</t>
        </is>
      </c>
      <c r="P170" s="134" t="inlineStr">
        <is>
          <t>precision_monographs_sprint3.xlsx</t>
        </is>
      </c>
      <c r="Q170" s="134" t="inlineStr">
        <is>
          <t>cassia-occidentalis; polygonum-multiflorum; rheum-palmatum</t>
        </is>
      </c>
      <c r="R170" s="134" t="n">
        <v>3</v>
      </c>
      <c r="S170" s="134" t="inlineStr">
        <is>
          <t>Yes</t>
        </is>
      </c>
      <c r="T170" s="134" t="inlineStr">
        <is>
          <t>Integrated from cleaned high-signal dataset; Integrated from compound monograph workbook</t>
        </is>
      </c>
    </row>
    <row r="171" ht="26" customHeight="1" s="76">
      <c r="A171" s="134" t="inlineStr">
        <is>
          <t>ephedrine</t>
        </is>
      </c>
      <c r="B171" s="134" t="inlineStr">
        <is>
          <t>ephedrine</t>
        </is>
      </c>
      <c r="C171" s="134" t="n"/>
      <c r="D171" s="134" t="inlineStr">
        <is>
          <t>other</t>
        </is>
      </c>
      <c r="E171" s="134" t="inlineStr">
        <is>
          <t>Ephedrine alkaloids act as mixed sympathomimetics, directly stimulating alpha- and beta-adrenergic receptors and indirectly increasing synaptic norepinephrine.</t>
        </is>
      </c>
      <c r="F171" s="134" t="inlineStr">
        <is>
          <t>multi-target signaling modulation</t>
        </is>
      </c>
      <c r="G171" s="134" t="inlineStr">
        <is>
          <t>dopaminergic_modulation; general or unknown targets</t>
        </is>
      </c>
      <c r="H171" s="134" t="inlineStr">
        <is>
          <t>Oral; onset ~30 min; duration 4–6 hours.</t>
        </is>
      </c>
      <c r="I171" s="134" t="inlineStr">
        <is>
          <t>low</t>
        </is>
      </c>
      <c r="J171" s="134" t="inlineStr">
        <is>
          <t>stimulants, beta-blockers, maois.</t>
        </is>
      </c>
      <c r="K171" s="134" t="n"/>
      <c r="L171" s="134" t="inlineStr">
        <is>
          <t>compound_level</t>
        </is>
      </c>
      <c r="M171" s="134" t="inlineStr">
        <is>
          <t>https://plants.sc.egov.usda.gov/home/search?query=Ephedra%20sinica | https://plants.sc.egov.usda.gov/home/search?query=ephedra%20sinica | https://pubchem.ncbi.nlm.nih.gov/#query=ephedrine</t>
        </is>
      </c>
      <c r="N171" s="134" t="inlineStr">
        <is>
          <t>inferred_plus_trusted_gov; trusted_gov_added</t>
        </is>
      </c>
      <c r="O171" s="134" t="inlineStr">
        <is>
          <t>PubChem compound page (NIH); USDA Plants database; scientific name; PubChem compound page (NIH); USDA Plants database</t>
        </is>
      </c>
      <c r="P171" s="134" t="n"/>
      <c r="Q171" s="134" t="inlineStr">
        <is>
          <t>ephedra; ephedra-sinica</t>
        </is>
      </c>
      <c r="R171" s="134" t="n">
        <v>2</v>
      </c>
      <c r="S171" s="134" t="inlineStr">
        <is>
          <t>Yes</t>
        </is>
      </c>
      <c r="T171" s="134" t="inlineStr">
        <is>
          <t>Integrated from cleaned high-signal dataset</t>
        </is>
      </c>
    </row>
    <row r="172" ht="26" customHeight="1" s="76">
      <c r="A172" s="134" t="inlineStr">
        <is>
          <t>epicatechin</t>
        </is>
      </c>
      <c r="B172" s="134" t="inlineStr">
        <is>
          <t>epicatechin</t>
        </is>
      </c>
      <c r="C172" s="134" t="n"/>
      <c r="D172" s="134" t="inlineStr">
        <is>
          <t>flavonoid</t>
        </is>
      </c>
      <c r="E172" s="134" t="inlineStr">
        <is>
          <t>insufficient evidence</t>
        </is>
      </c>
      <c r="F172" s="134" t="inlineStr">
        <is>
          <t>adenosine receptor antagonism</t>
        </is>
      </c>
      <c r="G172" s="134" t="inlineStr">
        <is>
          <t>adenosine_antagonism</t>
        </is>
      </c>
      <c r="H172" s="134" t="inlineStr">
        <is>
          <t>Absorption and bioavailability vary; some compounds metabolized via cytochrome P450 enzymes.</t>
        </is>
      </c>
      <c r="I172" s="134" t="inlineStr">
        <is>
          <t>low</t>
        </is>
      </c>
      <c r="J172" s="134" t="inlineStr">
        <is>
          <t>no well-documented interactions</t>
        </is>
      </c>
      <c r="K172" s="134" t="n"/>
      <c r="L172" s="134" t="inlineStr">
        <is>
          <t>compound_level</t>
        </is>
      </c>
      <c r="M172" s="134" t="inlineStr">
        <is>
          <t>https://plants.sc.egov.usda.gov/home/search?query=Theobroma%20cacao | https://pubchem.ncbi.nlm.nih.gov/#query=epicatechin</t>
        </is>
      </c>
      <c r="N172" s="134" t="inlineStr">
        <is>
          <t>inferred_plus_trusted_gov</t>
        </is>
      </c>
      <c r="O172" s="134" t="inlineStr">
        <is>
          <t>scientific name; PubChem compound page (NIH); USDA Plants database</t>
        </is>
      </c>
      <c r="P172" s="134" t="n"/>
      <c r="Q172" s="134" t="inlineStr">
        <is>
          <t>theobroma-cacao</t>
        </is>
      </c>
      <c r="R172" s="134" t="n">
        <v>1</v>
      </c>
      <c r="S172" s="134" t="inlineStr">
        <is>
          <t>Yes</t>
        </is>
      </c>
      <c r="T172" s="134" t="inlineStr">
        <is>
          <t>Integrated from cleaned high-signal dataset</t>
        </is>
      </c>
    </row>
    <row r="173" ht="26" customHeight="1" s="76">
      <c r="A173" s="134" t="inlineStr">
        <is>
          <t>ergine</t>
        </is>
      </c>
      <c r="B173" s="134" t="inlineStr">
        <is>
          <t>ergine (lsa)</t>
        </is>
      </c>
      <c r="C173" s="134" t="n"/>
      <c r="D173" s="134" t="inlineStr">
        <is>
          <t>ergoline alkaloids</t>
        </is>
      </c>
      <c r="E173" s="134" t="inlineStr">
        <is>
          <t>insufficient evidence</t>
        </is>
      </c>
      <c r="F173" s="134" t="inlineStr">
        <is>
          <t>multi-target signaling modulation</t>
        </is>
      </c>
      <c r="G173" s="134" t="inlineStr">
        <is>
          <t>general or unknown targets</t>
        </is>
      </c>
      <c r="H173" s="134" t="inlineStr">
        <is>
          <t>Absorption and bioavailability vary; some compounds metabolized via cytochrome P450 enzymes.</t>
        </is>
      </c>
      <c r="I173" s="134" t="inlineStr">
        <is>
          <t>low</t>
        </is>
      </c>
      <c r="J173" s="134" t="inlineStr">
        <is>
          <t>no well-documented interactions</t>
        </is>
      </c>
      <c r="K173" s="134" t="n"/>
      <c r="L173" s="134" t="inlineStr">
        <is>
          <t>compound_level</t>
        </is>
      </c>
      <c r="M173" s="134" t="inlineStr">
        <is>
          <t>https://plants.sc.egov.usda.gov/home/search?query=Ipomoea%20tricolor | https://plants.sc.egov.usda.gov/home/search?query=Turbina%20corymbosa | https://pubchem.ncbi.nlm.nih.gov/#query=ergine%20%28lsa%29</t>
        </is>
      </c>
      <c r="N173" s="134" t="inlineStr">
        <is>
          <t>inferred_plus_trusted_gov</t>
        </is>
      </c>
      <c r="O173" s="134" t="inlineStr">
        <is>
          <t>scientific name; PubChem compound page (NIH); USDA Plants database</t>
        </is>
      </c>
      <c r="P173" s="134" t="n"/>
      <c r="Q173" s="134" t="inlineStr">
        <is>
          <t>ipomoea-tricolor; turbina-corymbosa</t>
        </is>
      </c>
      <c r="R173" s="134" t="n">
        <v>2</v>
      </c>
      <c r="S173" s="134" t="inlineStr">
        <is>
          <t>Yes</t>
        </is>
      </c>
      <c r="T173" s="134" t="inlineStr">
        <is>
          <t>Integrated from cleaned high-signal dataset</t>
        </is>
      </c>
    </row>
    <row r="174" ht="26" customHeight="1" s="76">
      <c r="A174" s="134" t="inlineStr">
        <is>
          <t>eryngial</t>
        </is>
      </c>
      <c r="B174" s="134" t="inlineStr">
        <is>
          <t>eryngial</t>
        </is>
      </c>
      <c r="C174" s="134" t="n"/>
      <c r="D174" s="134" t="inlineStr">
        <is>
          <t>phenolic acids</t>
        </is>
      </c>
      <c r="E174" s="134" t="inlineStr">
        <is>
          <t>insufficient evidence</t>
        </is>
      </c>
      <c r="F174" s="134" t="inlineStr">
        <is>
          <t>multi-target signaling modulation</t>
        </is>
      </c>
      <c r="G174" s="134" t="inlineStr">
        <is>
          <t>general or unknown targets</t>
        </is>
      </c>
      <c r="H174" s="134" t="inlineStr">
        <is>
          <t>Absorption and bioavailability vary; some compounds metabolized via cytochrome P450 enzymes.</t>
        </is>
      </c>
      <c r="I174" s="134" t="inlineStr">
        <is>
          <t>low</t>
        </is>
      </c>
      <c r="J174" s="134" t="inlineStr">
        <is>
          <t>no well-documented interactions</t>
        </is>
      </c>
      <c r="K174" s="134" t="n"/>
      <c r="L174" s="134" t="inlineStr">
        <is>
          <t>compound_level</t>
        </is>
      </c>
      <c r="M174" s="134" t="inlineStr">
        <is>
          <t>https://plants.sc.egov.usda.gov/home/search?query=Eryngium%20foetidum | https://pubchem.ncbi.nlm.nih.gov/#query=eryngial</t>
        </is>
      </c>
      <c r="N174" s="134" t="inlineStr">
        <is>
          <t>inferred_plus_trusted_gov</t>
        </is>
      </c>
      <c r="O174" s="134" t="inlineStr">
        <is>
          <t>scientific name; PubChem compound page (NIH); USDA Plants database</t>
        </is>
      </c>
      <c r="P174" s="134" t="n"/>
      <c r="Q174" s="134" t="inlineStr">
        <is>
          <t>eryngium-foetidum</t>
        </is>
      </c>
      <c r="R174" s="134" t="n">
        <v>1</v>
      </c>
      <c r="S174" s="134" t="inlineStr">
        <is>
          <t>Yes</t>
        </is>
      </c>
      <c r="T174" s="134" t="inlineStr">
        <is>
          <t>Integrated from cleaned high-signal dataset</t>
        </is>
      </c>
    </row>
    <row r="175" ht="26" customHeight="1" s="76">
      <c r="A175" s="134" t="inlineStr">
        <is>
          <t>esculetin</t>
        </is>
      </c>
      <c r="B175" s="134" t="inlineStr">
        <is>
          <t>esculetin</t>
        </is>
      </c>
      <c r="C175" s="134" t="n"/>
      <c r="D175" s="134" t="inlineStr">
        <is>
          <t>other</t>
        </is>
      </c>
      <c r="E175" s="134" t="inlineStr">
        <is>
          <t>insufficient evidence</t>
        </is>
      </c>
      <c r="F175" s="134" t="inlineStr">
        <is>
          <t>multi-target signaling modulation</t>
        </is>
      </c>
      <c r="G175" s="134" t="inlineStr">
        <is>
          <t>general or unknown targets</t>
        </is>
      </c>
      <c r="H175" s="134" t="inlineStr">
        <is>
          <t>moderate absorption; hepatic metabolism</t>
        </is>
      </c>
      <c r="I175" s="134" t="inlineStr">
        <is>
          <t>low</t>
        </is>
      </c>
      <c r="J175" s="134" t="inlineStr">
        <is>
          <t>no well-documented interactions</t>
        </is>
      </c>
      <c r="K175" s="134" t="n"/>
      <c r="L175" s="134" t="inlineStr">
        <is>
          <t>compound_level</t>
        </is>
      </c>
      <c r="M175" s="134" t="inlineStr">
        <is>
          <t>https://plants.sc.egov.usda.gov/home/search?query=casimiroa%20edulis | https://pubchem.ncbi.nlm.nih.gov/#query=esculetin</t>
        </is>
      </c>
      <c r="N175" s="134" t="inlineStr">
        <is>
          <t>trusted_gov_added</t>
        </is>
      </c>
      <c r="O175" s="134" t="inlineStr">
        <is>
          <t>PubChem compound page (NIH); USDA Plants database</t>
        </is>
      </c>
      <c r="P175" s="134" t="n"/>
      <c r="Q175" s="134" t="inlineStr">
        <is>
          <t>casimiroa-edulis</t>
        </is>
      </c>
      <c r="R175" s="134" t="n">
        <v>1</v>
      </c>
      <c r="S175" s="134" t="inlineStr">
        <is>
          <t>Yes</t>
        </is>
      </c>
      <c r="T175" s="134" t="inlineStr">
        <is>
          <t>Integrated from cleaned high-signal dataset</t>
        </is>
      </c>
    </row>
    <row r="176" ht="26" customHeight="1" s="76">
      <c r="A176" s="134" t="inlineStr">
        <is>
          <t>estragole</t>
        </is>
      </c>
      <c r="B176" s="134" t="inlineStr">
        <is>
          <t>estragole</t>
        </is>
      </c>
      <c r="C176" s="134" t="n"/>
      <c r="D176" s="134" t="inlineStr">
        <is>
          <t>other</t>
        </is>
      </c>
      <c r="E176" s="134" t="inlineStr">
        <is>
          <t>insufficient evidence</t>
        </is>
      </c>
      <c r="F176" s="134" t="inlineStr">
        <is>
          <t>multi-target signaling modulation</t>
        </is>
      </c>
      <c r="G176" s="134" t="inlineStr">
        <is>
          <t>general or unknown targets</t>
        </is>
      </c>
      <c r="H176" s="134" t="inlineStr">
        <is>
          <t>Absorption and bioavailability vary; some compounds metabolized via cytochrome P450 enzymes.</t>
        </is>
      </c>
      <c r="I176" s="134" t="inlineStr">
        <is>
          <t>low</t>
        </is>
      </c>
      <c r="J176" s="134" t="inlineStr">
        <is>
          <t>no well-documented interactions</t>
        </is>
      </c>
      <c r="K176" s="134" t="n"/>
      <c r="L176" s="134" t="inlineStr">
        <is>
          <t>compound_level</t>
        </is>
      </c>
      <c r="M176" s="134" t="inlineStr">
        <is>
          <t>https://plants.sc.egov.usda.gov/home/search?query=Agastache%20foeniculum | https://plants.sc.egov.usda.gov/home/search?query=Tagetes%20lucida | https://pubchem.ncbi.nlm.nih.gov/#query=estragole</t>
        </is>
      </c>
      <c r="N176" s="134" t="inlineStr">
        <is>
          <t>inferred_plus_trusted_gov</t>
        </is>
      </c>
      <c r="O176" s="134" t="inlineStr">
        <is>
          <t>scientific name; PubChem compound page (NIH); USDA Plants database</t>
        </is>
      </c>
      <c r="P176" s="134" t="n"/>
      <c r="Q176" s="134" t="inlineStr">
        <is>
          <t>agastache-foeniculum; tagetes-lucida</t>
        </is>
      </c>
      <c r="R176" s="134" t="n">
        <v>2</v>
      </c>
      <c r="S176" s="134" t="inlineStr">
        <is>
          <t>Yes</t>
        </is>
      </c>
      <c r="T176" s="134" t="inlineStr">
        <is>
          <t>Integrated from cleaned high-signal dataset</t>
        </is>
      </c>
    </row>
    <row r="177" ht="26" customHeight="1" s="76">
      <c r="A177" s="134" t="inlineStr">
        <is>
          <t>ethyl cinnamate</t>
        </is>
      </c>
      <c r="B177" s="134" t="inlineStr">
        <is>
          <t>ethyl cinnamate</t>
        </is>
      </c>
      <c r="C177" s="134" t="n"/>
      <c r="D177" s="134" t="inlineStr">
        <is>
          <t>Ethyl cinnamate, kaempferol, essential oils</t>
        </is>
      </c>
      <c r="E177" s="134" t="inlineStr">
        <is>
          <t>insufficient evidence</t>
        </is>
      </c>
      <c r="F177" s="134" t="inlineStr">
        <is>
          <t>multi-target signaling modulation</t>
        </is>
      </c>
      <c r="G177" s="134" t="inlineStr">
        <is>
          <t>general or unknown targets</t>
        </is>
      </c>
      <c r="H177" s="134" t="inlineStr">
        <is>
          <t>Oral; anti-inflammatory and stimulant</t>
        </is>
      </c>
      <c r="I177" s="134" t="inlineStr">
        <is>
          <t>low</t>
        </is>
      </c>
      <c r="J177" s="134" t="inlineStr">
        <is>
          <t>no well-documented interactions</t>
        </is>
      </c>
      <c r="K177" s="134" t="n"/>
      <c r="L177" s="134" t="inlineStr">
        <is>
          <t>compound_level</t>
        </is>
      </c>
      <c r="M177" s="134" t="inlineStr">
        <is>
          <t>https://plants.sc.egov.usda.gov/home/search?query=Kaempferia%20galanga | https://pubchem.ncbi.nlm.nih.gov/#query=ethyl%20cinnamate</t>
        </is>
      </c>
      <c r="N177" s="134" t="inlineStr">
        <is>
          <t>inferred_plus_trusted_gov</t>
        </is>
      </c>
      <c r="O177" s="134" t="inlineStr">
        <is>
          <t>scientific name; PubChem compound page (NIH); USDA Plants database</t>
        </is>
      </c>
      <c r="P177" s="134" t="n"/>
      <c r="Q177" s="134" t="inlineStr">
        <is>
          <t>kaempferia-galanga</t>
        </is>
      </c>
      <c r="R177" s="134" t="n">
        <v>1</v>
      </c>
      <c r="S177" s="134" t="inlineStr">
        <is>
          <t>Yes</t>
        </is>
      </c>
      <c r="T177" s="134" t="inlineStr">
        <is>
          <t>Integrated from cleaned high-signal dataset</t>
        </is>
      </c>
    </row>
    <row r="178" ht="26" customHeight="1" s="76">
      <c r="A178" s="134" t="inlineStr">
        <is>
          <t>eucalyptol cineole</t>
        </is>
      </c>
      <c r="B178" s="134" t="inlineStr">
        <is>
          <t>eucalyptol (cineole)</t>
        </is>
      </c>
      <c r="C178" s="134" t="n"/>
      <c r="D178" s="134" t="inlineStr">
        <is>
          <t>Eucalyptol (cineole), tannins, flavonoids</t>
        </is>
      </c>
      <c r="E178" s="134" t="inlineStr">
        <is>
          <t>insufficient evidence</t>
        </is>
      </c>
      <c r="F178" s="134" t="inlineStr">
        <is>
          <t>multi-target signaling modulation</t>
        </is>
      </c>
      <c r="G178" s="134" t="inlineStr">
        <is>
          <t>general or unknown targets</t>
        </is>
      </c>
      <c r="H178" s="134" t="inlineStr">
        <is>
          <t>Oral/inhaled; bronchodilator and antiseptic</t>
        </is>
      </c>
      <c r="I178" s="134" t="inlineStr">
        <is>
          <t>low</t>
        </is>
      </c>
      <c r="J178" s="134" t="inlineStr">
        <is>
          <t>no well-documented interactions</t>
        </is>
      </c>
      <c r="K178" s="134" t="n"/>
      <c r="L178" s="134" t="inlineStr">
        <is>
          <t>compound_level</t>
        </is>
      </c>
      <c r="M178" s="134" t="inlineStr">
        <is>
          <t>https://plants.sc.egov.usda.gov/home/search?query=Eucalyptus%20globulus | https://pubchem.ncbi.nlm.nih.gov/#query=eucalyptol%20%28cineole%29</t>
        </is>
      </c>
      <c r="N178" s="134" t="inlineStr">
        <is>
          <t>inferred_plus_trusted_gov</t>
        </is>
      </c>
      <c r="O178" s="134" t="inlineStr">
        <is>
          <t>scientific name; PubChem compound page (NIH); USDA Plants database</t>
        </is>
      </c>
      <c r="P178" s="134" t="n"/>
      <c r="Q178" s="134" t="inlineStr">
        <is>
          <t>eucalyptus-globulus</t>
        </is>
      </c>
      <c r="R178" s="134" t="n">
        <v>1</v>
      </c>
      <c r="S178" s="134" t="inlineStr">
        <is>
          <t>Yes</t>
        </is>
      </c>
      <c r="T178" s="134" t="inlineStr">
        <is>
          <t>Integrated from cleaned high-signal dataset</t>
        </is>
      </c>
    </row>
    <row r="179" ht="26" customHeight="1" s="76">
      <c r="A179" s="134" t="inlineStr">
        <is>
          <t>eugenol</t>
        </is>
      </c>
      <c r="B179" s="134" t="inlineStr">
        <is>
          <t>eugenol</t>
        </is>
      </c>
      <c r="C179" s="134" t="n"/>
      <c r="D179" s="134" t="inlineStr">
        <is>
          <t>phenylpropanoid</t>
        </is>
      </c>
      <c r="E179" s="134" t="inlineStr">
        <is>
          <t>Exhibits analgesic and anti-inflammatory effects through prostaglandin-pathway inhibition and ion-channel modulation including TRPV1-related activity; also shows antimicrobial activity.</t>
        </is>
      </c>
      <c r="F179" s="134" t="inlineStr">
        <is>
          <t>inflammatory_pathway_modulation; analgesic; antimicrobial</t>
        </is>
      </c>
      <c r="G179" s="134" t="inlineStr">
        <is>
          <t>COX; prostaglandins; TRPV1</t>
        </is>
      </c>
      <c r="H179" s="134" t="inlineStr">
        <is>
          <t>Rapidly absorbed and metabolized in the liver.</t>
        </is>
      </c>
      <c r="I179" s="134" t="inlineStr">
        <is>
          <t>Generally safe at dietary levels, but high-dose exposure may increase liver-toxicity risk.</t>
        </is>
      </c>
      <c r="J179" s="134" t="inlineStr">
        <is>
          <t>May enhance anticoagulant effects or bleeding tendency in susceptible settings.</t>
        </is>
      </c>
      <c r="K179" s="134" t="inlineStr">
        <is>
          <t>High</t>
        </is>
      </c>
      <c r="L179" s="134" t="inlineStr">
        <is>
          <t>human + preclinical</t>
        </is>
      </c>
      <c r="M179" s="134" t="inlineStr">
        <is>
          <t>https://pubchem.ncbi.nlm.nih.gov/compound/Eugenol | https://pubmed.ncbi.nlm.nih.gov/16998128/ | https://www.fda.gov/food/food-additives-petitions/everything-added-food-united-states-eafus</t>
        </is>
      </c>
      <c r="N179" s="134" t="inlineStr">
        <is>
          <t>tier1_locked</t>
        </is>
      </c>
      <c r="O179" s="134" t="inlineStr">
        <is>
          <t>PubChem; PubMed; FDA food-additive context</t>
        </is>
      </c>
      <c r="P179" s="134" t="inlineStr">
        <is>
          <t>locked_compounds_batch1_2026-04-07</t>
        </is>
      </c>
      <c r="Q179" s="134" t="inlineStr">
        <is>
          <t>holy-basil</t>
        </is>
      </c>
      <c r="R179" s="134" t="n">
        <v>1</v>
      </c>
      <c r="S179" s="134" t="inlineStr">
        <is>
          <t>Yes</t>
        </is>
      </c>
      <c r="T179" s="134" t="inlineStr">
        <is>
          <t>Strengthened existing compound record with locked batch 1 mechanism and safety framing.</t>
        </is>
      </c>
    </row>
    <row r="180" ht="26" customHeight="1" s="76">
      <c r="A180" s="134" t="inlineStr">
        <is>
          <t>eurycomanone</t>
        </is>
      </c>
      <c r="B180" s="134" t="inlineStr">
        <is>
          <t>eurycomanone</t>
        </is>
      </c>
      <c r="C180" s="134" t="n"/>
      <c r="D180" s="134" t="inlineStr">
        <is>
          <t>other</t>
        </is>
      </c>
      <c r="E180" s="134" t="inlineStr">
        <is>
          <t>insufficient evidence</t>
        </is>
      </c>
      <c r="F180" s="134" t="inlineStr">
        <is>
          <t>multi-target signaling modulation</t>
        </is>
      </c>
      <c r="G180" s="134" t="inlineStr">
        <is>
          <t>general or unknown targets</t>
        </is>
      </c>
      <c r="H180" s="134" t="inlineStr">
        <is>
          <t>Oral extract; onset ~1 hr; duration ~4–6 hrs.</t>
        </is>
      </c>
      <c r="I180" s="134" t="inlineStr">
        <is>
          <t>low</t>
        </is>
      </c>
      <c r="J180" s="134" t="inlineStr">
        <is>
          <t>stimulants, steroids.</t>
        </is>
      </c>
      <c r="K180" s="134" t="n"/>
      <c r="L180" s="134" t="inlineStr">
        <is>
          <t>compound_level</t>
        </is>
      </c>
      <c r="M180" s="134" t="inlineStr">
        <is>
          <t>https://plants.sc.egov.usda.gov/home/search?query=Eurycoma%20longifolia | https://pubchem.ncbi.nlm.nih.gov/#query=eurycomanone</t>
        </is>
      </c>
      <c r="N180" s="134" t="inlineStr">
        <is>
          <t>inferred_plus_trusted_gov</t>
        </is>
      </c>
      <c r="O180" s="134" t="inlineStr">
        <is>
          <t>scientific name; PubChem compound page (NIH); USDA Plants database</t>
        </is>
      </c>
      <c r="P180" s="134" t="n"/>
      <c r="Q180" s="134" t="inlineStr">
        <is>
          <t>eurycoma-longifolia</t>
        </is>
      </c>
      <c r="R180" s="134" t="n">
        <v>1</v>
      </c>
      <c r="S180" s="134" t="inlineStr">
        <is>
          <t>Yes</t>
        </is>
      </c>
      <c r="T180" s="134" t="inlineStr">
        <is>
          <t>Integrated from cleaned high-signal dataset</t>
        </is>
      </c>
    </row>
    <row r="181" ht="26" customHeight="1" s="76">
      <c r="A181" s="134" t="inlineStr">
        <is>
          <t>evodiamine</t>
        </is>
      </c>
      <c r="B181" s="134" t="inlineStr">
        <is>
          <t>evodiamine</t>
        </is>
      </c>
      <c r="C181" s="134" t="n"/>
      <c r="D181" s="134" t="inlineStr">
        <is>
          <t>other</t>
        </is>
      </c>
      <c r="E181" s="134" t="inlineStr">
        <is>
          <t>insufficient evidence</t>
        </is>
      </c>
      <c r="F181" s="134" t="inlineStr">
        <is>
          <t>multi-target signaling modulation</t>
        </is>
      </c>
      <c r="G181" s="134" t="inlineStr">
        <is>
          <t>general or unknown targets</t>
        </is>
      </c>
      <c r="H181" s="134" t="inlineStr">
        <is>
          <t>Absorption and bioavailability vary; some compounds metabolized via cytochrome P450 enzymes.</t>
        </is>
      </c>
      <c r="I181" s="134" t="inlineStr">
        <is>
          <t>low</t>
        </is>
      </c>
      <c r="J181" s="134" t="inlineStr">
        <is>
          <t>no well-documented interactions</t>
        </is>
      </c>
      <c r="K181" s="134" t="n"/>
      <c r="L181" s="134" t="inlineStr">
        <is>
          <t>compound_level</t>
        </is>
      </c>
      <c r="M181" s="134" t="inlineStr">
        <is>
          <t>https://plants.sc.egov.usda.gov/home/search?query=Tetradium%20ruticarpum | https://pubchem.ncbi.nlm.nih.gov/#query=evodiamine</t>
        </is>
      </c>
      <c r="N181" s="134" t="inlineStr">
        <is>
          <t>inferred_plus_trusted_gov</t>
        </is>
      </c>
      <c r="O181" s="134" t="inlineStr">
        <is>
          <t>scientific name; PubChem compound page (NIH); USDA Plants database</t>
        </is>
      </c>
      <c r="P181" s="134" t="n"/>
      <c r="Q181" s="134" t="inlineStr">
        <is>
          <t>tetradium-ruticarpum</t>
        </is>
      </c>
      <c r="R181" s="134" t="n">
        <v>1</v>
      </c>
      <c r="S181" s="134" t="inlineStr">
        <is>
          <t>Yes</t>
        </is>
      </c>
      <c r="T181" s="134" t="inlineStr">
        <is>
          <t>Integrated from cleaned high-signal dataset</t>
        </is>
      </c>
    </row>
    <row r="182" ht="26" customHeight="1" s="76">
      <c r="A182" s="134" t="inlineStr">
        <is>
          <t>fangchinoline</t>
        </is>
      </c>
      <c r="B182" s="134" t="inlineStr">
        <is>
          <t>fangchinoline</t>
        </is>
      </c>
      <c r="C182" s="134" t="n"/>
      <c r="D182" s="134" t="inlineStr">
        <is>
          <t>other</t>
        </is>
      </c>
      <c r="E182" s="134" t="inlineStr">
        <is>
          <t>insufficient evidence</t>
        </is>
      </c>
      <c r="F182" s="134" t="inlineStr">
        <is>
          <t>multi-target signaling modulation</t>
        </is>
      </c>
      <c r="G182" s="134" t="inlineStr">
        <is>
          <t>general or unknown targets</t>
        </is>
      </c>
      <c r="H182" s="134" t="inlineStr">
        <is>
          <t>Absorption and bioavailability vary; some compounds metabolized via cytochrome P450 enzymes.</t>
        </is>
      </c>
      <c r="I182" s="134" t="inlineStr">
        <is>
          <t>low</t>
        </is>
      </c>
      <c r="J182" s="134" t="inlineStr">
        <is>
          <t>no well-documented interactions</t>
        </is>
      </c>
      <c r="K182" s="134" t="n"/>
      <c r="L182" s="134" t="inlineStr">
        <is>
          <t>compound_level</t>
        </is>
      </c>
      <c r="M182" s="134" t="inlineStr">
        <is>
          <t>https://plants.sc.egov.usda.gov/home/search?query=Stephania%20tetrandra | https://pubchem.ncbi.nlm.nih.gov/#query=fangchinoline</t>
        </is>
      </c>
      <c r="N182" s="134" t="inlineStr">
        <is>
          <t>inferred_plus_trusted_gov</t>
        </is>
      </c>
      <c r="O182" s="134" t="inlineStr">
        <is>
          <t>scientific name; PubChem compound page (NIH); USDA Plants database</t>
        </is>
      </c>
      <c r="P182" s="134" t="n"/>
      <c r="Q182" s="134" t="inlineStr">
        <is>
          <t>stephania-tetrandra</t>
        </is>
      </c>
      <c r="R182" s="134" t="n">
        <v>1</v>
      </c>
      <c r="S182" s="134" t="inlineStr">
        <is>
          <t>Yes</t>
        </is>
      </c>
      <c r="T182" s="134" t="inlineStr">
        <is>
          <t>Integrated from cleaned high-signal dataset</t>
        </is>
      </c>
    </row>
    <row r="183" ht="26" customHeight="1" s="76">
      <c r="A183" s="134" t="inlineStr">
        <is>
          <t>febrifugine</t>
        </is>
      </c>
      <c r="B183" s="134" t="inlineStr">
        <is>
          <t>febrifugine</t>
        </is>
      </c>
      <c r="C183" s="134" t="n"/>
      <c r="D183" s="134" t="inlineStr">
        <is>
          <t>other</t>
        </is>
      </c>
      <c r="E183" s="134" t="inlineStr">
        <is>
          <t>insufficient evidence</t>
        </is>
      </c>
      <c r="F183" s="134" t="inlineStr">
        <is>
          <t>multi-target signaling modulation</t>
        </is>
      </c>
      <c r="G183" s="134" t="inlineStr">
        <is>
          <t>general or unknown targets</t>
        </is>
      </c>
      <c r="H183" s="134" t="inlineStr">
        <is>
          <t>Absorption and bioavailability vary; some compounds metabolized via cytochrome P450 enzymes.</t>
        </is>
      </c>
      <c r="I183" s="134" t="inlineStr">
        <is>
          <t>low</t>
        </is>
      </c>
      <c r="J183" s="134" t="inlineStr">
        <is>
          <t>no well-documented interactions</t>
        </is>
      </c>
      <c r="K183" s="134" t="n"/>
      <c r="L183" s="134" t="inlineStr">
        <is>
          <t>compound_level</t>
        </is>
      </c>
      <c r="M183" s="134" t="inlineStr">
        <is>
          <t>https://plants.sc.egov.usda.gov/home/search?query=Dichroa%20febrifuga | https://pubchem.ncbi.nlm.nih.gov/#query=febrifugine</t>
        </is>
      </c>
      <c r="N183" s="134" t="inlineStr">
        <is>
          <t>inferred_plus_trusted_gov</t>
        </is>
      </c>
      <c r="O183" s="134" t="inlineStr">
        <is>
          <t>scientific name; PubChem compound page (NIH); USDA Plants database</t>
        </is>
      </c>
      <c r="P183" s="134" t="n"/>
      <c r="Q183" s="134" t="inlineStr">
        <is>
          <t>dichroa-febrifuga</t>
        </is>
      </c>
      <c r="R183" s="134" t="n">
        <v>1</v>
      </c>
      <c r="S183" s="134" t="inlineStr">
        <is>
          <t>Yes</t>
        </is>
      </c>
      <c r="T183" s="134" t="inlineStr">
        <is>
          <t>Integrated from cleaned high-signal dataset</t>
        </is>
      </c>
    </row>
    <row r="184" ht="26" customHeight="1" s="76">
      <c r="A184" s="134" t="inlineStr">
        <is>
          <t>fenchone</t>
        </is>
      </c>
      <c r="B184" s="134" t="inlineStr">
        <is>
          <t>fenchone</t>
        </is>
      </c>
      <c r="C184" s="134" t="n"/>
      <c r="D184" s="134" t="inlineStr">
        <is>
          <t>Anethole, fenchone, flavonoids</t>
        </is>
      </c>
      <c r="E184" s="134" t="inlineStr">
        <is>
          <t>insufficient evidence</t>
        </is>
      </c>
      <c r="F184" s="134" t="inlineStr">
        <is>
          <t>multi-target signaling modulation</t>
        </is>
      </c>
      <c r="G184" s="134" t="inlineStr">
        <is>
          <t>general or unknown targets</t>
        </is>
      </c>
      <c r="H184" s="134" t="inlineStr">
        <is>
          <t>Oral; antispasmodic and expectorant</t>
        </is>
      </c>
      <c r="I184" s="134" t="inlineStr">
        <is>
          <t>low</t>
        </is>
      </c>
      <c r="J184" s="134" t="inlineStr">
        <is>
          <t>no well-documented interactions</t>
        </is>
      </c>
      <c r="K184" s="134" t="n"/>
      <c r="L184" s="134" t="inlineStr">
        <is>
          <t>compound_level</t>
        </is>
      </c>
      <c r="M184" s="134" t="inlineStr">
        <is>
          <t>https://plants.sc.egov.usda.gov/home/search?query=Foeniculum%20vulgare | https://pubchem.ncbi.nlm.nih.gov/#query=fenchone</t>
        </is>
      </c>
      <c r="N184" s="134" t="inlineStr">
        <is>
          <t>inferred_plus_trusted_gov</t>
        </is>
      </c>
      <c r="O184" s="134" t="inlineStr">
        <is>
          <t>scientific name; PubChem compound page (NIH); USDA Plants database</t>
        </is>
      </c>
      <c r="P184" s="134" t="n"/>
      <c r="Q184" s="134" t="inlineStr">
        <is>
          <t>foeniculum-vulgare</t>
        </is>
      </c>
      <c r="R184" s="134" t="n">
        <v>1</v>
      </c>
      <c r="S184" s="134" t="inlineStr">
        <is>
          <t>Yes</t>
        </is>
      </c>
      <c r="T184" s="134" t="inlineStr">
        <is>
          <t>Integrated from cleaned high-signal dataset</t>
        </is>
      </c>
    </row>
    <row r="185" ht="26" customHeight="1" s="76">
      <c r="A185" s="134" t="inlineStr">
        <is>
          <t>ferulenol</t>
        </is>
      </c>
      <c r="B185" s="134" t="inlineStr">
        <is>
          <t>ferulenol</t>
        </is>
      </c>
      <c r="C185" s="134" t="n"/>
      <c r="D185" s="134" t="inlineStr">
        <is>
          <t>sesquiterpenes; coumarins</t>
        </is>
      </c>
      <c r="E185" s="134" t="inlineStr">
        <is>
          <t>insufficient evidence</t>
        </is>
      </c>
      <c r="F185" s="134" t="inlineStr">
        <is>
          <t>multi-target signaling modulation</t>
        </is>
      </c>
      <c r="G185" s="134" t="inlineStr">
        <is>
          <t>general or unknown targets</t>
        </is>
      </c>
      <c r="H185" s="134" t="inlineStr">
        <is>
          <t>Absorption and bioavailability vary; some compounds metabolized via cytochrome P450 enzymes.</t>
        </is>
      </c>
      <c r="I185" s="134" t="inlineStr">
        <is>
          <t>low</t>
        </is>
      </c>
      <c r="J185" s="134" t="inlineStr">
        <is>
          <t>no well-documented interactions</t>
        </is>
      </c>
      <c r="K185" s="134" t="n"/>
      <c r="L185" s="134" t="inlineStr">
        <is>
          <t>compound_level</t>
        </is>
      </c>
      <c r="M185" s="134" t="inlineStr">
        <is>
          <t>https://plants.sc.egov.usda.gov/home/search?query=Ferula%20communis | https://pubchem.ncbi.nlm.nih.gov/#query=ferulenol</t>
        </is>
      </c>
      <c r="N185" s="134" t="inlineStr">
        <is>
          <t>inferred_plus_trusted_gov</t>
        </is>
      </c>
      <c r="O185" s="134" t="inlineStr">
        <is>
          <t>scientific name; PubChem compound page (NIH); USDA Plants database</t>
        </is>
      </c>
      <c r="P185" s="134" t="n"/>
      <c r="Q185" s="134" t="inlineStr">
        <is>
          <t>ferula-communis</t>
        </is>
      </c>
      <c r="R185" s="134" t="n">
        <v>1</v>
      </c>
      <c r="S185" s="134" t="inlineStr">
        <is>
          <t>Yes</t>
        </is>
      </c>
      <c r="T185" s="134" t="inlineStr">
        <is>
          <t>Integrated from cleaned high-signal dataset</t>
        </is>
      </c>
    </row>
    <row r="186" ht="26" customHeight="1" s="76">
      <c r="A186" s="134" t="inlineStr">
        <is>
          <t>ferulic acid</t>
        </is>
      </c>
      <c r="B186" s="134" t="inlineStr">
        <is>
          <t>ferulic acid</t>
        </is>
      </c>
      <c r="C186" s="134" t="n"/>
      <c r="D186" s="134" t="inlineStr">
        <is>
          <t>Ferulic acid, ligustilide, polysaccharides</t>
        </is>
      </c>
      <c r="E186" s="134" t="inlineStr">
        <is>
          <t>insufficient evidence</t>
        </is>
      </c>
      <c r="F186" s="134" t="inlineStr">
        <is>
          <t>multi-target signaling modulation</t>
        </is>
      </c>
      <c r="G186" s="134" t="inlineStr">
        <is>
          <t>general or unknown targets</t>
        </is>
      </c>
      <c r="H186" s="134" t="inlineStr">
        <is>
          <t>Oral; blood tonic and smooth muscle modulation</t>
        </is>
      </c>
      <c r="I186" s="134" t="inlineStr">
        <is>
          <t>low</t>
        </is>
      </c>
      <c r="J186" s="134" t="inlineStr">
        <is>
          <t>no well-documented interactions</t>
        </is>
      </c>
      <c r="K186" s="134" t="n"/>
      <c r="L186" s="134" t="inlineStr">
        <is>
          <t>compound_level</t>
        </is>
      </c>
      <c r="M186" s="134" t="inlineStr">
        <is>
          <t>https://plants.sc.egov.usda.gov/home/search?query=Angelica%20sinensis | https://plants.sc.egov.usda.gov/home/search?query=Ferula%20assa-foetida | https://plants.sc.egov.usda.gov/home/search?query=Ligusticum%20chuanxiong | https://pubchem.ncbi.nlm.nih.gov/#query=ferulic%20acid</t>
        </is>
      </c>
      <c r="N186" s="134" t="inlineStr">
        <is>
          <t>inferred_plus_trusted_gov</t>
        </is>
      </c>
      <c r="O186" s="134" t="inlineStr">
        <is>
          <t>scientific name; PubChem compound page (NIH); USDA Plants database</t>
        </is>
      </c>
      <c r="P186" s="134" t="n"/>
      <c r="Q186" s="134" t="inlineStr">
        <is>
          <t>angelica-sinensis; ferula-assa-foetida; ligusticum-chuanxiong</t>
        </is>
      </c>
      <c r="R186" s="134" t="n">
        <v>3</v>
      </c>
      <c r="S186" s="134" t="inlineStr">
        <is>
          <t>Yes</t>
        </is>
      </c>
      <c r="T186" s="134" t="inlineStr">
        <is>
          <t>Integrated from cleaned high-signal dataset</t>
        </is>
      </c>
    </row>
    <row r="187" ht="26" customHeight="1" s="76">
      <c r="A187" s="134" t="inlineStr">
        <is>
          <t>formononetin</t>
        </is>
      </c>
      <c r="B187" s="134" t="inlineStr">
        <is>
          <t>formononetin</t>
        </is>
      </c>
      <c r="C187" s="134" t="n"/>
      <c r="D187" s="134" t="inlineStr">
        <is>
          <t>other</t>
        </is>
      </c>
      <c r="E187" s="134" t="inlineStr">
        <is>
          <t>insufficient evidence</t>
        </is>
      </c>
      <c r="F187" s="134" t="inlineStr">
        <is>
          <t>muscarinic receptor interaction</t>
        </is>
      </c>
      <c r="G187" s="134" t="inlineStr">
        <is>
          <t>cholinergic_modulation</t>
        </is>
      </c>
      <c r="H187" s="134" t="inlineStr">
        <is>
          <t>rapid systemic absorption; crosses BBB; hepatic metabolism</t>
        </is>
      </c>
      <c r="I187" s="134" t="inlineStr">
        <is>
          <t>low</t>
        </is>
      </c>
      <c r="J187" s="134" t="inlineStr">
        <is>
          <t>no well-documented interactions</t>
        </is>
      </c>
      <c r="K187" s="134" t="n"/>
      <c r="L187" s="134" t="inlineStr">
        <is>
          <t>compound_level</t>
        </is>
      </c>
      <c r="M187" s="134" t="inlineStr">
        <is>
          <t>https://plants.sc.egov.usda.gov/home/search?query=amorpha%20fruticosa | https://pubchem.ncbi.nlm.nih.gov/#query=formononetin</t>
        </is>
      </c>
      <c r="N187" s="134" t="inlineStr">
        <is>
          <t>trusted_gov_added</t>
        </is>
      </c>
      <c r="O187" s="134" t="inlineStr">
        <is>
          <t>PubChem compound page (NIH); USDA Plants database</t>
        </is>
      </c>
      <c r="P187" s="134" t="n"/>
      <c r="Q187" s="134" t="inlineStr">
        <is>
          <t>amorpha-fruticosa</t>
        </is>
      </c>
      <c r="R187" s="134" t="n">
        <v>1</v>
      </c>
      <c r="S187" s="134" t="inlineStr">
        <is>
          <t>Yes</t>
        </is>
      </c>
      <c r="T187" s="134" t="inlineStr">
        <is>
          <t>Integrated from cleaned high-signal dataset</t>
        </is>
      </c>
    </row>
    <row r="188" ht="26" customHeight="1" s="76">
      <c r="A188" s="134" t="inlineStr">
        <is>
          <t>fraxin</t>
        </is>
      </c>
      <c r="B188" s="134" t="inlineStr">
        <is>
          <t>fraxin</t>
        </is>
      </c>
      <c r="C188" s="134" t="n"/>
      <c r="D188" s="134" t="inlineStr">
        <is>
          <t>other</t>
        </is>
      </c>
      <c r="E188" s="134" t="inlineStr">
        <is>
          <t>insufficient evidence</t>
        </is>
      </c>
      <c r="F188" s="134" t="inlineStr">
        <is>
          <t>multi-target signaling modulation</t>
        </is>
      </c>
      <c r="G188" s="134" t="inlineStr">
        <is>
          <t>general or unknown targets</t>
        </is>
      </c>
      <c r="H188" s="134" t="inlineStr">
        <is>
          <t>Absorption and bioavailability vary; some compounds metabolized via cytochrome P450 enzymes.</t>
        </is>
      </c>
      <c r="I188" s="134" t="inlineStr">
        <is>
          <t>low</t>
        </is>
      </c>
      <c r="J188" s="134" t="inlineStr">
        <is>
          <t>no well-documented interactions</t>
        </is>
      </c>
      <c r="K188" s="134" t="n"/>
      <c r="L188" s="134" t="inlineStr">
        <is>
          <t>compound_level</t>
        </is>
      </c>
      <c r="M188" s="134" t="inlineStr">
        <is>
          <t>https://plants.sc.egov.usda.gov/home/search?query=Aesculus%20hippocastanum | https://pubchem.ncbi.nlm.nih.gov/#query=fraxin</t>
        </is>
      </c>
      <c r="N188" s="134" t="inlineStr">
        <is>
          <t>inferred_plus_trusted_gov</t>
        </is>
      </c>
      <c r="O188" s="134" t="inlineStr">
        <is>
          <t>scientific name; PubChem compound page (NIH); USDA Plants database</t>
        </is>
      </c>
      <c r="P188" s="134" t="n"/>
      <c r="Q188" s="134" t="inlineStr">
        <is>
          <t>aesculus-hippocastanum</t>
        </is>
      </c>
      <c r="R188" s="134" t="n">
        <v>1</v>
      </c>
      <c r="S188" s="134" t="inlineStr">
        <is>
          <t>Yes</t>
        </is>
      </c>
      <c r="T188" s="134" t="inlineStr">
        <is>
          <t>Integrated from cleaned high-signal dataset</t>
        </is>
      </c>
    </row>
    <row r="189" ht="26" customHeight="1" s="76">
      <c r="A189" s="134" t="inlineStr">
        <is>
          <t>fucoidan</t>
        </is>
      </c>
      <c r="B189" s="134" t="inlineStr">
        <is>
          <t>fucoidan</t>
        </is>
      </c>
      <c r="C189" s="134" t="n"/>
      <c r="D189" s="134" t="inlineStr">
        <is>
          <t>other</t>
        </is>
      </c>
      <c r="E189" s="134" t="inlineStr">
        <is>
          <t>insufficient evidence</t>
        </is>
      </c>
      <c r="F189" s="134" t="inlineStr">
        <is>
          <t>multi-target signaling modulation</t>
        </is>
      </c>
      <c r="G189" s="134" t="inlineStr">
        <is>
          <t>general or unknown targets</t>
        </is>
      </c>
      <c r="H189" s="134" t="inlineStr">
        <is>
          <t>Oral; influences T3/T4 thyroid hormones</t>
        </is>
      </c>
      <c r="I189" s="134" t="inlineStr">
        <is>
          <t>low</t>
        </is>
      </c>
      <c r="J189" s="134" t="inlineStr">
        <is>
          <t>no well-documented interactions</t>
        </is>
      </c>
      <c r="K189" s="134" t="n"/>
      <c r="L189" s="134" t="inlineStr">
        <is>
          <t>compound_level</t>
        </is>
      </c>
      <c r="M189" s="134" t="inlineStr">
        <is>
          <t>https://plants.sc.egov.usda.gov/home/search?query=Fucus%20vesiculosus | https://plants.sc.egov.usda.gov/home/search?query=Laminaria%20digitata | https://pubchem.ncbi.nlm.nih.gov/#query=fucoidan</t>
        </is>
      </c>
      <c r="N189" s="134" t="inlineStr">
        <is>
          <t>inferred_plus_trusted_gov</t>
        </is>
      </c>
      <c r="O189" s="134" t="inlineStr">
        <is>
          <t>scientific name; PubChem compound page (NIH); USDA Plants database</t>
        </is>
      </c>
      <c r="P189" s="134" t="n"/>
      <c r="Q189" s="134" t="inlineStr">
        <is>
          <t>fucus-vesiculosus; laminaria-digitata</t>
        </is>
      </c>
      <c r="R189" s="134" t="n">
        <v>2</v>
      </c>
      <c r="S189" s="134" t="inlineStr">
        <is>
          <t>Yes</t>
        </is>
      </c>
      <c r="T189" s="134" t="inlineStr">
        <is>
          <t>Integrated from cleaned high-signal dataset</t>
        </is>
      </c>
    </row>
    <row r="190" ht="26" customHeight="1" s="76">
      <c r="A190" s="134" t="inlineStr">
        <is>
          <t>gallic acid</t>
        </is>
      </c>
      <c r="B190" s="134" t="inlineStr">
        <is>
          <t>gallic acid</t>
        </is>
      </c>
      <c r="C190" s="134" t="n"/>
      <c r="D190" s="134" t="inlineStr">
        <is>
          <t>tannins</t>
        </is>
      </c>
      <c r="E190" s="134" t="inlineStr">
        <is>
          <t>insufficient evidence</t>
        </is>
      </c>
      <c r="F190" s="134" t="inlineStr">
        <is>
          <t>multi-target signaling modulation</t>
        </is>
      </c>
      <c r="G190" s="134" t="inlineStr">
        <is>
          <t>general or unknown targets</t>
        </is>
      </c>
      <c r="H190" s="134" t="inlineStr">
        <is>
          <t>moderate absorption; hepatic metabolism</t>
        </is>
      </c>
      <c r="I190" s="134" t="inlineStr">
        <is>
          <t>low</t>
        </is>
      </c>
      <c r="J190" s="134" t="inlineStr">
        <is>
          <t>no well-documented interactions</t>
        </is>
      </c>
      <c r="K190" s="134" t="n"/>
      <c r="L190" s="134" t="inlineStr">
        <is>
          <t>compound_level</t>
        </is>
      </c>
      <c r="M190" s="134" t="inlineStr">
        <is>
          <t>https://plants.sc.egov.usda.gov/home/search?query=acacia%20nilotica | https://pubchem.ncbi.nlm.nih.gov/#query=gallic%20acid</t>
        </is>
      </c>
      <c r="N190" s="134" t="inlineStr">
        <is>
          <t>trusted_gov_added</t>
        </is>
      </c>
      <c r="O190" s="134" t="inlineStr">
        <is>
          <t>PubChem compound page (NIH); USDA Plants database</t>
        </is>
      </c>
      <c r="P190" s="134" t="n"/>
      <c r="Q190" s="134" t="inlineStr">
        <is>
          <t>vachellia-nilotica</t>
        </is>
      </c>
      <c r="R190" s="134" t="n">
        <v>1</v>
      </c>
      <c r="S190" s="134" t="inlineStr">
        <is>
          <t>Yes</t>
        </is>
      </c>
      <c r="T190" s="134" t="inlineStr">
        <is>
          <t>Integrated from cleaned high-signal dataset</t>
        </is>
      </c>
    </row>
    <row r="191" ht="26" customHeight="1" s="76">
      <c r="A191" s="134" t="inlineStr">
        <is>
          <t>gamma-aminobutyric acid</t>
        </is>
      </c>
      <c r="B191" s="134" t="inlineStr">
        <is>
          <t>gamma-aminobutyric acid (GABA)</t>
        </is>
      </c>
      <c r="C191" s="134" t="n"/>
      <c r="D191" s="134" t="inlineStr">
        <is>
          <t>amino acid derivative</t>
        </is>
      </c>
      <c r="E191" s="134" t="inlineStr">
        <is>
          <t>Endogenous ligand at GABA-A (ionotropic chloride channel) and GABA-B (metabotropic GPCR) receptors.</t>
        </is>
      </c>
      <c r="F191" s="134" t="inlineStr">
        <is>
          <t>multi-target signaling modulation</t>
        </is>
      </c>
      <c r="G191" s="134" t="inlineStr">
        <is>
          <t>GABA_A receptor activation; GABA-B receptor activation; general or unknown targets</t>
        </is>
      </c>
      <c r="H191" s="134" t="inlineStr">
        <is>
          <t>Limited blood-brain barrier permeability when administered orally.</t>
        </is>
      </c>
      <c r="I191" s="134" t="inlineStr">
        <is>
          <t>Generally well tolerated; excessive CNS depression is possible with co-administered sedatives.</t>
        </is>
      </c>
      <c r="J191" s="134" t="inlineStr">
        <is>
          <t>CNS depressants (additive ↑ sedation via GABAergic signaling).</t>
        </is>
      </c>
      <c r="K191" s="134" t="inlineStr">
        <is>
          <t>high</t>
        </is>
      </c>
      <c r="L191" s="134" t="inlineStr">
        <is>
          <t>Batch10</t>
        </is>
      </c>
      <c r="M191" s="134" t="inlineStr">
        <is>
          <t>https://plants.sc.egov.usda.gov/home/search?query=casimiroa%20edulis | https://pubchem.ncbi.nlm.nih.gov/#query=gamma-aminobutyric%20acid</t>
        </is>
      </c>
      <c r="N191" s="134" t="inlineStr">
        <is>
          <t>trusted_gov_added</t>
        </is>
      </c>
      <c r="O191" s="134" t="inlineStr">
        <is>
          <t>PubChem compound page (NIH); USDA Plants database</t>
        </is>
      </c>
      <c r="P191" s="134" t="inlineStr">
        <is>
          <t>manual_batch10</t>
        </is>
      </c>
      <c r="Q191" s="134" t="inlineStr">
        <is>
          <t>casimiroa-edulis</t>
        </is>
      </c>
      <c r="R191" s="134" t="n">
        <v>1</v>
      </c>
      <c r="S191" s="134" t="inlineStr">
        <is>
          <t>Yes</t>
        </is>
      </c>
      <c r="T191" s="134" t="inlineStr">
        <is>
          <t>Integrated from cleaned high-signal dataset; Integrated from compound monograph workbook</t>
        </is>
      </c>
    </row>
    <row r="192" ht="26" customHeight="1" s="76">
      <c r="A192" s="134" t="inlineStr">
        <is>
          <t>gamma-linolenic acid</t>
        </is>
      </c>
      <c r="B192" s="134" t="inlineStr">
        <is>
          <t>gamma-linolenic acid</t>
        </is>
      </c>
      <c r="C192" s="134" t="n"/>
      <c r="D192" s="134" t="inlineStr">
        <is>
          <t>pyrrolizidine alkaloids</t>
        </is>
      </c>
      <c r="E192" s="134" t="inlineStr">
        <is>
          <t>insufficient evidence</t>
        </is>
      </c>
      <c r="F192" s="134" t="inlineStr">
        <is>
          <t>ppar activation</t>
        </is>
      </c>
      <c r="G192" s="134" t="inlineStr">
        <is>
          <t>PPARA, PPARG</t>
        </is>
      </c>
      <c r="H192" s="134" t="inlineStr">
        <is>
          <t>Absorption and bioavailability vary; some compounds metabolized via cytochrome P450 enzymes.</t>
        </is>
      </c>
      <c r="I192" s="134" t="inlineStr">
        <is>
          <t>low</t>
        </is>
      </c>
      <c r="J192" s="134" t="inlineStr">
        <is>
          <t>no well-documented interactions</t>
        </is>
      </c>
      <c r="K192" s="134" t="n"/>
      <c r="L192" s="134" t="inlineStr">
        <is>
          <t>compound_level</t>
        </is>
      </c>
      <c r="M192" s="134" t="inlineStr">
        <is>
          <t>https://plants.sc.egov.usda.gov/home/search?query=Borago%20officinalis | https://plants.sc.egov.usda.gov/home/search?query=Oenothera%20biennis | https://pubchem.ncbi.nlm.nih.gov/#query=gamma-linolenic%20acid</t>
        </is>
      </c>
      <c r="N192" s="134" t="inlineStr">
        <is>
          <t>inferred_plus_trusted_gov</t>
        </is>
      </c>
      <c r="O192" s="134" t="inlineStr">
        <is>
          <t>scientific name; PubChem compound page (NIH); USDA Plants database</t>
        </is>
      </c>
      <c r="P192" s="134" t="n"/>
      <c r="Q192" s="134" t="inlineStr">
        <is>
          <t>borago-officinalis; oenothera-biennis</t>
        </is>
      </c>
      <c r="R192" s="134" t="n">
        <v>2</v>
      </c>
      <c r="S192" s="134" t="inlineStr">
        <is>
          <t>Yes</t>
        </is>
      </c>
      <c r="T192" s="134" t="inlineStr">
        <is>
          <t>Integrated from cleaned high-signal dataset</t>
        </is>
      </c>
    </row>
    <row r="193" ht="26" customHeight="1" s="76">
      <c r="A193" s="134" t="inlineStr">
        <is>
          <t>gelsedine</t>
        </is>
      </c>
      <c r="B193" s="134" t="inlineStr">
        <is>
          <t>gelsedine</t>
        </is>
      </c>
      <c r="C193" s="134" t="n"/>
      <c r="D193" s="134" t="inlineStr">
        <is>
          <t>other</t>
        </is>
      </c>
      <c r="E193" s="134" t="inlineStr">
        <is>
          <t>Gelsemium alkaloids act on the central and peripheral nervous system; gelsemine has demonstrated antinociceptive activity at spinal alpha3 glycine receptors, while toxic alkaloids can cause convulsions and respiratory failure.</t>
        </is>
      </c>
      <c r="F193" s="134" t="inlineStr">
        <is>
          <t>multi-target signaling modulation</t>
        </is>
      </c>
      <c r="G193" s="134" t="inlineStr">
        <is>
          <t>general or unknown targets</t>
        </is>
      </c>
      <c r="H193" s="134" t="inlineStr">
        <is>
          <t>moderate absorption; hepatic metabolism</t>
        </is>
      </c>
      <c r="I193" s="134" t="inlineStr">
        <is>
          <t>low</t>
        </is>
      </c>
      <c r="J193" s="134" t="inlineStr">
        <is>
          <t>no well-documented interactions</t>
        </is>
      </c>
      <c r="K193" s="134" t="n"/>
      <c r="L193" s="134" t="inlineStr">
        <is>
          <t>compound_level</t>
        </is>
      </c>
      <c r="M193" s="134" t="inlineStr">
        <is>
          <t>https://plants.sc.egov.usda.gov/home/search?query=carolina%20jessamine | https://pubchem.ncbi.nlm.nih.gov/#query=gelsedine</t>
        </is>
      </c>
      <c r="N193" s="134" t="inlineStr">
        <is>
          <t>trusted_gov_added</t>
        </is>
      </c>
      <c r="O193" s="134" t="inlineStr">
        <is>
          <t>PubChem compound page (NIH); USDA Plants database</t>
        </is>
      </c>
      <c r="P193" s="134" t="n"/>
      <c r="Q193" s="134" t="inlineStr">
        <is>
          <t>carolina-jessamine</t>
        </is>
      </c>
      <c r="R193" s="134" t="n">
        <v>1</v>
      </c>
      <c r="S193" s="134" t="inlineStr">
        <is>
          <t>Yes</t>
        </is>
      </c>
      <c r="T193" s="134" t="inlineStr">
        <is>
          <t>Integrated from cleaned high-signal dataset</t>
        </is>
      </c>
    </row>
    <row r="194" ht="26" customHeight="1" s="76">
      <c r="A194" s="134" t="inlineStr">
        <is>
          <t>gelsemicine</t>
        </is>
      </c>
      <c r="B194" s="134" t="inlineStr">
        <is>
          <t>gelsemicine</t>
        </is>
      </c>
      <c r="C194" s="134" t="n"/>
      <c r="D194" s="134" t="inlineStr">
        <is>
          <t>other</t>
        </is>
      </c>
      <c r="E194" s="134" t="inlineStr">
        <is>
          <t>Gelsemium alkaloids act on the central and peripheral nervous system; gelsemine has demonstrated antinociceptive activity at spinal alpha3 glycine receptors, while toxic alkaloids can cause convulsions and respiratory failure.</t>
        </is>
      </c>
      <c r="F194" s="134" t="inlineStr">
        <is>
          <t>multi-target signaling modulation</t>
        </is>
      </c>
      <c r="G194" s="134" t="inlineStr">
        <is>
          <t>general or unknown targets</t>
        </is>
      </c>
      <c r="H194" s="134" t="inlineStr">
        <is>
          <t>moderate absorption; hepatic metabolism</t>
        </is>
      </c>
      <c r="I194" s="134" t="inlineStr">
        <is>
          <t>low</t>
        </is>
      </c>
      <c r="J194" s="134" t="inlineStr">
        <is>
          <t>no well-documented interactions</t>
        </is>
      </c>
      <c r="K194" s="134" t="n"/>
      <c r="L194" s="134" t="inlineStr">
        <is>
          <t>compound_level</t>
        </is>
      </c>
      <c r="M194" s="134" t="inlineStr">
        <is>
          <t>https://plants.sc.egov.usda.gov/home/search?query=carolina%20jessamine | https://pubchem.ncbi.nlm.nih.gov/#query=gelsemicine</t>
        </is>
      </c>
      <c r="N194" s="134" t="inlineStr">
        <is>
          <t>trusted_gov_added</t>
        </is>
      </c>
      <c r="O194" s="134" t="inlineStr">
        <is>
          <t>PubChem compound page (NIH); USDA Plants database</t>
        </is>
      </c>
      <c r="P194" s="134" t="n"/>
      <c r="Q194" s="134" t="inlineStr">
        <is>
          <t>carolina-jessamine</t>
        </is>
      </c>
      <c r="R194" s="134" t="n">
        <v>1</v>
      </c>
      <c r="S194" s="134" t="inlineStr">
        <is>
          <t>Yes</t>
        </is>
      </c>
      <c r="T194" s="134" t="inlineStr">
        <is>
          <t>Integrated from cleaned high-signal dataset</t>
        </is>
      </c>
    </row>
    <row r="195" ht="26" customHeight="1" s="76">
      <c r="A195" s="134" t="inlineStr">
        <is>
          <t>gelsemine</t>
        </is>
      </c>
      <c r="B195" s="134" t="inlineStr">
        <is>
          <t>gelsemine</t>
        </is>
      </c>
      <c r="C195" s="134" t="n"/>
      <c r="D195" s="134" t="inlineStr">
        <is>
          <t>other</t>
        </is>
      </c>
      <c r="E195" s="134" t="inlineStr">
        <is>
          <t>Gelsemium alkaloids act on the central and peripheral nervous system; gelsemine has demonstrated antinociceptive activity at spinal alpha3 glycine receptors, while toxic alkaloids can cause convulsions and respiratory failure.</t>
        </is>
      </c>
      <c r="F195" s="134" t="inlineStr">
        <is>
          <t>multi-target signaling modulation</t>
        </is>
      </c>
      <c r="G195" s="134" t="inlineStr">
        <is>
          <t>general or unknown targets</t>
        </is>
      </c>
      <c r="H195" s="134" t="inlineStr">
        <is>
          <t>moderate absorption; hepatic metabolism</t>
        </is>
      </c>
      <c r="I195" s="134" t="inlineStr">
        <is>
          <t>low</t>
        </is>
      </c>
      <c r="J195" s="134" t="inlineStr">
        <is>
          <t>no well-documented interactions</t>
        </is>
      </c>
      <c r="K195" s="134" t="n"/>
      <c r="L195" s="134" t="inlineStr">
        <is>
          <t>compound_level</t>
        </is>
      </c>
      <c r="M195" s="134" t="inlineStr">
        <is>
          <t>https://plants.sc.egov.usda.gov/home/search?query=carolina%20jessamine | https://pubchem.ncbi.nlm.nih.gov/#query=gelsemine</t>
        </is>
      </c>
      <c r="N195" s="134" t="inlineStr">
        <is>
          <t>trusted_gov_added</t>
        </is>
      </c>
      <c r="O195" s="134" t="inlineStr">
        <is>
          <t>PubChem compound page (NIH); USDA Plants database</t>
        </is>
      </c>
      <c r="P195" s="134" t="n"/>
      <c r="Q195" s="134" t="inlineStr">
        <is>
          <t>carolina-jessamine</t>
        </is>
      </c>
      <c r="R195" s="134" t="n">
        <v>1</v>
      </c>
      <c r="S195" s="134" t="inlineStr">
        <is>
          <t>Yes</t>
        </is>
      </c>
      <c r="T195" s="134" t="inlineStr">
        <is>
          <t>Integrated from cleaned high-signal dataset</t>
        </is>
      </c>
    </row>
    <row r="196" ht="26" customHeight="1" s="76">
      <c r="A196" s="134" t="inlineStr">
        <is>
          <t>gelseminine</t>
        </is>
      </c>
      <c r="B196" s="134" t="inlineStr">
        <is>
          <t>gelseminine</t>
        </is>
      </c>
      <c r="C196" s="134" t="n"/>
      <c r="D196" s="134" t="inlineStr">
        <is>
          <t>other</t>
        </is>
      </c>
      <c r="E196" s="134" t="inlineStr">
        <is>
          <t>Gelsemium alkaloids act on the central and peripheral nervous system; gelsemine has demonstrated antinociceptive activity at spinal alpha3 glycine receptors, while toxic alkaloids can cause convulsions and respiratory failure.</t>
        </is>
      </c>
      <c r="F196" s="134" t="inlineStr">
        <is>
          <t>multi-target signaling modulation</t>
        </is>
      </c>
      <c r="G196" s="134" t="inlineStr">
        <is>
          <t>general or unknown targets</t>
        </is>
      </c>
      <c r="H196" s="134" t="inlineStr">
        <is>
          <t>moderate absorption; hepatic metabolism</t>
        </is>
      </c>
      <c r="I196" s="134" t="inlineStr">
        <is>
          <t>low</t>
        </is>
      </c>
      <c r="J196" s="134" t="inlineStr">
        <is>
          <t>no well-documented interactions</t>
        </is>
      </c>
      <c r="K196" s="134" t="n"/>
      <c r="L196" s="134" t="inlineStr">
        <is>
          <t>compound_level</t>
        </is>
      </c>
      <c r="M196" s="134" t="inlineStr">
        <is>
          <t>https://plants.sc.egov.usda.gov/home/search?query=carolina%20jessamine | https://pubchem.ncbi.nlm.nih.gov/#query=gelseminine</t>
        </is>
      </c>
      <c r="N196" s="134" t="inlineStr">
        <is>
          <t>trusted_gov_added</t>
        </is>
      </c>
      <c r="O196" s="134" t="inlineStr">
        <is>
          <t>PubChem compound page (NIH); USDA Plants database</t>
        </is>
      </c>
      <c r="P196" s="134" t="n"/>
      <c r="Q196" s="134" t="inlineStr">
        <is>
          <t>carolina-jessamine</t>
        </is>
      </c>
      <c r="R196" s="134" t="n">
        <v>1</v>
      </c>
      <c r="S196" s="134" t="inlineStr">
        <is>
          <t>Yes</t>
        </is>
      </c>
      <c r="T196" s="134" t="inlineStr">
        <is>
          <t>Integrated from cleaned high-signal dataset</t>
        </is>
      </c>
    </row>
    <row r="197" ht="26" customHeight="1" s="76">
      <c r="A197" s="134" t="inlineStr">
        <is>
          <t>gelseverine</t>
        </is>
      </c>
      <c r="B197" s="134" t="inlineStr">
        <is>
          <t>gelseverine</t>
        </is>
      </c>
      <c r="C197" s="134" t="n"/>
      <c r="D197" s="134" t="inlineStr">
        <is>
          <t>other</t>
        </is>
      </c>
      <c r="E197" s="134" t="inlineStr">
        <is>
          <t>Gelsemium alkaloids act on the central and peripheral nervous system; gelsemine has demonstrated antinociceptive activity at spinal alpha3 glycine receptors, while toxic alkaloids can cause convulsions and respiratory failure.</t>
        </is>
      </c>
      <c r="F197" s="134" t="inlineStr">
        <is>
          <t>multi-target signaling modulation</t>
        </is>
      </c>
      <c r="G197" s="134" t="inlineStr">
        <is>
          <t>general or unknown targets</t>
        </is>
      </c>
      <c r="H197" s="134" t="inlineStr">
        <is>
          <t>moderate absorption; hepatic metabolism</t>
        </is>
      </c>
      <c r="I197" s="134" t="inlineStr">
        <is>
          <t>low</t>
        </is>
      </c>
      <c r="J197" s="134" t="inlineStr">
        <is>
          <t>no well-documented interactions</t>
        </is>
      </c>
      <c r="K197" s="134" t="n"/>
      <c r="L197" s="134" t="inlineStr">
        <is>
          <t>compound_level</t>
        </is>
      </c>
      <c r="M197" s="134" t="inlineStr">
        <is>
          <t>https://plants.sc.egov.usda.gov/home/search?query=carolina%20jessamine | https://pubchem.ncbi.nlm.nih.gov/#query=gelseverine</t>
        </is>
      </c>
      <c r="N197" s="134" t="inlineStr">
        <is>
          <t>trusted_gov_added</t>
        </is>
      </c>
      <c r="O197" s="134" t="inlineStr">
        <is>
          <t>PubChem compound page (NIH); USDA Plants database</t>
        </is>
      </c>
      <c r="P197" s="134" t="n"/>
      <c r="Q197" s="134" t="inlineStr">
        <is>
          <t>carolina-jessamine</t>
        </is>
      </c>
      <c r="R197" s="134" t="n">
        <v>1</v>
      </c>
      <c r="S197" s="134" t="inlineStr">
        <is>
          <t>Yes</t>
        </is>
      </c>
      <c r="T197" s="134" t="inlineStr">
        <is>
          <t>Integrated from cleaned high-signal dataset</t>
        </is>
      </c>
    </row>
    <row r="198" ht="26" customHeight="1" s="76">
      <c r="A198" s="134" t="inlineStr">
        <is>
          <t>geniposide</t>
        </is>
      </c>
      <c r="B198" s="134" t="inlineStr">
        <is>
          <t>geniposide</t>
        </is>
      </c>
      <c r="C198" s="134" t="n"/>
      <c r="D198" s="134" t="inlineStr">
        <is>
          <t>other</t>
        </is>
      </c>
      <c r="E198" s="134" t="inlineStr">
        <is>
          <t>insufficient evidence</t>
        </is>
      </c>
      <c r="F198" s="134" t="inlineStr">
        <is>
          <t>multi-target signaling modulation</t>
        </is>
      </c>
      <c r="G198" s="134" t="inlineStr">
        <is>
          <t>general or unknown targets</t>
        </is>
      </c>
      <c r="H198" s="134" t="inlineStr">
        <is>
          <t>Oral; anti-fever and cholagogue</t>
        </is>
      </c>
      <c r="I198" s="134" t="inlineStr">
        <is>
          <t>low</t>
        </is>
      </c>
      <c r="J198" s="134" t="inlineStr">
        <is>
          <t>no well-documented interactions</t>
        </is>
      </c>
      <c r="K198" s="134" t="n"/>
      <c r="L198" s="134" t="inlineStr">
        <is>
          <t>compound_level</t>
        </is>
      </c>
      <c r="M198" s="134" t="inlineStr">
        <is>
          <t>https://plants.sc.egov.usda.gov/home/search?query=Gardenia%20jasminoides | https://pubchem.ncbi.nlm.nih.gov/#query=geniposide</t>
        </is>
      </c>
      <c r="N198" s="134" t="inlineStr">
        <is>
          <t>inferred_plus_trusted_gov</t>
        </is>
      </c>
      <c r="O198" s="134" t="inlineStr">
        <is>
          <t>scientific name; PubChem compound page (NIH); USDA Plants database</t>
        </is>
      </c>
      <c r="P198" s="134" t="n"/>
      <c r="Q198" s="134" t="inlineStr">
        <is>
          <t>gardenia-jasminoides</t>
        </is>
      </c>
      <c r="R198" s="134" t="n">
        <v>1</v>
      </c>
      <c r="S198" s="134" t="inlineStr">
        <is>
          <t>Yes</t>
        </is>
      </c>
      <c r="T198" s="134" t="inlineStr">
        <is>
          <t>Integrated from cleaned high-signal dataset</t>
        </is>
      </c>
    </row>
    <row r="199" ht="26" customHeight="1" s="76">
      <c r="A199" s="134" t="inlineStr">
        <is>
          <t>genistein</t>
        </is>
      </c>
      <c r="B199" s="134" t="inlineStr">
        <is>
          <t>genistein</t>
        </is>
      </c>
      <c r="C199" s="134" t="n"/>
      <c r="D199" s="134" t="inlineStr">
        <is>
          <t>isoflavone</t>
        </is>
      </c>
      <c r="E199" s="134" t="inlineStr">
        <is>
          <t>Tyrosine kinase inhibition and estrogen receptor modulation</t>
        </is>
      </c>
      <c r="F199" s="134" t="n"/>
      <c r="G199" s="134" t="inlineStr">
        <is>
          <t>ER modulation; Tyrosine kinase inhibition</t>
        </is>
      </c>
      <c r="H199" s="134" t="n"/>
      <c r="I199" s="134" t="n"/>
      <c r="J199" s="134" t="inlineStr">
        <is>
          <t>Hormonal therapies (interaction possible)</t>
        </is>
      </c>
      <c r="K199" s="134" t="n"/>
      <c r="L199" s="134" t="inlineStr">
        <is>
          <t>Batch9</t>
        </is>
      </c>
      <c r="M199" s="134" t="n"/>
      <c r="N199" s="134" t="n"/>
      <c r="O199" s="134" t="n"/>
      <c r="P199" s="134" t="inlineStr">
        <is>
          <t>master_monographs_v3.xlsx</t>
        </is>
      </c>
      <c r="Q199" s="134" t="n"/>
      <c r="R199" s="134" t="n">
        <v>0</v>
      </c>
      <c r="S199" s="134" t="inlineStr">
        <is>
          <t>No</t>
        </is>
      </c>
      <c r="T199" s="134" t="inlineStr">
        <is>
          <t>Integrated from compound monograph workbook</t>
        </is>
      </c>
    </row>
    <row r="200" ht="26" customHeight="1" s="76">
      <c r="A200" s="134" t="inlineStr">
        <is>
          <t>gentiopicroside</t>
        </is>
      </c>
      <c r="B200" s="134" t="inlineStr">
        <is>
          <t>gentiopicroside</t>
        </is>
      </c>
      <c r="C200" s="134" t="n"/>
      <c r="D200" s="134" t="inlineStr">
        <is>
          <t>other</t>
        </is>
      </c>
      <c r="E200" s="134" t="inlineStr">
        <is>
          <t>insufficient evidence</t>
        </is>
      </c>
      <c r="F200" s="134" t="inlineStr">
        <is>
          <t>multi-target signaling modulation</t>
        </is>
      </c>
      <c r="G200" s="134" t="inlineStr">
        <is>
          <t>general or unknown targets</t>
        </is>
      </c>
      <c r="H200" s="134" t="inlineStr">
        <is>
          <t>Absorption and bioavailability vary; some compounds metabolized via cytochrome P450 enzymes.</t>
        </is>
      </c>
      <c r="I200" s="134" t="inlineStr">
        <is>
          <t>low</t>
        </is>
      </c>
      <c r="J200" s="134" t="inlineStr">
        <is>
          <t>no well-documented interactions</t>
        </is>
      </c>
      <c r="K200" s="134" t="n"/>
      <c r="L200" s="134" t="inlineStr">
        <is>
          <t>compound_level</t>
        </is>
      </c>
      <c r="M200" s="134" t="inlineStr">
        <is>
          <t>https://plants.sc.egov.usda.gov/home/search?query=Centaurium%20erythraea | https://plants.sc.egov.usda.gov/home/search?query=Gentiana%20lutea | https://pubchem.ncbi.nlm.nih.gov/#query=gentiopicroside</t>
        </is>
      </c>
      <c r="N200" s="134" t="inlineStr">
        <is>
          <t>inferred_plus_trusted_gov</t>
        </is>
      </c>
      <c r="O200" s="134" t="inlineStr">
        <is>
          <t>scientific name; PubChem compound page (NIH); USDA Plants database</t>
        </is>
      </c>
      <c r="P200" s="134" t="n"/>
      <c r="Q200" s="134" t="inlineStr">
        <is>
          <t>centaurium-erythraea; gentiana-lutea</t>
        </is>
      </c>
      <c r="R200" s="134" t="n">
        <v>2</v>
      </c>
      <c r="S200" s="134" t="inlineStr">
        <is>
          <t>Yes</t>
        </is>
      </c>
      <c r="T200" s="134" t="inlineStr">
        <is>
          <t>Integrated from cleaned high-signal dataset</t>
        </is>
      </c>
    </row>
    <row r="201" ht="26" customHeight="1" s="76">
      <c r="A201" s="134" t="inlineStr">
        <is>
          <t>geranial</t>
        </is>
      </c>
      <c r="B201" s="134" t="inlineStr">
        <is>
          <t>geranial</t>
        </is>
      </c>
      <c r="C201" s="134" t="n"/>
      <c r="D201" s="134" t="inlineStr">
        <is>
          <t>flavonoids</t>
        </is>
      </c>
      <c r="E201" s="134" t="inlineStr">
        <is>
          <t>insufficient evidence</t>
        </is>
      </c>
      <c r="F201" s="134" t="inlineStr">
        <is>
          <t>multi-target signaling modulation</t>
        </is>
      </c>
      <c r="G201" s="134" t="inlineStr">
        <is>
          <t>general or unknown targets</t>
        </is>
      </c>
      <c r="H201" s="134" t="inlineStr">
        <is>
          <t>Absorption and bioavailability vary; some compounds metabolized via cytochrome P450 enzymes.</t>
        </is>
      </c>
      <c r="I201" s="134" t="inlineStr">
        <is>
          <t>low</t>
        </is>
      </c>
      <c r="J201" s="134" t="inlineStr">
        <is>
          <t>no well-documented interactions</t>
        </is>
      </c>
      <c r="K201" s="134" t="n"/>
      <c r="L201" s="134" t="inlineStr">
        <is>
          <t>compound_level</t>
        </is>
      </c>
      <c r="M201" s="134" t="inlineStr">
        <is>
          <t>https://plants.sc.egov.usda.gov/home/search?query=Dracocephalum%20moldavica | https://pubchem.ncbi.nlm.nih.gov/#query=geranial</t>
        </is>
      </c>
      <c r="N201" s="134" t="inlineStr">
        <is>
          <t>inferred_plus_trusted_gov</t>
        </is>
      </c>
      <c r="O201" s="134" t="inlineStr">
        <is>
          <t>scientific name; PubChem compound page (NIH); USDA Plants database</t>
        </is>
      </c>
      <c r="P201" s="134" t="n"/>
      <c r="Q201" s="134" t="inlineStr">
        <is>
          <t>dracocephalum-moldavica</t>
        </is>
      </c>
      <c r="R201" s="134" t="n">
        <v>1</v>
      </c>
      <c r="S201" s="134" t="inlineStr">
        <is>
          <t>Yes</t>
        </is>
      </c>
      <c r="T201" s="134" t="inlineStr">
        <is>
          <t>Integrated from cleaned high-signal dataset</t>
        </is>
      </c>
    </row>
    <row r="202" ht="26" customHeight="1" s="76">
      <c r="A202" s="134" t="inlineStr">
        <is>
          <t>geraniin</t>
        </is>
      </c>
      <c r="B202" s="134" t="inlineStr">
        <is>
          <t>geraniin</t>
        </is>
      </c>
      <c r="C202" s="134" t="n"/>
      <c r="D202" s="134" t="inlineStr">
        <is>
          <t>Tannins, flavonoids, geraniin</t>
        </is>
      </c>
      <c r="E202" s="134" t="inlineStr">
        <is>
          <t>insufficient evidence</t>
        </is>
      </c>
      <c r="F202" s="134" t="inlineStr">
        <is>
          <t>multi-target signaling modulation</t>
        </is>
      </c>
      <c r="G202" s="134" t="inlineStr">
        <is>
          <t>general or unknown targets</t>
        </is>
      </c>
      <c r="H202" s="134" t="inlineStr">
        <is>
          <t>Oral; styptic and anti-inflammatory</t>
        </is>
      </c>
      <c r="I202" s="134" t="inlineStr">
        <is>
          <t>low</t>
        </is>
      </c>
      <c r="J202" s="134" t="inlineStr">
        <is>
          <t>no well-documented interactions</t>
        </is>
      </c>
      <c r="K202" s="134" t="n"/>
      <c r="L202" s="134" t="inlineStr">
        <is>
          <t>compound_level</t>
        </is>
      </c>
      <c r="M202" s="134" t="inlineStr">
        <is>
          <t>https://plants.sc.egov.usda.gov/home/search?query=Geranium%20robertianum | https://pubchem.ncbi.nlm.nih.gov/#query=geraniin</t>
        </is>
      </c>
      <c r="N202" s="134" t="inlineStr">
        <is>
          <t>inferred_plus_trusted_gov</t>
        </is>
      </c>
      <c r="O202" s="134" t="inlineStr">
        <is>
          <t>scientific name; PubChem compound page (NIH); USDA Plants database</t>
        </is>
      </c>
      <c r="P202" s="134" t="n"/>
      <c r="Q202" s="134" t="inlineStr">
        <is>
          <t>geranium-robertianum</t>
        </is>
      </c>
      <c r="R202" s="134" t="n">
        <v>1</v>
      </c>
      <c r="S202" s="134" t="inlineStr">
        <is>
          <t>Yes</t>
        </is>
      </c>
      <c r="T202" s="134" t="inlineStr">
        <is>
          <t>Integrated from cleaned high-signal dataset</t>
        </is>
      </c>
    </row>
    <row r="203" ht="26" customHeight="1" s="76">
      <c r="A203" s="134" t="inlineStr">
        <is>
          <t>geraniol</t>
        </is>
      </c>
      <c r="B203" s="134" t="inlineStr">
        <is>
          <t>geraniol</t>
        </is>
      </c>
      <c r="C203" s="134" t="n"/>
      <c r="D203" s="134" t="inlineStr">
        <is>
          <t>Citral, geraniol, flavonoids</t>
        </is>
      </c>
      <c r="E203" s="134" t="inlineStr">
        <is>
          <t>insufficient evidence</t>
        </is>
      </c>
      <c r="F203" s="134" t="inlineStr">
        <is>
          <t>multi-target signaling modulation</t>
        </is>
      </c>
      <c r="G203" s="134" t="inlineStr">
        <is>
          <t>general or unknown targets</t>
        </is>
      </c>
      <c r="H203" s="134" t="inlineStr">
        <is>
          <t>Oral; GABAergic and antimicrobial</t>
        </is>
      </c>
      <c r="I203" s="134" t="inlineStr">
        <is>
          <t>low</t>
        </is>
      </c>
      <c r="J203" s="134" t="inlineStr">
        <is>
          <t>no well-documented interactions</t>
        </is>
      </c>
      <c r="K203" s="134" t="n"/>
      <c r="L203" s="134" t="inlineStr">
        <is>
          <t>compound_level</t>
        </is>
      </c>
      <c r="M203" s="134" t="inlineStr">
        <is>
          <t>https://plants.sc.egov.usda.gov/home/search?query=Cymbopogon%20citratus | https://pubchem.ncbi.nlm.nih.gov/#query=geraniol</t>
        </is>
      </c>
      <c r="N203" s="134" t="inlineStr">
        <is>
          <t>inferred_plus_trusted_gov</t>
        </is>
      </c>
      <c r="O203" s="134" t="inlineStr">
        <is>
          <t>scientific name; PubChem compound page (NIH); USDA Plants database</t>
        </is>
      </c>
      <c r="P203" s="134" t="n"/>
      <c r="Q203" s="134" t="inlineStr">
        <is>
          <t>cymbopogon-citratus</t>
        </is>
      </c>
      <c r="R203" s="134" t="n">
        <v>1</v>
      </c>
      <c r="S203" s="134" t="inlineStr">
        <is>
          <t>Yes</t>
        </is>
      </c>
      <c r="T203" s="134" t="inlineStr">
        <is>
          <t>Integrated from cleaned high-signal dataset</t>
        </is>
      </c>
    </row>
    <row r="204" ht="26" customHeight="1" s="76">
      <c r="A204" s="134" t="inlineStr">
        <is>
          <t>ginkgo biloba ginkgolides</t>
        </is>
      </c>
      <c r="B204" s="134" t="inlineStr">
        <is>
          <t>ginkgo biloba (ginkgolides)</t>
        </is>
      </c>
      <c r="C204" s="134" t="n"/>
      <c r="D204" s="134" t="inlineStr">
        <is>
          <t>terpenoid</t>
        </is>
      </c>
      <c r="E204" s="134" t="inlineStr">
        <is>
          <t>Platelet-activating factor (PAF) antagonism</t>
        </is>
      </c>
      <c r="F204" s="134" t="n"/>
      <c r="G204" s="134" t="inlineStr">
        <is>
          <t>PAF receptor antagonism</t>
        </is>
      </c>
      <c r="H204" s="134" t="n"/>
      <c r="I204" s="134" t="n"/>
      <c r="J204" s="134" t="inlineStr">
        <is>
          <t>Anticoagulants (↑ bleeding risk)</t>
        </is>
      </c>
      <c r="K204" s="134" t="n"/>
      <c r="L204" s="134" t="inlineStr">
        <is>
          <t>Sprint6</t>
        </is>
      </c>
      <c r="M204" s="134" t="n"/>
      <c r="N204" s="134" t="n"/>
      <c r="O204" s="134" t="n"/>
      <c r="P204" s="134" t="inlineStr">
        <is>
          <t>precision_monographs_sprint6.xlsx</t>
        </is>
      </c>
      <c r="Q204" s="134" t="n"/>
      <c r="R204" s="134" t="n">
        <v>0</v>
      </c>
      <c r="S204" s="134" t="inlineStr">
        <is>
          <t>No</t>
        </is>
      </c>
      <c r="T204" s="134" t="inlineStr">
        <is>
          <t>Integrated from compound monograph workbook</t>
        </is>
      </c>
    </row>
    <row r="205" ht="26" customHeight="1" s="76">
      <c r="A205" s="134" t="inlineStr">
        <is>
          <t>ginsenosides including rb1</t>
        </is>
      </c>
      <c r="B205" s="134" t="inlineStr">
        <is>
          <t>ginsenosides (including rb1</t>
        </is>
      </c>
      <c r="C205" s="134" t="n"/>
      <c r="D205" s="134" t="inlineStr">
        <is>
          <t>other</t>
        </is>
      </c>
      <c r="E205" s="134" t="inlineStr">
        <is>
          <t>insufficient evidence</t>
        </is>
      </c>
      <c r="F205" s="134" t="inlineStr">
        <is>
          <t>gaba_a_modulation</t>
        </is>
      </c>
      <c r="G205" s="134" t="inlineStr">
        <is>
          <t>gabaergic_modulation; inflammatory_pathway_modulation</t>
        </is>
      </c>
      <c r="H205" s="134" t="inlineStr">
        <is>
          <t>moderate absorption; hepatic metabolism</t>
        </is>
      </c>
      <c r="I205" s="134" t="inlineStr">
        <is>
          <t>low</t>
        </is>
      </c>
      <c r="J205" s="134" t="inlineStr">
        <is>
          <t>no well-documented interactions</t>
        </is>
      </c>
      <c r="K205" s="134" t="n"/>
      <c r="L205" s="134" t="inlineStr">
        <is>
          <t>compound_level</t>
        </is>
      </c>
      <c r="M205" s="134" t="inlineStr">
        <is>
          <t>https://plants.sc.egov.usda.gov/home/search?query=american%20ginseng | https://pubchem.ncbi.nlm.nih.gov/#query=ginsenosides%20%28including%20rb1</t>
        </is>
      </c>
      <c r="N205" s="134" t="inlineStr">
        <is>
          <t>trusted_gov_added</t>
        </is>
      </c>
      <c r="O205" s="134" t="inlineStr">
        <is>
          <t>PubChem compound page (NIH); USDA Plants database</t>
        </is>
      </c>
      <c r="P205" s="134" t="n"/>
      <c r="Q205" s="134" t="inlineStr">
        <is>
          <t>american-ginseng</t>
        </is>
      </c>
      <c r="R205" s="134" t="n">
        <v>1</v>
      </c>
      <c r="S205" s="134" t="inlineStr">
        <is>
          <t>Yes</t>
        </is>
      </c>
      <c r="T205" s="134" t="inlineStr">
        <is>
          <t>Integrated from cleaned high-signal dataset</t>
        </is>
      </c>
    </row>
    <row r="206" ht="26" customHeight="1" s="76">
      <c r="A206" s="134" t="inlineStr">
        <is>
          <t>ginsenosides rb1</t>
        </is>
      </c>
      <c r="B206" s="134" t="inlineStr">
        <is>
          <t>ginsenosides (rb1</t>
        </is>
      </c>
      <c r="C206" s="134" t="n"/>
      <c r="D206" s="134" t="inlineStr">
        <is>
          <t>Ginsenosides (Rb1, Re), polysaccharides</t>
        </is>
      </c>
      <c r="E206" s="134" t="inlineStr">
        <is>
          <t>insufficient evidence</t>
        </is>
      </c>
      <c r="F206" s="134" t="inlineStr">
        <is>
          <t>multi-target signaling modulation</t>
        </is>
      </c>
      <c r="G206" s="134" t="inlineStr">
        <is>
          <t>general or unknown targets</t>
        </is>
      </c>
      <c r="H206" s="134" t="inlineStr">
        <is>
          <t>Oral; cognitive and metabolic support</t>
        </is>
      </c>
      <c r="I206" s="134" t="inlineStr">
        <is>
          <t>low</t>
        </is>
      </c>
      <c r="J206" s="134" t="inlineStr">
        <is>
          <t>no well-documented interactions</t>
        </is>
      </c>
      <c r="K206" s="134" t="n"/>
      <c r="L206" s="134" t="inlineStr">
        <is>
          <t>compound_level</t>
        </is>
      </c>
      <c r="M206" s="134" t="inlineStr">
        <is>
          <t>https://plants.sc.egov.usda.gov/home/search?query=Panax%20quinquefolius | https://pubchem.ncbi.nlm.nih.gov/#query=ginsenosides%20%28rb1</t>
        </is>
      </c>
      <c r="N206" s="134" t="inlineStr">
        <is>
          <t>inferred_plus_trusted_gov</t>
        </is>
      </c>
      <c r="O206" s="134" t="inlineStr">
        <is>
          <t>scientific name; PubChem compound page (NIH); USDA Plants database</t>
        </is>
      </c>
      <c r="P206" s="134" t="n"/>
      <c r="Q206" s="134" t="inlineStr">
        <is>
          <t>panax-quinquefolius</t>
        </is>
      </c>
      <c r="R206" s="134" t="n">
        <v>1</v>
      </c>
      <c r="S206" s="134" t="inlineStr">
        <is>
          <t>Yes</t>
        </is>
      </c>
      <c r="T206" s="134" t="inlineStr">
        <is>
          <t>Integrated from cleaned high-signal dataset</t>
        </is>
      </c>
    </row>
    <row r="207" ht="26" customHeight="1" s="76">
      <c r="A207" s="134" t="inlineStr">
        <is>
          <t>gitoxin</t>
        </is>
      </c>
      <c r="B207" s="134" t="inlineStr">
        <is>
          <t>gitoxin</t>
        </is>
      </c>
      <c r="C207" s="134" t="n"/>
      <c r="D207" s="134" t="inlineStr">
        <is>
          <t>other</t>
        </is>
      </c>
      <c r="E207" s="134" t="inlineStr">
        <is>
          <t>insufficient evidence</t>
        </is>
      </c>
      <c r="F207" s="134" t="inlineStr">
        <is>
          <t>multi-target signaling modulation</t>
        </is>
      </c>
      <c r="G207" s="134" t="inlineStr">
        <is>
          <t>general or unknown targets</t>
        </is>
      </c>
      <c r="H207" s="134" t="inlineStr">
        <is>
          <t>moderate absorption; hepatic metabolism</t>
        </is>
      </c>
      <c r="I207" s="134" t="inlineStr">
        <is>
          <t>low</t>
        </is>
      </c>
      <c r="J207" s="134" t="inlineStr">
        <is>
          <t>no well-documented interactions</t>
        </is>
      </c>
      <c r="K207" s="134" t="n"/>
      <c r="L207" s="134" t="inlineStr">
        <is>
          <t>compound_level</t>
        </is>
      </c>
      <c r="M207" s="134" t="inlineStr">
        <is>
          <t>https://plants.sc.egov.usda.gov/home/search?query=foxglove | https://pubchem.ncbi.nlm.nih.gov/#query=gitoxin</t>
        </is>
      </c>
      <c r="N207" s="134" t="inlineStr">
        <is>
          <t>trusted_gov_added</t>
        </is>
      </c>
      <c r="O207" s="134" t="inlineStr">
        <is>
          <t>PubChem compound page (NIH); USDA Plants database</t>
        </is>
      </c>
      <c r="P207" s="134" t="n"/>
      <c r="Q207" s="134" t="inlineStr">
        <is>
          <t>foxglove</t>
        </is>
      </c>
      <c r="R207" s="134" t="n">
        <v>1</v>
      </c>
      <c r="S207" s="134" t="inlineStr">
        <is>
          <t>Yes</t>
        </is>
      </c>
      <c r="T207" s="134" t="inlineStr">
        <is>
          <t>Integrated from cleaned high-signal dataset</t>
        </is>
      </c>
    </row>
    <row r="208" ht="26" customHeight="1" s="76">
      <c r="A208" s="134" t="inlineStr">
        <is>
          <t>glycyrrhizin</t>
        </is>
      </c>
      <c r="B208" s="134" t="inlineStr">
        <is>
          <t>glycyrrhizin</t>
        </is>
      </c>
      <c r="C208" s="134" t="n"/>
      <c r="D208" s="134" t="inlineStr">
        <is>
          <t>Glycyrrhizin, flavonoids, saponins</t>
        </is>
      </c>
      <c r="E208" s="134" t="inlineStr">
        <is>
          <t>insufficient evidence</t>
        </is>
      </c>
      <c r="F208" s="134" t="inlineStr">
        <is>
          <t>multi-target signaling modulation</t>
        </is>
      </c>
      <c r="G208" s="134" t="inlineStr">
        <is>
          <t>general or unknown targets</t>
        </is>
      </c>
      <c r="H208" s="134" t="inlineStr">
        <is>
          <t>Oral; mucosal and adrenal support</t>
        </is>
      </c>
      <c r="I208" s="134" t="inlineStr">
        <is>
          <t>low</t>
        </is>
      </c>
      <c r="J208" s="134" t="inlineStr">
        <is>
          <t>no well-documented interactions</t>
        </is>
      </c>
      <c r="K208" s="134" t="n"/>
      <c r="L208" s="134" t="inlineStr">
        <is>
          <t>compound_level</t>
        </is>
      </c>
      <c r="M208" s="134" t="inlineStr">
        <is>
          <t>https://plants.sc.egov.usda.gov/home/search?query=Glycyrrhiza%20glabra | https://pubchem.ncbi.nlm.nih.gov/#query=glycyrrhizin</t>
        </is>
      </c>
      <c r="N208" s="134" t="inlineStr">
        <is>
          <t>inferred_plus_trusted_gov</t>
        </is>
      </c>
      <c r="O208" s="134" t="inlineStr">
        <is>
          <t>scientific name; PubChem compound page (NIH); USDA Plants database</t>
        </is>
      </c>
      <c r="P208" s="134" t="n"/>
      <c r="Q208" s="134" t="inlineStr">
        <is>
          <t>glycyrrhiza-glabra</t>
        </is>
      </c>
      <c r="R208" s="134" t="n">
        <v>1</v>
      </c>
      <c r="S208" s="134" t="inlineStr">
        <is>
          <t>Yes</t>
        </is>
      </c>
      <c r="T208" s="134" t="inlineStr">
        <is>
          <t>Integrated from cleaned high-signal dataset</t>
        </is>
      </c>
    </row>
    <row r="209" ht="26" customHeight="1" s="76">
      <c r="A209" s="134" t="inlineStr">
        <is>
          <t>gomisin</t>
        </is>
      </c>
      <c r="B209" s="134" t="inlineStr">
        <is>
          <t>gomisin</t>
        </is>
      </c>
      <c r="C209" s="134" t="n"/>
      <c r="D209" s="134" t="inlineStr">
        <is>
          <t>Schisandrin, gomisin, lignans</t>
        </is>
      </c>
      <c r="E209" s="134" t="inlineStr">
        <is>
          <t>insufficient evidence</t>
        </is>
      </c>
      <c r="F209" s="134" t="inlineStr">
        <is>
          <t>multi-target signaling modulation</t>
        </is>
      </c>
      <c r="G209" s="134" t="inlineStr">
        <is>
          <t>general or unknown targets</t>
        </is>
      </c>
      <c r="H209" s="134" t="inlineStr">
        <is>
          <t>Oral; antioxidant and hepatoprotective</t>
        </is>
      </c>
      <c r="I209" s="134" t="inlineStr">
        <is>
          <t>low</t>
        </is>
      </c>
      <c r="J209" s="134" t="inlineStr">
        <is>
          <t>no well-documented interactions</t>
        </is>
      </c>
      <c r="K209" s="134" t="n"/>
      <c r="L209" s="134" t="inlineStr">
        <is>
          <t>compound_level</t>
        </is>
      </c>
      <c r="M209" s="134" t="inlineStr">
        <is>
          <t>https://plants.sc.egov.usda.gov/home/search?query=Schisandra%20chinensis | https://pubchem.ncbi.nlm.nih.gov/#query=gomisin</t>
        </is>
      </c>
      <c r="N209" s="134" t="inlineStr">
        <is>
          <t>inferred_plus_trusted_gov</t>
        </is>
      </c>
      <c r="O209" s="134" t="inlineStr">
        <is>
          <t>scientific name; PubChem compound page (NIH); USDA Plants database</t>
        </is>
      </c>
      <c r="P209" s="134" t="n"/>
      <c r="Q209" s="134" t="inlineStr">
        <is>
          <t>schisandra-chinensis</t>
        </is>
      </c>
      <c r="R209" s="134" t="n">
        <v>1</v>
      </c>
      <c r="S209" s="134" t="inlineStr">
        <is>
          <t>Yes</t>
        </is>
      </c>
      <c r="T209" s="134" t="inlineStr">
        <is>
          <t>Integrated from cleaned high-signal dataset</t>
        </is>
      </c>
    </row>
    <row r="210" ht="26" customHeight="1" s="76">
      <c r="A210" s="134" t="inlineStr">
        <is>
          <t>gramine</t>
        </is>
      </c>
      <c r="B210" s="134" t="inlineStr">
        <is>
          <t>gramine</t>
        </is>
      </c>
      <c r="C210" s="134" t="n"/>
      <c r="D210" s="134" t="inlineStr">
        <is>
          <t>other</t>
        </is>
      </c>
      <c r="E210" s="134" t="inlineStr">
        <is>
          <t>insufficient evidence</t>
        </is>
      </c>
      <c r="F210" s="134" t="inlineStr">
        <is>
          <t>multi-target signaling modulation</t>
        </is>
      </c>
      <c r="G210" s="134" t="inlineStr">
        <is>
          <t>general or unknown targets</t>
        </is>
      </c>
      <c r="H210" s="134" t="inlineStr">
        <is>
          <t>Absorption and bioavailability vary; some compounds metabolized via cytochrome P450 enzymes.</t>
        </is>
      </c>
      <c r="I210" s="134" t="inlineStr">
        <is>
          <t>low</t>
        </is>
      </c>
      <c r="J210" s="134" t="inlineStr">
        <is>
          <t>no well-documented interactions</t>
        </is>
      </c>
      <c r="K210" s="134" t="n"/>
      <c r="L210" s="134" t="inlineStr">
        <is>
          <t>compound_level</t>
        </is>
      </c>
      <c r="M210" s="134" t="inlineStr">
        <is>
          <t>https://plants.sc.egov.usda.gov/home/search?query=Phalaris%20arundinacea | https://pubchem.ncbi.nlm.nih.gov/#query=gramine</t>
        </is>
      </c>
      <c r="N210" s="134" t="inlineStr">
        <is>
          <t>inferred_plus_trusted_gov</t>
        </is>
      </c>
      <c r="O210" s="134" t="inlineStr">
        <is>
          <t>scientific name; PubChem compound page (NIH); USDA Plants database</t>
        </is>
      </c>
      <c r="P210" s="134" t="n"/>
      <c r="Q210" s="134" t="inlineStr">
        <is>
          <t>phalaris-arundinacea</t>
        </is>
      </c>
      <c r="R210" s="134" t="n">
        <v>1</v>
      </c>
      <c r="S210" s="134" t="inlineStr">
        <is>
          <t>Yes</t>
        </is>
      </c>
      <c r="T210" s="134" t="inlineStr">
        <is>
          <t>Integrated from cleaned high-signal dataset</t>
        </is>
      </c>
    </row>
    <row r="211" ht="26" customHeight="1" s="76">
      <c r="A211" s="134" t="inlineStr">
        <is>
          <t>grindelic acid</t>
        </is>
      </c>
      <c r="B211" s="134" t="inlineStr">
        <is>
          <t>grindelic acid</t>
        </is>
      </c>
      <c r="C211" s="134" t="n"/>
      <c r="D211" s="134" t="inlineStr">
        <is>
          <t>diterpenes; flavonoids</t>
        </is>
      </c>
      <c r="E211" s="134" t="inlineStr">
        <is>
          <t>insufficient evidence</t>
        </is>
      </c>
      <c r="F211" s="134" t="inlineStr">
        <is>
          <t>multi-target signaling modulation</t>
        </is>
      </c>
      <c r="G211" s="134" t="inlineStr">
        <is>
          <t>general or unknown targets</t>
        </is>
      </c>
      <c r="H211" s="134" t="inlineStr">
        <is>
          <t>Absorption and bioavailability vary; some compounds metabolized via cytochrome P450 enzymes.</t>
        </is>
      </c>
      <c r="I211" s="134" t="inlineStr">
        <is>
          <t>low</t>
        </is>
      </c>
      <c r="J211" s="134" t="inlineStr">
        <is>
          <t>no well-documented interactions</t>
        </is>
      </c>
      <c r="K211" s="134" t="n"/>
      <c r="L211" s="134" t="inlineStr">
        <is>
          <t>compound_level</t>
        </is>
      </c>
      <c r="M211" s="134" t="inlineStr">
        <is>
          <t>https://plants.sc.egov.usda.gov/home/search?query=Grindelia%20robusta | https://pubchem.ncbi.nlm.nih.gov/#query=grindelic%20acid</t>
        </is>
      </c>
      <c r="N211" s="134" t="inlineStr">
        <is>
          <t>inferred_plus_trusted_gov</t>
        </is>
      </c>
      <c r="O211" s="134" t="inlineStr">
        <is>
          <t>scientific name; PubChem compound page (NIH); USDA Plants database</t>
        </is>
      </c>
      <c r="P211" s="134" t="n"/>
      <c r="Q211" s="134" t="inlineStr">
        <is>
          <t>grindelia-robusta</t>
        </is>
      </c>
      <c r="R211" s="134" t="n">
        <v>1</v>
      </c>
      <c r="S211" s="134" t="inlineStr">
        <is>
          <t>Yes</t>
        </is>
      </c>
      <c r="T211" s="134" t="inlineStr">
        <is>
          <t>Integrated from cleaned high-signal dataset</t>
        </is>
      </c>
    </row>
    <row r="212" ht="26" customHeight="1" s="76">
      <c r="A212" s="134" t="inlineStr">
        <is>
          <t>gurmarin</t>
        </is>
      </c>
      <c r="B212" s="134" t="inlineStr">
        <is>
          <t>gurmarin</t>
        </is>
      </c>
      <c r="C212" s="134" t="n"/>
      <c r="D212" s="134" t="inlineStr">
        <is>
          <t>other</t>
        </is>
      </c>
      <c r="E212" s="134" t="inlineStr">
        <is>
          <t>Gymnemic acids suppress sweet taste receptors and reduce intestinal glucose absorption; may enhance insulin secretion.</t>
        </is>
      </c>
      <c r="F212" s="134" t="inlineStr">
        <is>
          <t>multi-target signaling modulation</t>
        </is>
      </c>
      <c r="G212" s="134" t="inlineStr">
        <is>
          <t>general or unknown targets</t>
        </is>
      </c>
      <c r="H212" s="134" t="inlineStr">
        <is>
          <t>moderate absorption; hepatic metabolism</t>
        </is>
      </c>
      <c r="I212" s="134" t="inlineStr">
        <is>
          <t>low</t>
        </is>
      </c>
      <c r="J212" s="134" t="inlineStr">
        <is>
          <t>no well-documented interactions</t>
        </is>
      </c>
      <c r="K212" s="134" t="n"/>
      <c r="L212" s="134" t="inlineStr">
        <is>
          <t>compound_level</t>
        </is>
      </c>
      <c r="M212" s="134" t="inlineStr">
        <is>
          <t>https://plants.sc.egov.usda.gov/home/search?query=gymnema%20sylvestre | https://pubchem.ncbi.nlm.nih.gov/#query=gurmarin</t>
        </is>
      </c>
      <c r="N212" s="134" t="inlineStr">
        <is>
          <t>trusted_gov_added</t>
        </is>
      </c>
      <c r="O212" s="134" t="inlineStr">
        <is>
          <t>PubChem compound page (NIH); USDA Plants database</t>
        </is>
      </c>
      <c r="P212" s="134" t="n"/>
      <c r="Q212" s="134" t="inlineStr">
        <is>
          <t>gymnema-sylvestre</t>
        </is>
      </c>
      <c r="R212" s="134" t="n">
        <v>1</v>
      </c>
      <c r="S212" s="134" t="inlineStr">
        <is>
          <t>Yes</t>
        </is>
      </c>
      <c r="T212" s="134" t="inlineStr">
        <is>
          <t>Integrated from cleaned high-signal dataset</t>
        </is>
      </c>
    </row>
    <row r="213" ht="26" customHeight="1" s="76">
      <c r="A213" s="134" t="inlineStr">
        <is>
          <t>guvacine</t>
        </is>
      </c>
      <c r="B213" s="134" t="inlineStr">
        <is>
          <t>guvacine</t>
        </is>
      </c>
      <c r="C213" s="134" t="n"/>
      <c r="D213" s="134" t="inlineStr">
        <is>
          <t>other</t>
        </is>
      </c>
      <c r="E213" s="134" t="inlineStr">
        <is>
          <t>insufficient evidence</t>
        </is>
      </c>
      <c r="F213" s="134" t="inlineStr">
        <is>
          <t>multi-target signaling modulation</t>
        </is>
      </c>
      <c r="G213" s="134" t="inlineStr">
        <is>
          <t>general or unknown targets</t>
        </is>
      </c>
      <c r="H213" s="134" t="inlineStr">
        <is>
          <t>Absorption and bioavailability vary; some compounds metabolized via cytochrome P450 enzymes.</t>
        </is>
      </c>
      <c r="I213" s="134" t="inlineStr">
        <is>
          <t>low</t>
        </is>
      </c>
      <c r="J213" s="134" t="inlineStr">
        <is>
          <t>no well-documented interactions</t>
        </is>
      </c>
      <c r="K213" s="134" t="n"/>
      <c r="L213" s="134" t="inlineStr">
        <is>
          <t>compound_level</t>
        </is>
      </c>
      <c r="M213" s="134" t="inlineStr">
        <is>
          <t>https://plants.sc.egov.usda.gov/home/search?query=Areca%20catechu | https://pubchem.ncbi.nlm.nih.gov/#query=guvacine</t>
        </is>
      </c>
      <c r="N213" s="134" t="inlineStr">
        <is>
          <t>inferred_plus_trusted_gov</t>
        </is>
      </c>
      <c r="O213" s="134" t="inlineStr">
        <is>
          <t>scientific name; PubChem compound page (NIH); USDA Plants database</t>
        </is>
      </c>
      <c r="P213" s="134" t="n"/>
      <c r="Q213" s="134" t="inlineStr">
        <is>
          <t>areca-catechu</t>
        </is>
      </c>
      <c r="R213" s="134" t="n">
        <v>1</v>
      </c>
      <c r="S213" s="134" t="inlineStr">
        <is>
          <t>Yes</t>
        </is>
      </c>
      <c r="T213" s="134" t="inlineStr">
        <is>
          <t>Integrated from cleaned high-signal dataset</t>
        </is>
      </c>
    </row>
    <row r="214" ht="26" customHeight="1" s="76">
      <c r="A214" s="134" t="inlineStr">
        <is>
          <t>guvacoline</t>
        </is>
      </c>
      <c r="B214" s="134" t="inlineStr">
        <is>
          <t>guvacoline</t>
        </is>
      </c>
      <c r="C214" s="134" t="n"/>
      <c r="D214" s="134" t="inlineStr">
        <is>
          <t>other</t>
        </is>
      </c>
      <c r="E214" s="134" t="inlineStr">
        <is>
          <t>insufficient evidence</t>
        </is>
      </c>
      <c r="F214" s="134" t="inlineStr">
        <is>
          <t>multi-target signaling modulation</t>
        </is>
      </c>
      <c r="G214" s="134" t="inlineStr">
        <is>
          <t>general or unknown targets</t>
        </is>
      </c>
      <c r="H214" s="134" t="inlineStr">
        <is>
          <t>Absorption and bioavailability vary; some compounds metabolized via cytochrome P450 enzymes.</t>
        </is>
      </c>
      <c r="I214" s="134" t="inlineStr">
        <is>
          <t>low</t>
        </is>
      </c>
      <c r="J214" s="134" t="inlineStr">
        <is>
          <t>no well-documented interactions</t>
        </is>
      </c>
      <c r="K214" s="134" t="n"/>
      <c r="L214" s="134" t="inlineStr">
        <is>
          <t>compound_level</t>
        </is>
      </c>
      <c r="M214" s="134" t="inlineStr">
        <is>
          <t>https://plants.sc.egov.usda.gov/home/search?query=Areca%20catechu | https://pubchem.ncbi.nlm.nih.gov/#query=guvacoline</t>
        </is>
      </c>
      <c r="N214" s="134" t="inlineStr">
        <is>
          <t>inferred_plus_trusted_gov</t>
        </is>
      </c>
      <c r="O214" s="134" t="inlineStr">
        <is>
          <t>scientific name; PubChem compound page (NIH); USDA Plants database</t>
        </is>
      </c>
      <c r="P214" s="134" t="n"/>
      <c r="Q214" s="134" t="inlineStr">
        <is>
          <t>areca-catechu</t>
        </is>
      </c>
      <c r="R214" s="134" t="n">
        <v>1</v>
      </c>
      <c r="S214" s="134" t="inlineStr">
        <is>
          <t>Yes</t>
        </is>
      </c>
      <c r="T214" s="134" t="inlineStr">
        <is>
          <t>Integrated from cleaned high-signal dataset</t>
        </is>
      </c>
    </row>
    <row r="215" ht="26" customHeight="1" s="76">
      <c r="A215" s="134" t="inlineStr">
        <is>
          <t>gypenosides dammarane-type saponins</t>
        </is>
      </c>
      <c r="B215" s="134" t="inlineStr">
        <is>
          <t>gypenosides (dammarane-type saponins)</t>
        </is>
      </c>
      <c r="C215" s="134" t="n"/>
      <c r="D215" s="134" t="inlineStr">
        <is>
          <t>gypenosides (dammarane-type saponins)</t>
        </is>
      </c>
      <c r="E215" s="134" t="inlineStr">
        <is>
          <t>insufficient evidence</t>
        </is>
      </c>
      <c r="F215" s="134" t="inlineStr">
        <is>
          <t>multi-target signaling modulation</t>
        </is>
      </c>
      <c r="G215" s="134" t="inlineStr">
        <is>
          <t>general or unknown targets</t>
        </is>
      </c>
      <c r="H215" s="134" t="inlineStr">
        <is>
          <t>moderate absorption; hepatic metabolism</t>
        </is>
      </c>
      <c r="I215" s="134" t="inlineStr">
        <is>
          <t>low</t>
        </is>
      </c>
      <c r="J215" s="134" t="inlineStr">
        <is>
          <t>no well-documented interactions</t>
        </is>
      </c>
      <c r="K215" s="134" t="n"/>
      <c r="L215" s="134" t="inlineStr">
        <is>
          <t>compound_level</t>
        </is>
      </c>
      <c r="M215" s="134" t="inlineStr">
        <is>
          <t>https://plants.sc.egov.usda.gov/home/search?query=gynostemma%20pentaphyllum | https://pubchem.ncbi.nlm.nih.gov/#query=gypenosides%20%28dammarane-type%20saponins%29</t>
        </is>
      </c>
      <c r="N215" s="134" t="inlineStr">
        <is>
          <t>trusted_gov_added</t>
        </is>
      </c>
      <c r="O215" s="134" t="inlineStr">
        <is>
          <t>PubChem compound page (NIH); USDA Plants database</t>
        </is>
      </c>
      <c r="P215" s="134" t="n"/>
      <c r="Q215" s="134" t="inlineStr">
        <is>
          <t>gynostemma-pentaphyllum</t>
        </is>
      </c>
      <c r="R215" s="134" t="n">
        <v>1</v>
      </c>
      <c r="S215" s="134" t="inlineStr">
        <is>
          <t>Yes</t>
        </is>
      </c>
      <c r="T215" s="134" t="inlineStr">
        <is>
          <t>Integrated from cleaned high-signal dataset</t>
        </is>
      </c>
    </row>
    <row r="216" ht="26" customHeight="1" s="76">
      <c r="A216" s="134" t="inlineStr">
        <is>
          <t>harmaline</t>
        </is>
      </c>
      <c r="B216" s="134" t="inlineStr">
        <is>
          <t>harmaline</t>
        </is>
      </c>
      <c r="C216" s="134" t="n"/>
      <c r="D216" s="134" t="inlineStr">
        <is>
          <t>other</t>
        </is>
      </c>
      <c r="E216" s="134" t="inlineStr">
        <is>
          <t>Beta-carboline alkaloids act as reversible MAO-A inhibitors, allowing oral activity of DMT and modulating serotonergic signaling.</t>
        </is>
      </c>
      <c r="F216" s="134" t="inlineStr">
        <is>
          <t>multi-target signaling modulation</t>
        </is>
      </c>
      <c r="G216" s="134" t="inlineStr">
        <is>
          <t>general or unknown targets; monoamine_oxidase_inhibition; serotonergic_5HT2A_agonism</t>
        </is>
      </c>
      <c r="H216" s="134" t="inlineStr">
        <is>
          <t>moderate absorption; hepatic metabolism</t>
        </is>
      </c>
      <c r="I216" s="134" t="inlineStr">
        <is>
          <t>low</t>
        </is>
      </c>
      <c r="J216" s="134" t="inlineStr">
        <is>
          <t>no well-documented interactions</t>
        </is>
      </c>
      <c r="K216" s="134" t="n"/>
      <c r="L216" s="134" t="inlineStr">
        <is>
          <t>compound_level</t>
        </is>
      </c>
      <c r="M216" s="134" t="inlineStr">
        <is>
          <t>https://plants.sc.egov.usda.gov/home/search?query=Peganum%20harmala | https://plants.sc.egov.usda.gov/home/search?query=banisteriopsis%20caapi | https://pubchem.ncbi.nlm.nih.gov/#query=harmaline</t>
        </is>
      </c>
      <c r="N216" s="134" t="inlineStr">
        <is>
          <t>inferred_plus_trusted_gov; trusted_gov_added</t>
        </is>
      </c>
      <c r="O216" s="134" t="inlineStr">
        <is>
          <t>PubChem compound page (NIH); USDA Plants database; scientific name; PubChem compound page (NIH); USDA Plants database</t>
        </is>
      </c>
      <c r="P216" s="134" t="n"/>
      <c r="Q216" s="134" t="inlineStr">
        <is>
          <t>banisteriopsis-caapi; peganum-harmala</t>
        </is>
      </c>
      <c r="R216" s="134" t="n">
        <v>2</v>
      </c>
      <c r="S216" s="134" t="inlineStr">
        <is>
          <t>Yes</t>
        </is>
      </c>
      <c r="T216" s="134" t="inlineStr">
        <is>
          <t>Integrated from cleaned high-signal dataset</t>
        </is>
      </c>
    </row>
    <row r="217" ht="26" customHeight="1" s="76">
      <c r="A217" s="134" t="inlineStr">
        <is>
          <t>harmalol</t>
        </is>
      </c>
      <c r="B217" s="134" t="inlineStr">
        <is>
          <t>harmalol</t>
        </is>
      </c>
      <c r="C217" s="134" t="n"/>
      <c r="D217" s="134" t="inlineStr">
        <is>
          <t>other</t>
        </is>
      </c>
      <c r="E217" s="134" t="inlineStr">
        <is>
          <t>insufficient evidence</t>
        </is>
      </c>
      <c r="F217" s="134" t="inlineStr">
        <is>
          <t>multi-target signaling modulation</t>
        </is>
      </c>
      <c r="G217" s="134" t="inlineStr">
        <is>
          <t>general or unknown targets</t>
        </is>
      </c>
      <c r="H217" s="134" t="inlineStr">
        <is>
          <t>Oral; inhibits MAO-A</t>
        </is>
      </c>
      <c r="I217" s="134" t="inlineStr">
        <is>
          <t>low</t>
        </is>
      </c>
      <c r="J217" s="134" t="inlineStr">
        <is>
          <t>no well-documented interactions</t>
        </is>
      </c>
      <c r="K217" s="134" t="n"/>
      <c r="L217" s="134" t="inlineStr">
        <is>
          <t>compound_level</t>
        </is>
      </c>
      <c r="M217" s="134" t="inlineStr">
        <is>
          <t>https://plants.sc.egov.usda.gov/home/search?query=Peganum%20harmala | https://pubchem.ncbi.nlm.nih.gov/#query=harmalol</t>
        </is>
      </c>
      <c r="N217" s="134" t="inlineStr">
        <is>
          <t>inferred_plus_trusted_gov</t>
        </is>
      </c>
      <c r="O217" s="134" t="inlineStr">
        <is>
          <t>scientific name; PubChem compound page (NIH); USDA Plants database</t>
        </is>
      </c>
      <c r="P217" s="134" t="n"/>
      <c r="Q217" s="134" t="inlineStr">
        <is>
          <t>peganum-harmala</t>
        </is>
      </c>
      <c r="R217" s="134" t="n">
        <v>1</v>
      </c>
      <c r="S217" s="134" t="inlineStr">
        <is>
          <t>Yes</t>
        </is>
      </c>
      <c r="T217" s="134" t="inlineStr">
        <is>
          <t>Integrated from cleaned high-signal dataset</t>
        </is>
      </c>
    </row>
    <row r="218" ht="26" customHeight="1" s="76">
      <c r="A218" s="134" t="inlineStr">
        <is>
          <t>harmine</t>
        </is>
      </c>
      <c r="B218" s="134" t="inlineStr">
        <is>
          <t>harmine</t>
        </is>
      </c>
      <c r="C218" s="134" t="n"/>
      <c r="D218" s="134" t="inlineStr">
        <is>
          <t>other</t>
        </is>
      </c>
      <c r="E218" s="134" t="inlineStr">
        <is>
          <t>Beta-carboline alkaloids act as reversible MAO-A inhibitors, allowing oral activity of DMT and modulating serotonergic signaling.</t>
        </is>
      </c>
      <c r="F218" s="134" t="inlineStr">
        <is>
          <t>multi-target signaling modulation</t>
        </is>
      </c>
      <c r="G218" s="134" t="inlineStr">
        <is>
          <t>general or unknown targets; monoamine_oxidase_inhibition; serotonergic_5HT2A_agonism</t>
        </is>
      </c>
      <c r="H218" s="134" t="inlineStr">
        <is>
          <t>moderate absorption; hepatic metabolism</t>
        </is>
      </c>
      <c r="I218" s="134" t="inlineStr">
        <is>
          <t>low</t>
        </is>
      </c>
      <c r="J218" s="134" t="inlineStr">
        <is>
          <t>no well-documented interactions</t>
        </is>
      </c>
      <c r="K218" s="134" t="n"/>
      <c r="L218" s="134" t="inlineStr">
        <is>
          <t>compound_level</t>
        </is>
      </c>
      <c r="M218" s="134" t="inlineStr">
        <is>
          <t>https://plants.sc.egov.usda.gov/home/search?query=Peganum%20harmala | https://plants.sc.egov.usda.gov/home/search?query=banisteriopsis%20caapi | https://pubchem.ncbi.nlm.nih.gov/#query=harmine</t>
        </is>
      </c>
      <c r="N218" s="134" t="inlineStr">
        <is>
          <t>inferred_plus_trusted_gov; trusted_gov_added</t>
        </is>
      </c>
      <c r="O218" s="134" t="inlineStr">
        <is>
          <t>PubChem compound page (NIH); USDA Plants database; scientific name; PubChem compound page (NIH); USDA Plants database</t>
        </is>
      </c>
      <c r="P218" s="134" t="n"/>
      <c r="Q218" s="134" t="inlineStr">
        <is>
          <t>banisteriopsis-caapi; peganum-harmala</t>
        </is>
      </c>
      <c r="R218" s="134" t="n">
        <v>2</v>
      </c>
      <c r="S218" s="134" t="inlineStr">
        <is>
          <t>Yes</t>
        </is>
      </c>
      <c r="T218" s="134" t="inlineStr">
        <is>
          <t>Integrated from cleaned high-signal dataset</t>
        </is>
      </c>
    </row>
    <row r="219" ht="26" customHeight="1" s="76">
      <c r="A219" s="134" t="inlineStr">
        <is>
          <t>harpagoside</t>
        </is>
      </c>
      <c r="B219" s="134" t="inlineStr">
        <is>
          <t>harpagoside</t>
        </is>
      </c>
      <c r="C219" s="134" t="n"/>
      <c r="D219" s="134" t="inlineStr">
        <is>
          <t>iridoid glycosides</t>
        </is>
      </c>
      <c r="E219" s="134" t="inlineStr">
        <is>
          <t>insufficient evidence</t>
        </is>
      </c>
      <c r="F219" s="134" t="inlineStr">
        <is>
          <t>multi-target signaling modulation</t>
        </is>
      </c>
      <c r="G219" s="134" t="inlineStr">
        <is>
          <t>general or unknown targets</t>
        </is>
      </c>
      <c r="H219" s="134" t="inlineStr">
        <is>
          <t>Absorption and bioavailability vary; some compounds metabolized via cytochrome P450 enzymes.</t>
        </is>
      </c>
      <c r="I219" s="134" t="inlineStr">
        <is>
          <t>low</t>
        </is>
      </c>
      <c r="J219" s="134" t="inlineStr">
        <is>
          <t>no well-documented interactions</t>
        </is>
      </c>
      <c r="K219" s="134" t="n"/>
      <c r="L219" s="134" t="inlineStr">
        <is>
          <t>compound_level</t>
        </is>
      </c>
      <c r="M219" s="134" t="inlineStr">
        <is>
          <t>https://plants.sc.egov.usda.gov/home/search?query=Harpagophytum%20procumbens | https://pubchem.ncbi.nlm.nih.gov/#query=harpagoside</t>
        </is>
      </c>
      <c r="N219" s="134" t="inlineStr">
        <is>
          <t>inferred_plus_trusted_gov</t>
        </is>
      </c>
      <c r="O219" s="134" t="inlineStr">
        <is>
          <t>scientific name; PubChem compound page (NIH); USDA Plants database</t>
        </is>
      </c>
      <c r="P219" s="134" t="n"/>
      <c r="Q219" s="134" t="inlineStr">
        <is>
          <t>harpagophytum-procumbens</t>
        </is>
      </c>
      <c r="R219" s="134" t="n">
        <v>1</v>
      </c>
      <c r="S219" s="134" t="inlineStr">
        <is>
          <t>Yes</t>
        </is>
      </c>
      <c r="T219" s="134" t="inlineStr">
        <is>
          <t>Integrated from cleaned high-signal dataset</t>
        </is>
      </c>
    </row>
    <row r="220" ht="26" customHeight="1" s="76">
      <c r="A220" s="134" t="inlineStr">
        <is>
          <t>helenalin</t>
        </is>
      </c>
      <c r="B220" s="134" t="inlineStr">
        <is>
          <t>helenalin</t>
        </is>
      </c>
      <c r="C220" s="134" t="n"/>
      <c r="D220" s="134" t="inlineStr">
        <is>
          <t>sesquiterpene lactones</t>
        </is>
      </c>
      <c r="E220" s="134" t="inlineStr">
        <is>
          <t>insufficient evidence</t>
        </is>
      </c>
      <c r="F220" s="134" t="inlineStr">
        <is>
          <t>multi-target signaling modulation</t>
        </is>
      </c>
      <c r="G220" s="134" t="inlineStr">
        <is>
          <t>general or unknown targets</t>
        </is>
      </c>
      <c r="H220" s="134" t="inlineStr">
        <is>
          <t>Absorption and bioavailability vary; some compounds metabolized via cytochrome P450 enzymes.</t>
        </is>
      </c>
      <c r="I220" s="134" t="inlineStr">
        <is>
          <t>low</t>
        </is>
      </c>
      <c r="J220" s="134" t="inlineStr">
        <is>
          <t>no well-documented interactions</t>
        </is>
      </c>
      <c r="K220" s="134" t="n"/>
      <c r="L220" s="134" t="inlineStr">
        <is>
          <t>compound_level</t>
        </is>
      </c>
      <c r="M220" s="134" t="inlineStr">
        <is>
          <t>https://plants.sc.egov.usda.gov/home/search?query=Arnica%20montana | https://pubchem.ncbi.nlm.nih.gov/#query=helenalin</t>
        </is>
      </c>
      <c r="N220" s="134" t="inlineStr">
        <is>
          <t>inferred_plus_trusted_gov</t>
        </is>
      </c>
      <c r="O220" s="134" t="inlineStr">
        <is>
          <t>scientific name; PubChem compound page (NIH); USDA Plants database</t>
        </is>
      </c>
      <c r="P220" s="134" t="n"/>
      <c r="Q220" s="134" t="inlineStr">
        <is>
          <t>arnica-montana</t>
        </is>
      </c>
      <c r="R220" s="134" t="n">
        <v>1</v>
      </c>
      <c r="S220" s="134" t="inlineStr">
        <is>
          <t>Yes</t>
        </is>
      </c>
      <c r="T220" s="134" t="inlineStr">
        <is>
          <t>Integrated from cleaned high-signal dataset</t>
        </is>
      </c>
    </row>
    <row r="221" ht="26" customHeight="1" s="76">
      <c r="A221" s="134" t="inlineStr">
        <is>
          <t>hesperidin</t>
        </is>
      </c>
      <c r="B221" s="134" t="inlineStr">
        <is>
          <t>hesperidin</t>
        </is>
      </c>
      <c r="C221" s="134" t="n"/>
      <c r="D221" s="134" t="inlineStr">
        <is>
          <t>flavonoid</t>
        </is>
      </c>
      <c r="E221" s="134" t="inlineStr">
        <is>
          <t>Modulates inflammatory cytokine signaling</t>
        </is>
      </c>
      <c r="F221" s="134" t="n"/>
      <c r="G221" s="134" t="inlineStr">
        <is>
          <t>NF-kB modulation; cytokine suppression</t>
        </is>
      </c>
      <c r="H221" s="134" t="n"/>
      <c r="I221" s="134" t="n"/>
      <c r="J221" s="134" t="inlineStr">
        <is>
          <t>CYP interactions (possible)</t>
        </is>
      </c>
      <c r="K221" s="134" t="n"/>
      <c r="L221" s="134" t="inlineStr">
        <is>
          <t>Batch8</t>
        </is>
      </c>
      <c r="M221" s="134" t="n"/>
      <c r="N221" s="134" t="n"/>
      <c r="O221" s="134" t="n"/>
      <c r="P221" s="134" t="inlineStr">
        <is>
          <t>precision_monographs_batch8.xlsx</t>
        </is>
      </c>
      <c r="Q221" s="134" t="n"/>
      <c r="R221" s="134" t="n">
        <v>0</v>
      </c>
      <c r="S221" s="134" t="inlineStr">
        <is>
          <t>No</t>
        </is>
      </c>
      <c r="T221" s="134" t="inlineStr">
        <is>
          <t>Integrated from compound monograph workbook</t>
        </is>
      </c>
    </row>
    <row r="222" ht="26" customHeight="1" s="76">
      <c r="A222" s="134" t="inlineStr">
        <is>
          <t>hibiscus acid</t>
        </is>
      </c>
      <c r="B222" s="134" t="inlineStr">
        <is>
          <t>hibiscus acid</t>
        </is>
      </c>
      <c r="C222" s="134" t="n"/>
      <c r="D222" s="134" t="inlineStr">
        <is>
          <t>organic acid</t>
        </is>
      </c>
      <c r="E222" s="134" t="inlineStr">
        <is>
          <t>Anthocyanins and organic acids contribute antioxidant and ACE-inhibitory activity.</t>
        </is>
      </c>
      <c r="F222" s="134" t="inlineStr">
        <is>
          <t>multi-target signaling modulation</t>
        </is>
      </c>
      <c r="G222" s="134" t="inlineStr">
        <is>
          <t>general or unknown targets</t>
        </is>
      </c>
      <c r="H222" s="134" t="inlineStr">
        <is>
          <t>moderate absorption; hepatic metabolism</t>
        </is>
      </c>
      <c r="I222" s="134" t="inlineStr">
        <is>
          <t>low</t>
        </is>
      </c>
      <c r="J222" s="134" t="inlineStr">
        <is>
          <t>no well-documented interactions</t>
        </is>
      </c>
      <c r="K222" s="134" t="n"/>
      <c r="L222" s="134" t="inlineStr">
        <is>
          <t>compound_level</t>
        </is>
      </c>
      <c r="M222" s="134" t="inlineStr">
        <is>
          <t>https://plants.sc.egov.usda.gov/home/search?query=hibiscus%20sabdariffa | https://pubchem.ncbi.nlm.nih.gov/#query=hibiscus%20acid</t>
        </is>
      </c>
      <c r="N222" s="134" t="inlineStr">
        <is>
          <t>trusted_gov_added</t>
        </is>
      </c>
      <c r="O222" s="134" t="inlineStr">
        <is>
          <t>PubChem compound page (NIH); USDA Plants database</t>
        </is>
      </c>
      <c r="P222" s="134" t="n"/>
      <c r="Q222" s="134" t="inlineStr">
        <is>
          <t>hibiscus-sabdariffa</t>
        </is>
      </c>
      <c r="R222" s="134" t="n">
        <v>1</v>
      </c>
      <c r="S222" s="134" t="inlineStr">
        <is>
          <t>Yes</t>
        </is>
      </c>
      <c r="T222" s="134" t="inlineStr">
        <is>
          <t>Integrated from cleaned high-signal dataset</t>
        </is>
      </c>
    </row>
    <row r="223" ht="26" customHeight="1" s="76">
      <c r="A223" s="134" t="inlineStr">
        <is>
          <t>hinokiflavone</t>
        </is>
      </c>
      <c r="B223" s="134" t="inlineStr">
        <is>
          <t>hinokiflavone</t>
        </is>
      </c>
      <c r="C223" s="134" t="n"/>
      <c r="D223" s="134" t="inlineStr">
        <is>
          <t>biflavonoids</t>
        </is>
      </c>
      <c r="E223" s="134" t="inlineStr">
        <is>
          <t>insufficient evidence</t>
        </is>
      </c>
      <c r="F223" s="134" t="inlineStr">
        <is>
          <t>multi-target signaling modulation</t>
        </is>
      </c>
      <c r="G223" s="134" t="inlineStr">
        <is>
          <t>general or unknown targets</t>
        </is>
      </c>
      <c r="H223" s="134" t="inlineStr">
        <is>
          <t>Absorption and bioavailability vary; some compounds metabolized via cytochrome P450 enzymes.</t>
        </is>
      </c>
      <c r="I223" s="134" t="inlineStr">
        <is>
          <t>low</t>
        </is>
      </c>
      <c r="J223" s="134" t="inlineStr">
        <is>
          <t>no well-documented interactions</t>
        </is>
      </c>
      <c r="K223" s="134" t="n"/>
      <c r="L223" s="134" t="inlineStr">
        <is>
          <t>compound_level</t>
        </is>
      </c>
      <c r="M223" s="134" t="inlineStr">
        <is>
          <t>https://plants.sc.egov.usda.gov/home/search?query=Selaginella%20tamariscina | https://pubchem.ncbi.nlm.nih.gov/#query=hinokiflavone</t>
        </is>
      </c>
      <c r="N223" s="134" t="inlineStr">
        <is>
          <t>inferred_plus_trusted_gov</t>
        </is>
      </c>
      <c r="O223" s="134" t="inlineStr">
        <is>
          <t>scientific name; PubChem compound page (NIH); USDA Plants database</t>
        </is>
      </c>
      <c r="P223" s="134" t="n"/>
      <c r="Q223" s="134" t="inlineStr">
        <is>
          <t>selaginella-tamariscina</t>
        </is>
      </c>
      <c r="R223" s="134" t="n">
        <v>1</v>
      </c>
      <c r="S223" s="134" t="inlineStr">
        <is>
          <t>Yes</t>
        </is>
      </c>
      <c r="T223" s="134" t="inlineStr">
        <is>
          <t>Integrated from cleaned high-signal dataset</t>
        </is>
      </c>
    </row>
    <row r="224" ht="26" customHeight="1" s="76">
      <c r="A224" s="134" t="inlineStr">
        <is>
          <t>histamine</t>
        </is>
      </c>
      <c r="B224" s="134" t="inlineStr">
        <is>
          <t>histamine</t>
        </is>
      </c>
      <c r="C224" s="134" t="n"/>
      <c r="D224" s="134" t="inlineStr">
        <is>
          <t>lignans; flavonoids</t>
        </is>
      </c>
      <c r="E224" s="134" t="inlineStr">
        <is>
          <t>insufficient evidence</t>
        </is>
      </c>
      <c r="F224" s="134" t="inlineStr">
        <is>
          <t>multi-target signaling modulation</t>
        </is>
      </c>
      <c r="G224" s="134" t="inlineStr">
        <is>
          <t>general or unknown targets</t>
        </is>
      </c>
      <c r="H224" s="134" t="inlineStr">
        <is>
          <t>moderate absorption; extensive metabolism</t>
        </is>
      </c>
      <c r="I224" s="134" t="inlineStr">
        <is>
          <t>low</t>
        </is>
      </c>
      <c r="J224" s="134" t="inlineStr">
        <is>
          <t>no well-documented interactions</t>
        </is>
      </c>
      <c r="K224" s="134" t="n"/>
      <c r="L224" s="134" t="inlineStr">
        <is>
          <t>compound_level</t>
        </is>
      </c>
      <c r="M224" s="134" t="inlineStr">
        <is>
          <t>https://plants.sc.egov.usda.gov/home/search?query=urtica%20dioica | https://pubchem.ncbi.nlm.nih.gov/#query=histamine</t>
        </is>
      </c>
      <c r="N224" s="134" t="inlineStr">
        <is>
          <t>trusted_gov_added</t>
        </is>
      </c>
      <c r="O224" s="134" t="inlineStr">
        <is>
          <t>PubChem compound page (NIH); USDA Plants database</t>
        </is>
      </c>
      <c r="P224" s="134" t="n"/>
      <c r="Q224" s="134" t="inlineStr">
        <is>
          <t>urtica-dioica</t>
        </is>
      </c>
      <c r="R224" s="134" t="n">
        <v>1</v>
      </c>
      <c r="S224" s="134" t="inlineStr">
        <is>
          <t>Yes</t>
        </is>
      </c>
      <c r="T224" s="134" t="inlineStr">
        <is>
          <t>Integrated from cleaned high-signal dataset</t>
        </is>
      </c>
    </row>
    <row r="225" ht="26" customHeight="1" s="76">
      <c r="A225" s="134" t="inlineStr">
        <is>
          <t>humulone</t>
        </is>
      </c>
      <c r="B225" s="134" t="inlineStr">
        <is>
          <t>humulone</t>
        </is>
      </c>
      <c r="C225" s="134" t="n"/>
      <c r="D225" s="134" t="inlineStr">
        <is>
          <t>other</t>
        </is>
      </c>
      <c r="E225" s="134" t="inlineStr">
        <is>
          <t>insufficient evidence</t>
        </is>
      </c>
      <c r="F225" s="134" t="inlineStr">
        <is>
          <t>multi-target signaling modulation</t>
        </is>
      </c>
      <c r="G225" s="134" t="inlineStr">
        <is>
          <t>general or unknown targets</t>
        </is>
      </c>
      <c r="H225" s="134" t="inlineStr">
        <is>
          <t>Absorption and bioavailability vary; some compounds metabolized via cytochrome P450 enzymes.</t>
        </is>
      </c>
      <c r="I225" s="134" t="inlineStr">
        <is>
          <t>low</t>
        </is>
      </c>
      <c r="J225" s="134" t="inlineStr">
        <is>
          <t>no well-documented interactions</t>
        </is>
      </c>
      <c r="K225" s="134" t="n"/>
      <c r="L225" s="134" t="inlineStr">
        <is>
          <t>compound_level</t>
        </is>
      </c>
      <c r="M225" s="134" t="inlineStr">
        <is>
          <t>https://plants.sc.egov.usda.gov/home/search?query=Humulus%20lupulus | https://pubchem.ncbi.nlm.nih.gov/#query=humulone</t>
        </is>
      </c>
      <c r="N225" s="134" t="inlineStr">
        <is>
          <t>inferred_plus_trusted_gov</t>
        </is>
      </c>
      <c r="O225" s="134" t="inlineStr">
        <is>
          <t>scientific name; PubChem compound page (NIH); USDA Plants database</t>
        </is>
      </c>
      <c r="P225" s="134" t="n"/>
      <c r="Q225" s="134" t="inlineStr">
        <is>
          <t>humulus-lupulus</t>
        </is>
      </c>
      <c r="R225" s="134" t="n">
        <v>1</v>
      </c>
      <c r="S225" s="134" t="inlineStr">
        <is>
          <t>Yes</t>
        </is>
      </c>
      <c r="T225" s="134" t="inlineStr">
        <is>
          <t>Integrated from cleaned high-signal dataset</t>
        </is>
      </c>
    </row>
    <row r="226" ht="26" customHeight="1" s="76">
      <c r="A226" s="134" t="inlineStr">
        <is>
          <t>huperzine a</t>
        </is>
      </c>
      <c r="B226" s="134" t="inlineStr">
        <is>
          <t>huperzine A</t>
        </is>
      </c>
      <c r="C226" s="134" t="n"/>
      <c r="D226" s="134" t="inlineStr">
        <is>
          <t>sesquiterpene alkaloid</t>
        </is>
      </c>
      <c r="E226" s="134" t="inlineStr">
        <is>
          <t>Potent reversible acetylcholinesterase inhibitor that increases synaptic acetylcholine; this is the clearest and highest-signal mechanism in the batch.</t>
        </is>
      </c>
      <c r="F226" s="134" t="inlineStr">
        <is>
          <t>muscarinic receptor interaction</t>
        </is>
      </c>
      <c r="G226" s="134" t="inlineStr">
        <is>
          <t>Acetylcholinesterase inhibition; cholinergic_modulation; synaptic acetylcholine increase</t>
        </is>
      </c>
      <c r="H226" s="134" t="inlineStr">
        <is>
          <t>Human pharmacokinetic studies support oral absorption and measurable systemic exposure; compact dataset entry is best kept at that level unless exact parameters are needed.</t>
        </is>
      </c>
      <c r="I226" s="134" t="inlineStr">
        <is>
          <t>Cholinergic adverse effects can include nausea, vomiting, diarrhea, sweating, bradycardia, and vivid dreams or insomnia; use greater caution in people with bradyarrhythmia or strong cholinergic drug exposure.</t>
        </is>
      </c>
      <c r="J226" s="134" t="inlineStr">
        <is>
          <t>Anticholinergic drugs (functional opposition); acetylcholinesterase inhibitors and other cholinergic drugs (possible additive cholinergic effects including bradycardia/GI effects).</t>
        </is>
      </c>
      <c r="K226" s="134" t="inlineStr">
        <is>
          <t>High</t>
        </is>
      </c>
      <c r="L226" s="134" t="inlineStr">
        <is>
          <t>mixed</t>
        </is>
      </c>
      <c r="M226" s="134" t="inlineStr">
        <is>
          <t>https://plants.sc.egov.usda.gov/home/search?query=huperzia%20serrata | https://pubchem.ncbi.nlm.nih.gov/#query=huperzine%20a | https://pubchem.ncbi.nlm.nih.gov/compound/Huperzine-A | https://pubmed.ncbi.nlm.nih.gov/12954533/ | https://pubmed.ncbi.nlm.nih.gov/27460655/</t>
        </is>
      </c>
      <c r="N226" s="134" t="inlineStr">
        <is>
          <t>trusted_gov_added</t>
        </is>
      </c>
      <c r="O226" s="134" t="inlineStr">
        <is>
          <t>PubChem compound page (NIH); USDA Plants database</t>
        </is>
      </c>
      <c r="P226" s="134" t="inlineStr">
        <is>
          <t>Batch12_cholinergic_cognition_2026-04-07</t>
        </is>
      </c>
      <c r="Q226" s="134" t="inlineStr">
        <is>
          <t>huperzia-serrata</t>
        </is>
      </c>
      <c r="R226" s="134" t="n">
        <v>1</v>
      </c>
      <c r="S226" s="134" t="inlineStr">
        <is>
          <t>Yes</t>
        </is>
      </c>
      <c r="T226" s="134" t="inlineStr">
        <is>
          <t>Integrated from cleaned high-signal dataset; Integrated from compound monograph workbook</t>
        </is>
      </c>
    </row>
    <row r="227" ht="26" customHeight="1" s="76">
      <c r="A227" s="134" t="inlineStr">
        <is>
          <t>hydrastine</t>
        </is>
      </c>
      <c r="B227" s="134" t="inlineStr">
        <is>
          <t>hydrastine</t>
        </is>
      </c>
      <c r="C227" s="134" t="n"/>
      <c r="D227" s="134" t="inlineStr">
        <is>
          <t>Berberine, hydrastine, alkaloids</t>
        </is>
      </c>
      <c r="E227" s="134" t="inlineStr">
        <is>
          <t>insufficient evidence</t>
        </is>
      </c>
      <c r="F227" s="134" t="inlineStr">
        <is>
          <t>multi-target signaling modulation</t>
        </is>
      </c>
      <c r="G227" s="134" t="inlineStr">
        <is>
          <t>general or unknown targets</t>
        </is>
      </c>
      <c r="H227" s="134" t="inlineStr">
        <is>
          <t>Oral; antimicrobial and astringent</t>
        </is>
      </c>
      <c r="I227" s="134" t="inlineStr">
        <is>
          <t>low</t>
        </is>
      </c>
      <c r="J227" s="134" t="inlineStr">
        <is>
          <t>no well-documented interactions</t>
        </is>
      </c>
      <c r="K227" s="134" t="n"/>
      <c r="L227" s="134" t="inlineStr">
        <is>
          <t>compound_level</t>
        </is>
      </c>
      <c r="M227" s="134" t="inlineStr">
        <is>
          <t>https://plants.sc.egov.usda.gov/home/search?query=Hydrastis%20canadensis | https://pubchem.ncbi.nlm.nih.gov/#query=hydrastine</t>
        </is>
      </c>
      <c r="N227" s="134" t="inlineStr">
        <is>
          <t>inferred_plus_trusted_gov</t>
        </is>
      </c>
      <c r="O227" s="134" t="inlineStr">
        <is>
          <t>scientific name; PubChem compound page (NIH); USDA Plants database</t>
        </is>
      </c>
      <c r="P227" s="134" t="n"/>
      <c r="Q227" s="134" t="inlineStr">
        <is>
          <t>hydrastis-canadensis</t>
        </is>
      </c>
      <c r="R227" s="134" t="n">
        <v>1</v>
      </c>
      <c r="S227" s="134" t="inlineStr">
        <is>
          <t>Yes</t>
        </is>
      </c>
      <c r="T227" s="134" t="inlineStr">
        <is>
          <t>Integrated from cleaned high-signal dataset</t>
        </is>
      </c>
    </row>
    <row r="228" ht="26" customHeight="1" s="76">
      <c r="A228" s="134" t="inlineStr">
        <is>
          <t>hydroxy-alpha-sanshool</t>
        </is>
      </c>
      <c r="B228" s="134" t="inlineStr">
        <is>
          <t>hydroxy-alpha-sanshool</t>
        </is>
      </c>
      <c r="C228" s="134" t="n"/>
      <c r="D228" s="134" t="inlineStr">
        <is>
          <t>other</t>
        </is>
      </c>
      <c r="E228" s="134" t="inlineStr">
        <is>
          <t>insufficient evidence</t>
        </is>
      </c>
      <c r="F228" s="134" t="inlineStr">
        <is>
          <t>multi-target signaling modulation</t>
        </is>
      </c>
      <c r="G228" s="134" t="inlineStr">
        <is>
          <t>general or unknown targets</t>
        </is>
      </c>
      <c r="H228" s="134" t="inlineStr">
        <is>
          <t>moderate absorption; hepatic metabolism</t>
        </is>
      </c>
      <c r="I228" s="134" t="inlineStr">
        <is>
          <t>low</t>
        </is>
      </c>
      <c r="J228" s="134" t="inlineStr">
        <is>
          <t>no well-documented interactions</t>
        </is>
      </c>
      <c r="K228" s="134" t="n"/>
      <c r="L228" s="134" t="inlineStr">
        <is>
          <t>compound_level</t>
        </is>
      </c>
      <c r="M228" s="134" t="inlineStr">
        <is>
          <t>https://plants.sc.egov.usda.gov/home/search?query=sichuan%20pepper | https://pubchem.ncbi.nlm.nih.gov/#query=hydroxy-alpha-sanshool</t>
        </is>
      </c>
      <c r="N228" s="134" t="inlineStr">
        <is>
          <t>trusted_gov_added</t>
        </is>
      </c>
      <c r="O228" s="134" t="inlineStr">
        <is>
          <t>PubChem compound page (NIH); USDA Plants database</t>
        </is>
      </c>
      <c r="P228" s="134" t="n"/>
      <c r="Q228" s="134" t="inlineStr">
        <is>
          <t>zanthoxylum-bungeanum</t>
        </is>
      </c>
      <c r="R228" s="134" t="n">
        <v>1</v>
      </c>
      <c r="S228" s="134" t="inlineStr">
        <is>
          <t>Yes</t>
        </is>
      </c>
      <c r="T228" s="134" t="inlineStr">
        <is>
          <t>Integrated from cleaned high-signal dataset</t>
        </is>
      </c>
    </row>
    <row r="229" ht="26" customHeight="1" s="76">
      <c r="A229" s="134" t="inlineStr">
        <is>
          <t>hydroxy-beta-sanshool</t>
        </is>
      </c>
      <c r="B229" s="134" t="inlineStr">
        <is>
          <t>hydroxy-beta-sanshool</t>
        </is>
      </c>
      <c r="C229" s="134" t="n"/>
      <c r="D229" s="134" t="inlineStr">
        <is>
          <t>other</t>
        </is>
      </c>
      <c r="E229" s="134" t="inlineStr">
        <is>
          <t>insufficient evidence</t>
        </is>
      </c>
      <c r="F229" s="134" t="inlineStr">
        <is>
          <t>multi-target signaling modulation</t>
        </is>
      </c>
      <c r="G229" s="134" t="inlineStr">
        <is>
          <t>general or unknown targets</t>
        </is>
      </c>
      <c r="H229" s="134" t="inlineStr">
        <is>
          <t>moderate absorption; hepatic metabolism</t>
        </is>
      </c>
      <c r="I229" s="134" t="inlineStr">
        <is>
          <t>low</t>
        </is>
      </c>
      <c r="J229" s="134" t="inlineStr">
        <is>
          <t>no well-documented interactions</t>
        </is>
      </c>
      <c r="K229" s="134" t="n"/>
      <c r="L229" s="134" t="inlineStr">
        <is>
          <t>compound_level</t>
        </is>
      </c>
      <c r="M229" s="134" t="inlineStr">
        <is>
          <t>https://plants.sc.egov.usda.gov/home/search?query=sichuan%20pepper | https://pubchem.ncbi.nlm.nih.gov/#query=hydroxy-beta-sanshool</t>
        </is>
      </c>
      <c r="N229" s="134" t="inlineStr">
        <is>
          <t>trusted_gov_added</t>
        </is>
      </c>
      <c r="O229" s="134" t="inlineStr">
        <is>
          <t>PubChem compound page (NIH); USDA Plants database</t>
        </is>
      </c>
      <c r="P229" s="134" t="n"/>
      <c r="Q229" s="134" t="inlineStr">
        <is>
          <t>zanthoxylum-bungeanum</t>
        </is>
      </c>
      <c r="R229" s="134" t="n">
        <v>1</v>
      </c>
      <c r="S229" s="134" t="inlineStr">
        <is>
          <t>Yes</t>
        </is>
      </c>
      <c r="T229" s="134" t="inlineStr">
        <is>
          <t>Integrated from cleaned high-signal dataset</t>
        </is>
      </c>
    </row>
    <row r="230" ht="26" customHeight="1" s="76">
      <c r="A230" s="134" t="inlineStr">
        <is>
          <t>hydroxycitric acid</t>
        </is>
      </c>
      <c r="B230" s="134" t="inlineStr">
        <is>
          <t>hydroxycitric acid (hca)</t>
        </is>
      </c>
      <c r="C230" s="134" t="n"/>
      <c r="D230" s="134" t="inlineStr">
        <is>
          <t>organic acid</t>
        </is>
      </c>
      <c r="E230" s="134" t="inlineStr">
        <is>
          <t>insufficient evidence</t>
        </is>
      </c>
      <c r="F230" s="134" t="inlineStr">
        <is>
          <t>multi-target signaling modulation</t>
        </is>
      </c>
      <c r="G230" s="134" t="inlineStr">
        <is>
          <t>general or unknown targets</t>
        </is>
      </c>
      <c r="H230" s="134" t="inlineStr">
        <is>
          <t>Absorption and bioavailability vary; some compounds metabolized via cytochrome P450 enzymes.</t>
        </is>
      </c>
      <c r="I230" s="134" t="inlineStr">
        <is>
          <t>low</t>
        </is>
      </c>
      <c r="J230" s="134" t="inlineStr">
        <is>
          <t>no well-documented interactions</t>
        </is>
      </c>
      <c r="K230" s="134" t="n"/>
      <c r="L230" s="134" t="inlineStr">
        <is>
          <t>compound_level</t>
        </is>
      </c>
      <c r="M230" s="134" t="inlineStr">
        <is>
          <t>https://plants.sc.egov.usda.gov/home/search?query=Garcinia%20cambogia | https://pubchem.ncbi.nlm.nih.gov/#query=hydroxycitric%20acid%20%28hca%29</t>
        </is>
      </c>
      <c r="N230" s="134" t="inlineStr">
        <is>
          <t>inferred_plus_trusted_gov</t>
        </is>
      </c>
      <c r="O230" s="134" t="inlineStr">
        <is>
          <t>scientific name; PubChem compound page (NIH); USDA Plants database</t>
        </is>
      </c>
      <c r="P230" s="134" t="n"/>
      <c r="Q230" s="134" t="inlineStr">
        <is>
          <t>garcinia-cambogia</t>
        </is>
      </c>
      <c r="R230" s="134" t="n">
        <v>1</v>
      </c>
      <c r="S230" s="134" t="inlineStr">
        <is>
          <t>Yes</t>
        </is>
      </c>
      <c r="T230" s="134" t="inlineStr">
        <is>
          <t>Integrated from cleaned high-signal dataset</t>
        </is>
      </c>
    </row>
    <row r="231" ht="26" customHeight="1" s="76">
      <c r="A231" s="134" t="inlineStr">
        <is>
          <t>hyoscyamine</t>
        </is>
      </c>
      <c r="B231" s="134" t="inlineStr">
        <is>
          <t>hyoscyamine</t>
        </is>
      </c>
      <c r="C231" s="134" t="n"/>
      <c r="D231" s="134" t="inlineStr">
        <is>
          <t>alkaloid</t>
        </is>
      </c>
      <c r="E231" s="134" t="inlineStr">
        <is>
          <t>Scopolamine, hyoscyamine, and atropine block muscarinic acetylcholine receptors (anticholinergic), disrupting sensory and cognitive processing.</t>
        </is>
      </c>
      <c r="F231" s="134" t="inlineStr">
        <is>
          <t>muscarinic receptor interaction</t>
        </is>
      </c>
      <c r="G231" s="134" t="inlineStr">
        <is>
          <t>CHRM1, CHRM2 (muscarinic receptors); cholinergic_modulation</t>
        </is>
      </c>
      <c r="H231" s="134" t="inlineStr">
        <is>
          <t>Absorption and bioavailability vary; some compounds metabolized via cytochrome P450 enzymes.</t>
        </is>
      </c>
      <c r="I231" s="134" t="inlineStr">
        <is>
          <t>high</t>
        </is>
      </c>
      <c r="J231" s="134" t="inlineStr">
        <is>
          <t>avoid with other anticholinergics; additive toxicity</t>
        </is>
      </c>
      <c r="K231" s="134" t="n"/>
      <c r="L231" s="134" t="inlineStr">
        <is>
          <t>compound_level</t>
        </is>
      </c>
      <c r="M231" s="134" t="inlineStr">
        <is>
          <t>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https://pubchem.ncbi.nlm.nih.gov/#query=hyoscyamine | https://www.ncbi.nlm.nih.gov/pmc/articles/PMC1318951/</t>
        </is>
      </c>
      <c r="N231" s="134" t="inlineStr">
        <is>
          <t>citation_or_url_present; inferred_plus_trusted_gov; trusted_gov_added</t>
        </is>
      </c>
      <c r="O231" s="134" t="inlineStr">
        <is>
          <t>PubChem compound page (NIH); USDA Plants database; scientific name; PubChem compound page (NIH); USDA Plants database</t>
        </is>
      </c>
      <c r="P231" s="134" t="n"/>
      <c r="Q231" s="134" t="inlineStr">
        <is>
          <t>atropa-belladonna; brugmansia; brugmansia-sanguinea; brugmansia-suaveolens; datura-ferox; datura-wrightii; duboisia-myoporoides; hyoscyamus-niger; mandragora-officinarum; scopolia-carniolica; solandra-maxima</t>
        </is>
      </c>
      <c r="R231" s="134" t="n">
        <v>11</v>
      </c>
      <c r="S231" s="134" t="inlineStr">
        <is>
          <t>Yes</t>
        </is>
      </c>
      <c r="T231" s="134" t="inlineStr">
        <is>
          <t>Integrated from cleaned high-signal dataset</t>
        </is>
      </c>
    </row>
    <row r="232" ht="26" customHeight="1" s="76">
      <c r="A232" s="134" t="inlineStr">
        <is>
          <t>hypaconitine</t>
        </is>
      </c>
      <c r="B232" s="134" t="inlineStr">
        <is>
          <t>hypaconitine</t>
        </is>
      </c>
      <c r="C232" s="134" t="n"/>
      <c r="D232" s="134" t="inlineStr">
        <is>
          <t>other</t>
        </is>
      </c>
      <c r="E232" s="134" t="inlineStr">
        <is>
          <t>insufficient evidence</t>
        </is>
      </c>
      <c r="F232" s="134" t="inlineStr">
        <is>
          <t>multi-target signaling modulation</t>
        </is>
      </c>
      <c r="G232" s="134" t="inlineStr">
        <is>
          <t>general or unknown targets</t>
        </is>
      </c>
      <c r="H232" s="134" t="inlineStr">
        <is>
          <t>Absorption and bioavailability vary; some compounds metabolized via cytochrome P450 enzymes.</t>
        </is>
      </c>
      <c r="I232" s="134" t="inlineStr">
        <is>
          <t>low</t>
        </is>
      </c>
      <c r="J232" s="134" t="inlineStr">
        <is>
          <t>no well-documented interactions</t>
        </is>
      </c>
      <c r="K232" s="134" t="n"/>
      <c r="L232" s="134" t="inlineStr">
        <is>
          <t>compound_level</t>
        </is>
      </c>
      <c r="M232" s="134" t="inlineStr">
        <is>
          <t>https://plants.sc.egov.usda.gov/home/search?query=Aconitum%20ferox | https://plants.sc.egov.usda.gov/home/search?query=Aconitum%20napellus | https://pubchem.ncbi.nlm.nih.gov/#query=hypaconitine</t>
        </is>
      </c>
      <c r="N232" s="134" t="inlineStr">
        <is>
          <t>inferred_plus_trusted_gov</t>
        </is>
      </c>
      <c r="O232" s="134" t="inlineStr">
        <is>
          <t>scientific name; PubChem compound page (NIH); USDA Plants database</t>
        </is>
      </c>
      <c r="P232" s="134" t="n"/>
      <c r="Q232" s="134" t="inlineStr">
        <is>
          <t>aconitum-ferox; aconitum-napellus</t>
        </is>
      </c>
      <c r="R232" s="134" t="n">
        <v>2</v>
      </c>
      <c r="S232" s="134" t="inlineStr">
        <is>
          <t>Yes</t>
        </is>
      </c>
      <c r="T232" s="134" t="inlineStr">
        <is>
          <t>Integrated from cleaned high-signal dataset</t>
        </is>
      </c>
    </row>
    <row r="233" ht="26" customHeight="1" s="76">
      <c r="A233" s="134" t="inlineStr">
        <is>
          <t>hyperforin</t>
        </is>
      </c>
      <c r="B233" s="134" t="inlineStr">
        <is>
          <t>hyperforin</t>
        </is>
      </c>
      <c r="C233" s="134" t="n"/>
      <c r="D233" s="134" t="inlineStr">
        <is>
          <t>phloroglucinol derivative</t>
        </is>
      </c>
      <c r="E233" s="134" t="inlineStr">
        <is>
          <t>proposed mechanism based on preclinical and limited human data: inhibition of monoamine reuptake and modulation of TRPC6-linked neuroplasticity; major herb-drug interaction relevance is strongly associated with hyperforin-rich St Johns wort extracts.</t>
        </is>
      </c>
      <c r="F233" s="134" t="inlineStr">
        <is>
          <t>monoamine reuptake modulation; neuroplasticity modulation; enzyme induction relevance</t>
        </is>
      </c>
      <c r="G233" s="134" t="inlineStr">
        <is>
          <t>TRPC6; serotonin/norepinephrine/dopamine reuptake-related pathways; CYP3A4 induction; P-glycoprotein induction</t>
        </is>
      </c>
      <c r="H233" s="134" t="inlineStr">
        <is>
          <t>No robust isolated-compound human PK framework is established; extract-level standardization and hyperforin content are more clinically relevant than isolated-compound PK.</t>
        </is>
      </c>
      <c r="I233" s="134" t="inlineStr">
        <is>
          <t>Use St Johns wort herb-level safety framing; caution for photosensitivity, GI upset, dizziness, restlessness, and extensive drug-interaction liability.</t>
        </is>
      </c>
      <c r="J233" s="134" t="inlineStr">
        <is>
          <t>Major herb-level interaction relevance with antidepressants, oral contraceptives, cyclosporine, tacrolimus, antiretrovirals, digoxin, anticoagulants, platelet inhibitors, and other CYP3A4/P-glycoprotein-sensitive drugs; do not overstate isolated-compound clinical interaction certainty.</t>
        </is>
      </c>
      <c r="K233" s="134" t="inlineStr">
        <is>
          <t>Moderate-High</t>
        </is>
      </c>
      <c r="L233" s="134" t="inlineStr">
        <is>
          <t>compound_level</t>
        </is>
      </c>
      <c r="M233" s="134" t="inlineStr">
        <is>
          <t>https://pubchem.ncbi.nlm.nih.gov/compound/Hyperforin | https://www.ncbi.nlm.nih.gov/books/NBK548880/ | https://pubchem.ncbi.nlm.nih.gov/compound/Pseudohypericin</t>
        </is>
      </c>
      <c r="N233" s="134" t="inlineStr">
        <is>
          <t>trusted_primary_web</t>
        </is>
      </c>
      <c r="O233" s="134" t="inlineStr">
        <is>
          <t>PubChem + NCBI Bookshelf</t>
        </is>
      </c>
      <c r="P233" s="134" t="inlineStr">
        <is>
          <t>Batch13_st_johns_wort_2026-04-07</t>
        </is>
      </c>
      <c r="Q233" s="134" t="inlineStr">
        <is>
          <t>st-johns-wort</t>
        </is>
      </c>
      <c r="R233" s="134" t="n">
        <v>1</v>
      </c>
      <c r="S233" s="134" t="inlineStr">
        <is>
          <t>Yes</t>
        </is>
      </c>
      <c r="T233" s="134" t="inlineStr">
        <is>
          <t>Refined in Batch 13 from generic St Johns wort row; hyperforin is a major interaction-relevant constituent in standardized extracts.</t>
        </is>
      </c>
    </row>
    <row r="234" ht="26" customHeight="1" s="76">
      <c r="A234" s="134" t="inlineStr">
        <is>
          <t>hypericin</t>
        </is>
      </c>
      <c r="B234" s="134" t="inlineStr">
        <is>
          <t>hypericin</t>
        </is>
      </c>
      <c r="C234" s="134" t="n"/>
      <c r="D234" s="134" t="inlineStr">
        <is>
          <t>naphthodianthrone</t>
        </is>
      </c>
      <c r="E234" s="134" t="inlineStr">
        <is>
          <t>proposed mechanism based on preclinical data: photodynamic and redox-active signaling; no established human antidepressant mechanism at isolated-compound level.</t>
        </is>
      </c>
      <c r="F234" s="134" t="inlineStr">
        <is>
          <t>photodynamic activity; oxidative_stress_modulation</t>
        </is>
      </c>
      <c r="G234" s="134" t="inlineStr">
        <is>
          <t>photosensitization-related pathways; oxidative-stress signaling</t>
        </is>
      </c>
      <c r="H234" s="134" t="inlineStr">
        <is>
          <t>Human isolated-compound PK data are limited; purified hypericin has been studied clinically but extract-level context remains more relevant to herb use.</t>
        </is>
      </c>
      <c r="I234" s="134" t="inlineStr">
        <is>
          <t>Photosensitivity is the key safety signal; use St Johns wort herb-level safety framing for broader adverse-effect and interaction context.</t>
        </is>
      </c>
      <c r="J234" s="134" t="inlineStr">
        <is>
          <t>No isolated-compound clinical interaction set is established beyond herb-level St Johns wort interaction liability.</t>
        </is>
      </c>
      <c r="K234" s="134" t="inlineStr">
        <is>
          <t>Moderate</t>
        </is>
      </c>
      <c r="L234" s="134" t="inlineStr">
        <is>
          <t>compound_level</t>
        </is>
      </c>
      <c r="M234" s="134" t="inlineStr">
        <is>
          <t>https://pubchem.ncbi.nlm.nih.gov/compound/Hypericin | https://www.ncbi.nlm.nih.gov/books/NBK548880/</t>
        </is>
      </c>
      <c r="N234" s="134" t="inlineStr">
        <is>
          <t>trusted_primary_web</t>
        </is>
      </c>
      <c r="O234" s="134" t="inlineStr">
        <is>
          <t>PubChem + NCBI Bookshelf</t>
        </is>
      </c>
      <c r="P234" s="134" t="inlineStr">
        <is>
          <t>Batch13_st_johns_wort_2026-04-07</t>
        </is>
      </c>
      <c r="Q234" s="134" t="inlineStr">
        <is>
          <t>st-johns-wort</t>
        </is>
      </c>
      <c r="R234" s="134" t="n">
        <v>1</v>
      </c>
      <c r="S234" s="134" t="inlineStr">
        <is>
          <t>Yes</t>
        </is>
      </c>
      <c r="T234" s="134" t="inlineStr">
        <is>
          <t>Refined in Batch 13 from generic St Johns wort row; photosensitivity signal is stronger than isolated antidepressant mechanism certainty.</t>
        </is>
      </c>
    </row>
    <row r="235" ht="26" customHeight="1" s="76">
      <c r="A235" s="134" t="inlineStr">
        <is>
          <t>ibogaine</t>
        </is>
      </c>
      <c r="B235" s="134" t="inlineStr">
        <is>
          <t>ibogaine</t>
        </is>
      </c>
      <c r="C235" s="134" t="n"/>
      <c r="D235" s="134" t="inlineStr">
        <is>
          <t>other</t>
        </is>
      </c>
      <c r="E235" s="134" t="inlineStr">
        <is>
          <t>Ibogaine exhibits NMDA receptor antagonism, kappa-opioid receptor agonism, and monoamine transporter modulation.</t>
        </is>
      </c>
      <c r="F235" s="134" t="inlineStr">
        <is>
          <t>multi-target signaling modulation</t>
        </is>
      </c>
      <c r="G235" s="134" t="inlineStr">
        <is>
          <t>general or unknown targets</t>
        </is>
      </c>
      <c r="H235" s="134" t="inlineStr">
        <is>
          <t>Oral; onset ~1 hr; duration 8–24 hrs.</t>
        </is>
      </c>
      <c r="I235" s="134" t="inlineStr">
        <is>
          <t>low</t>
        </is>
      </c>
      <c r="J235" s="134" t="inlineStr">
        <is>
          <t>opioids, antidepressants.</t>
        </is>
      </c>
      <c r="K235" s="134" t="n"/>
      <c r="L235" s="134" t="inlineStr">
        <is>
          <t>compound_level</t>
        </is>
      </c>
      <c r="M235" s="134" t="inlineStr">
        <is>
          <t>https://plants.sc.egov.usda.gov/home/search?query=Tabernanthe%20iboga | https://plants.sc.egov.usda.gov/home/search?query=tabernanthe%20iboga | https://pubchem.ncbi.nlm.nih.gov/#query=ibogaine</t>
        </is>
      </c>
      <c r="N235" s="134" t="inlineStr">
        <is>
          <t>inferred_plus_trusted_gov; trusted_gov_added</t>
        </is>
      </c>
      <c r="O235" s="134" t="inlineStr">
        <is>
          <t>PubChem compound page (NIH); USDA Plants database; scientific name; PubChem compound page (NIH); USDA Plants database</t>
        </is>
      </c>
      <c r="P235" s="134" t="n"/>
      <c r="Q235" s="134" t="inlineStr">
        <is>
          <t>iboga; tabernanthe-iboga</t>
        </is>
      </c>
      <c r="R235" s="134" t="n">
        <v>2</v>
      </c>
      <c r="S235" s="134" t="inlineStr">
        <is>
          <t>Yes</t>
        </is>
      </c>
      <c r="T235" s="134" t="inlineStr">
        <is>
          <t>Integrated from cleaned high-signal dataset</t>
        </is>
      </c>
    </row>
    <row r="236" ht="26" customHeight="1" s="76">
      <c r="A236" s="134" t="inlineStr">
        <is>
          <t>ibotenic acid</t>
        </is>
      </c>
      <c r="B236" s="134" t="inlineStr">
        <is>
          <t>ibotenic acid</t>
        </is>
      </c>
      <c r="C236" s="134" t="n"/>
      <c r="D236" s="134" t="inlineStr">
        <is>
          <t>organic acid</t>
        </is>
      </c>
      <c r="E236" s="134" t="inlineStr">
        <is>
          <t>Psychotropic effects are mainly attributed to muscimol acting at GABA_A receptors, with ibotenic acid contributing excitatory glutamatergic activity.</t>
        </is>
      </c>
      <c r="F236" s="134" t="inlineStr">
        <is>
          <t>gaba_a_modulation; multi-target signaling modulation</t>
        </is>
      </c>
      <c r="G236" s="134" t="inlineStr">
        <is>
          <t>gabaergic_modulation; general or unknown targets</t>
        </is>
      </c>
      <c r="H236" s="134" t="inlineStr">
        <is>
          <t>moderate absorption; hepatic metabolism</t>
        </is>
      </c>
      <c r="I236" s="134" t="inlineStr">
        <is>
          <t>low</t>
        </is>
      </c>
      <c r="J236" s="134" t="inlineStr">
        <is>
          <t>no well-documented interactions</t>
        </is>
      </c>
      <c r="K236" s="134" t="n"/>
      <c r="L236" s="134" t="inlineStr">
        <is>
          <t>compound_level</t>
        </is>
      </c>
      <c r="M236" s="134" t="inlineStr">
        <is>
          <t>https://plants.sc.egov.usda.gov/home/search?query=Amanita%20muscaria | https://plants.sc.egov.usda.gov/home/search?query=amanita%20muscaria | https://plants.sc.egov.usda.gov/home/search?query=amanita%20pantherina | https://pubchem.ncbi.nlm.nih.gov/#query=ibotenic%20acid</t>
        </is>
      </c>
      <c r="N236" s="134" t="inlineStr">
        <is>
          <t>inferred_plus_trusted_gov; trusted_gov_added</t>
        </is>
      </c>
      <c r="O236" s="134" t="inlineStr">
        <is>
          <t>PubChem compound page (NIH); USDA Plants database; scientific name; PubChem compound page (NIH); USDA Plants database</t>
        </is>
      </c>
      <c r="P236" s="134" t="n"/>
      <c r="Q236" s="134" t="inlineStr">
        <is>
          <t>amanita-muscaria; amanita-pantherina</t>
        </is>
      </c>
      <c r="R236" s="134" t="n">
        <v>2</v>
      </c>
      <c r="S236" s="134" t="inlineStr">
        <is>
          <t>Yes</t>
        </is>
      </c>
      <c r="T236" s="134" t="inlineStr">
        <is>
          <t>Integrated from cleaned high-signal dataset</t>
        </is>
      </c>
    </row>
    <row r="237" ht="26" customHeight="1" s="76">
      <c r="A237" s="134" t="inlineStr">
        <is>
          <t>imperatorin</t>
        </is>
      </c>
      <c r="B237" s="134" t="inlineStr">
        <is>
          <t>imperatorin</t>
        </is>
      </c>
      <c r="C237" s="134" t="n"/>
      <c r="D237" s="134" t="inlineStr">
        <is>
          <t>other</t>
        </is>
      </c>
      <c r="E237" s="134" t="inlineStr">
        <is>
          <t>insufficient evidence</t>
        </is>
      </c>
      <c r="F237" s="134" t="inlineStr">
        <is>
          <t>multi-target signaling modulation</t>
        </is>
      </c>
      <c r="G237" s="134" t="inlineStr">
        <is>
          <t>general or unknown targets</t>
        </is>
      </c>
      <c r="H237" s="134" t="inlineStr">
        <is>
          <t>moderate absorption; hepatic metabolism</t>
        </is>
      </c>
      <c r="I237" s="134" t="inlineStr">
        <is>
          <t>low</t>
        </is>
      </c>
      <c r="J237" s="134" t="inlineStr">
        <is>
          <t>no well-documented interactions</t>
        </is>
      </c>
      <c r="K237" s="134" t="n"/>
      <c r="L237" s="134" t="inlineStr">
        <is>
          <t>compound_level</t>
        </is>
      </c>
      <c r="M237" s="134" t="inlineStr">
        <is>
          <t>https://plants.sc.egov.usda.gov/home/search?query=casimiroa%20edulis | https://pubchem.ncbi.nlm.nih.gov/#query=imperatorin</t>
        </is>
      </c>
      <c r="N237" s="134" t="inlineStr">
        <is>
          <t>trusted_gov_added</t>
        </is>
      </c>
      <c r="O237" s="134" t="inlineStr">
        <is>
          <t>PubChem compound page (NIH); USDA Plants database</t>
        </is>
      </c>
      <c r="P237" s="134" t="n"/>
      <c r="Q237" s="134" t="inlineStr">
        <is>
          <t>casimiroa-edulis</t>
        </is>
      </c>
      <c r="R237" s="134" t="n">
        <v>1</v>
      </c>
      <c r="S237" s="134" t="inlineStr">
        <is>
          <t>Yes</t>
        </is>
      </c>
      <c r="T237" s="134" t="inlineStr">
        <is>
          <t>Integrated from cleaned high-signal dataset</t>
        </is>
      </c>
    </row>
    <row r="238" ht="26" customHeight="1" s="76">
      <c r="A238" s="134" t="inlineStr">
        <is>
          <t>inotodiol</t>
        </is>
      </c>
      <c r="B238" s="134" t="inlineStr">
        <is>
          <t>inotodiol</t>
        </is>
      </c>
      <c r="C238" s="134" t="n"/>
      <c r="D238" s="134" t="inlineStr">
        <is>
          <t>polysaccharides</t>
        </is>
      </c>
      <c r="E238" s="134" t="inlineStr">
        <is>
          <t>insufficient evidence</t>
        </is>
      </c>
      <c r="F238" s="134" t="inlineStr">
        <is>
          <t>multi-target signaling modulation</t>
        </is>
      </c>
      <c r="G238" s="134" t="inlineStr">
        <is>
          <t>general or unknown targets</t>
        </is>
      </c>
      <c r="H238" s="134" t="inlineStr">
        <is>
          <t>Absorption and bioavailability vary; some compounds metabolized via cytochrome P450 enzymes.</t>
        </is>
      </c>
      <c r="I238" s="134" t="inlineStr">
        <is>
          <t>low</t>
        </is>
      </c>
      <c r="J238" s="134" t="inlineStr">
        <is>
          <t>no well-documented interactions</t>
        </is>
      </c>
      <c r="K238" s="134" t="n"/>
      <c r="L238" s="134" t="inlineStr">
        <is>
          <t>compound_level</t>
        </is>
      </c>
      <c r="M238" s="134" t="inlineStr">
        <is>
          <t>https://plants.sc.egov.usda.gov/home/search?query=Inonotus%20obliquus | https://pubchem.ncbi.nlm.nih.gov/#query=inotodiol</t>
        </is>
      </c>
      <c r="N238" s="134" t="inlineStr">
        <is>
          <t>inferred_plus_trusted_gov</t>
        </is>
      </c>
      <c r="O238" s="134" t="inlineStr">
        <is>
          <t>scientific name; PubChem compound page (NIH); USDA Plants database</t>
        </is>
      </c>
      <c r="P238" s="134" t="n"/>
      <c r="Q238" s="134" t="inlineStr">
        <is>
          <t>inonotus-obliquus</t>
        </is>
      </c>
      <c r="R238" s="134" t="n">
        <v>1</v>
      </c>
      <c r="S238" s="134" t="inlineStr">
        <is>
          <t>Yes</t>
        </is>
      </c>
      <c r="T238" s="134" t="inlineStr">
        <is>
          <t>Integrated from cleaned high-signal dataset</t>
        </is>
      </c>
    </row>
    <row r="239" ht="26" customHeight="1" s="76">
      <c r="A239" s="134" t="inlineStr">
        <is>
          <t>inulin</t>
        </is>
      </c>
      <c r="B239" s="134" t="inlineStr">
        <is>
          <t>inulin</t>
        </is>
      </c>
      <c r="C239" s="134" t="n"/>
      <c r="D239" s="134" t="inlineStr">
        <is>
          <t>other</t>
        </is>
      </c>
      <c r="E239" s="134" t="inlineStr">
        <is>
          <t>insufficient evidence</t>
        </is>
      </c>
      <c r="F239" s="134" t="inlineStr">
        <is>
          <t>multi-target signaling modulation</t>
        </is>
      </c>
      <c r="G239" s="134" t="inlineStr">
        <is>
          <t>general or unknown targets</t>
        </is>
      </c>
      <c r="H239" s="134" t="inlineStr">
        <is>
          <t>Oral; blood purifier and diuretic</t>
        </is>
      </c>
      <c r="I239" s="134" t="inlineStr">
        <is>
          <t>low</t>
        </is>
      </c>
      <c r="J239" s="134" t="inlineStr">
        <is>
          <t>no well-documented interactions</t>
        </is>
      </c>
      <c r="K239" s="134" t="n"/>
      <c r="L239" s="134" t="inlineStr">
        <is>
          <t>compound_level</t>
        </is>
      </c>
      <c r="M239" s="134" t="inlineStr">
        <is>
          <t>https://plants.sc.egov.usda.gov/home/search?query=Arctium%20lappa | https://plants.sc.egov.usda.gov/home/search?query=Inula%20helenium | https://plants.sc.egov.usda.gov/home/search?query=Taraxacum%20officinale | https://pubchem.ncbi.nlm.nih.gov/#query=inulin</t>
        </is>
      </c>
      <c r="N239" s="134" t="inlineStr">
        <is>
          <t>inferred_plus_trusted_gov</t>
        </is>
      </c>
      <c r="O239" s="134" t="inlineStr">
        <is>
          <t>scientific name; PubChem compound page (NIH); USDA Plants database</t>
        </is>
      </c>
      <c r="P239" s="134" t="n"/>
      <c r="Q239" s="134" t="inlineStr">
        <is>
          <t>arctium-lappa; inula-helenium; taraxacum-officinale</t>
        </is>
      </c>
      <c r="R239" s="134" t="n">
        <v>3</v>
      </c>
      <c r="S239" s="134" t="inlineStr">
        <is>
          <t>Yes</t>
        </is>
      </c>
      <c r="T239" s="134" t="inlineStr">
        <is>
          <t>Integrated from cleaned high-signal dataset</t>
        </is>
      </c>
    </row>
    <row r="240" ht="26" customHeight="1" s="76">
      <c r="A240" s="134" t="inlineStr">
        <is>
          <t>iodine</t>
        </is>
      </c>
      <c r="B240" s="134" t="inlineStr">
        <is>
          <t>iodine</t>
        </is>
      </c>
      <c r="C240" s="134" t="n"/>
      <c r="D240" s="134" t="inlineStr">
        <is>
          <t>other</t>
        </is>
      </c>
      <c r="E240" s="134" t="inlineStr">
        <is>
          <t>insufficient evidence</t>
        </is>
      </c>
      <c r="F240" s="134" t="inlineStr">
        <is>
          <t>multi-target signaling modulation</t>
        </is>
      </c>
      <c r="G240" s="134" t="inlineStr">
        <is>
          <t>general or unknown targets</t>
        </is>
      </c>
      <c r="H240" s="134" t="inlineStr">
        <is>
          <t>Oral; influences T3/T4 thyroid hormones</t>
        </is>
      </c>
      <c r="I240" s="134" t="inlineStr">
        <is>
          <t>low</t>
        </is>
      </c>
      <c r="J240" s="134" t="inlineStr">
        <is>
          <t>no well-documented interactions</t>
        </is>
      </c>
      <c r="K240" s="134" t="n"/>
      <c r="L240" s="134" t="inlineStr">
        <is>
          <t>compound_level</t>
        </is>
      </c>
      <c r="M240" s="134" t="inlineStr">
        <is>
          <t>https://plants.sc.egov.usda.gov/home/search?query=Fucus%20vesiculosus | https://plants.sc.egov.usda.gov/home/search?query=Laminaria%20digitata | https://pubchem.ncbi.nlm.nih.gov/#query=iodine</t>
        </is>
      </c>
      <c r="N240" s="134" t="inlineStr">
        <is>
          <t>inferred_plus_trusted_gov</t>
        </is>
      </c>
      <c r="O240" s="134" t="inlineStr">
        <is>
          <t>scientific name; PubChem compound page (NIH); USDA Plants database</t>
        </is>
      </c>
      <c r="P240" s="134" t="n"/>
      <c r="Q240" s="134" t="inlineStr">
        <is>
          <t>fucus-vesiculosus; laminaria-digitata</t>
        </is>
      </c>
      <c r="R240" s="134" t="n">
        <v>2</v>
      </c>
      <c r="S240" s="134" t="inlineStr">
        <is>
          <t>Yes</t>
        </is>
      </c>
      <c r="T240" s="134" t="inlineStr">
        <is>
          <t>Integrated from cleaned high-signal dataset</t>
        </is>
      </c>
    </row>
    <row r="241" ht="26" customHeight="1" s="76">
      <c r="A241" s="134" t="inlineStr">
        <is>
          <t>iridin</t>
        </is>
      </c>
      <c r="B241" s="134" t="inlineStr">
        <is>
          <t>iridin</t>
        </is>
      </c>
      <c r="C241" s="134" t="n"/>
      <c r="D241" s="134" t="inlineStr">
        <is>
          <t>Isoflavones, iridin, glycosides</t>
        </is>
      </c>
      <c r="E241" s="134" t="inlineStr">
        <is>
          <t>insufficient evidence</t>
        </is>
      </c>
      <c r="F241" s="134" t="inlineStr">
        <is>
          <t>multi-target signaling modulation</t>
        </is>
      </c>
      <c r="G241" s="134" t="inlineStr">
        <is>
          <t>general or unknown targets</t>
        </is>
      </c>
      <c r="H241" s="134" t="inlineStr">
        <is>
          <t>Oral; liver stimulant and diuretic</t>
        </is>
      </c>
      <c r="I241" s="134" t="inlineStr">
        <is>
          <t>low</t>
        </is>
      </c>
      <c r="J241" s="134" t="inlineStr">
        <is>
          <t>no well-documented interactions</t>
        </is>
      </c>
      <c r="K241" s="134" t="n"/>
      <c r="L241" s="134" t="inlineStr">
        <is>
          <t>compound_level</t>
        </is>
      </c>
      <c r="M241" s="134" t="inlineStr">
        <is>
          <t>https://plants.sc.egov.usda.gov/home/search?query=Iris%20germanica | https://pubchem.ncbi.nlm.nih.gov/#query=iridin</t>
        </is>
      </c>
      <c r="N241" s="134" t="inlineStr">
        <is>
          <t>inferred_plus_trusted_gov</t>
        </is>
      </c>
      <c r="O241" s="134" t="inlineStr">
        <is>
          <t>scientific name; PubChem compound page (NIH); USDA Plants database</t>
        </is>
      </c>
      <c r="P241" s="134" t="n"/>
      <c r="Q241" s="134" t="inlineStr">
        <is>
          <t>iris-germanica</t>
        </is>
      </c>
      <c r="R241" s="134" t="n">
        <v>1</v>
      </c>
      <c r="S241" s="134" t="inlineStr">
        <is>
          <t>Yes</t>
        </is>
      </c>
      <c r="T241" s="134" t="inlineStr">
        <is>
          <t>Integrated from cleaned high-signal dataset</t>
        </is>
      </c>
    </row>
    <row r="242" ht="26" customHeight="1" s="76">
      <c r="A242" s="134" t="inlineStr">
        <is>
          <t>isocorypalmine</t>
        </is>
      </c>
      <c r="B242" s="134" t="inlineStr">
        <is>
          <t>isocorypalmine</t>
        </is>
      </c>
      <c r="C242" s="134" t="n"/>
      <c r="D242" s="134" t="inlineStr">
        <is>
          <t>other</t>
        </is>
      </c>
      <c r="E242" s="134" t="inlineStr">
        <is>
          <t>insufficient evidence</t>
        </is>
      </c>
      <c r="F242" s="134" t="inlineStr">
        <is>
          <t>multi-target signaling modulation</t>
        </is>
      </c>
      <c r="G242" s="134" t="inlineStr">
        <is>
          <t>dopaminergic_modulation</t>
        </is>
      </c>
      <c r="H242" s="134" t="inlineStr">
        <is>
          <t>moderate absorption; hepatic metabolism</t>
        </is>
      </c>
      <c r="I242" s="134" t="inlineStr">
        <is>
          <t>low</t>
        </is>
      </c>
      <c r="J242" s="134" t="inlineStr">
        <is>
          <t>no well-documented interactions</t>
        </is>
      </c>
      <c r="K242" s="134" t="n"/>
      <c r="L242" s="134" t="inlineStr">
        <is>
          <t>compound_level</t>
        </is>
      </c>
      <c r="M242" s="134" t="inlineStr">
        <is>
          <t>https://plants.sc.egov.usda.gov/home/search?query=corydalis%20yanhusuo | https://pubchem.ncbi.nlm.nih.gov/#query=isocorypalmine</t>
        </is>
      </c>
      <c r="N242" s="134" t="inlineStr">
        <is>
          <t>trusted_gov_added</t>
        </is>
      </c>
      <c r="O242" s="134" t="inlineStr">
        <is>
          <t>PubChem compound page (NIH); USDA Plants database</t>
        </is>
      </c>
      <c r="P242" s="134" t="n"/>
      <c r="Q242" s="134" t="inlineStr">
        <is>
          <t>corydalis-yanhusuo</t>
        </is>
      </c>
      <c r="R242" s="134" t="n">
        <v>1</v>
      </c>
      <c r="S242" s="134" t="inlineStr">
        <is>
          <t>Yes</t>
        </is>
      </c>
      <c r="T242" s="134" t="inlineStr">
        <is>
          <t>Integrated from cleaned high-signal dataset</t>
        </is>
      </c>
    </row>
    <row r="243" ht="26" customHeight="1" s="76">
      <c r="A243" s="134" t="inlineStr">
        <is>
          <t>isoergine</t>
        </is>
      </c>
      <c r="B243" s="134" t="inlineStr">
        <is>
          <t>isoergine</t>
        </is>
      </c>
      <c r="C243" s="134" t="n"/>
      <c r="D243" s="134" t="inlineStr">
        <is>
          <t>ergoline alkaloids</t>
        </is>
      </c>
      <c r="E243" s="134" t="inlineStr">
        <is>
          <t>insufficient evidence</t>
        </is>
      </c>
      <c r="F243" s="134" t="inlineStr">
        <is>
          <t>multi-target signaling modulation</t>
        </is>
      </c>
      <c r="G243" s="134" t="inlineStr">
        <is>
          <t>general or unknown targets</t>
        </is>
      </c>
      <c r="H243" s="134" t="inlineStr">
        <is>
          <t>Absorption and bioavailability vary; some compounds metabolized via cytochrome P450 enzymes.</t>
        </is>
      </c>
      <c r="I243" s="134" t="inlineStr">
        <is>
          <t>low</t>
        </is>
      </c>
      <c r="J243" s="134" t="inlineStr">
        <is>
          <t>no well-documented interactions</t>
        </is>
      </c>
      <c r="K243" s="134" t="n"/>
      <c r="L243" s="134" t="inlineStr">
        <is>
          <t>compound_level</t>
        </is>
      </c>
      <c r="M243" s="134" t="inlineStr">
        <is>
          <t>https://plants.sc.egov.usda.gov/home/search?query=Ipomoea%20tricolor | https://plants.sc.egov.usda.gov/home/search?query=Turbina%20corymbosa | https://pubchem.ncbi.nlm.nih.gov/#query=isoergine</t>
        </is>
      </c>
      <c r="N243" s="134" t="inlineStr">
        <is>
          <t>inferred_plus_trusted_gov</t>
        </is>
      </c>
      <c r="O243" s="134" t="inlineStr">
        <is>
          <t>scientific name; PubChem compound page (NIH); USDA Plants database</t>
        </is>
      </c>
      <c r="P243" s="134" t="n"/>
      <c r="Q243" s="134" t="inlineStr">
        <is>
          <t>ipomoea-tricolor; turbina-corymbosa</t>
        </is>
      </c>
      <c r="R243" s="134" t="n">
        <v>2</v>
      </c>
      <c r="S243" s="134" t="inlineStr">
        <is>
          <t>Yes</t>
        </is>
      </c>
      <c r="T243" s="134" t="inlineStr">
        <is>
          <t>Integrated from cleaned high-signal dataset</t>
        </is>
      </c>
    </row>
    <row r="244" ht="26" customHeight="1" s="76">
      <c r="A244" s="134" t="inlineStr">
        <is>
          <t>isofebrifugine</t>
        </is>
      </c>
      <c r="B244" s="134" t="inlineStr">
        <is>
          <t>isofebrifugine</t>
        </is>
      </c>
      <c r="C244" s="134" t="n"/>
      <c r="D244" s="134" t="inlineStr">
        <is>
          <t>other</t>
        </is>
      </c>
      <c r="E244" s="134" t="inlineStr">
        <is>
          <t>insufficient evidence</t>
        </is>
      </c>
      <c r="F244" s="134" t="inlineStr">
        <is>
          <t>multi-target signaling modulation</t>
        </is>
      </c>
      <c r="G244" s="134" t="inlineStr">
        <is>
          <t>general or unknown targets</t>
        </is>
      </c>
      <c r="H244" s="134" t="inlineStr">
        <is>
          <t>Absorption and bioavailability vary; some compounds metabolized via cytochrome P450 enzymes.</t>
        </is>
      </c>
      <c r="I244" s="134" t="inlineStr">
        <is>
          <t>low</t>
        </is>
      </c>
      <c r="J244" s="134" t="inlineStr">
        <is>
          <t>no well-documented interactions</t>
        </is>
      </c>
      <c r="K244" s="134" t="n"/>
      <c r="L244" s="134" t="inlineStr">
        <is>
          <t>compound_level</t>
        </is>
      </c>
      <c r="M244" s="134" t="inlineStr">
        <is>
          <t>https://plants.sc.egov.usda.gov/home/search?query=Dichroa%20febrifuga | https://pubchem.ncbi.nlm.nih.gov/#query=isofebrifugine</t>
        </is>
      </c>
      <c r="N244" s="134" t="inlineStr">
        <is>
          <t>inferred_plus_trusted_gov</t>
        </is>
      </c>
      <c r="O244" s="134" t="inlineStr">
        <is>
          <t>scientific name; PubChem compound page (NIH); USDA Plants database</t>
        </is>
      </c>
      <c r="P244" s="134" t="n"/>
      <c r="Q244" s="134" t="inlineStr">
        <is>
          <t>dichroa-febrifuga</t>
        </is>
      </c>
      <c r="R244" s="134" t="n">
        <v>1</v>
      </c>
      <c r="S244" s="134" t="inlineStr">
        <is>
          <t>Yes</t>
        </is>
      </c>
      <c r="T244" s="134" t="inlineStr">
        <is>
          <t>Integrated from cleaned high-signal dataset</t>
        </is>
      </c>
    </row>
    <row r="245" ht="26" customHeight="1" s="76">
      <c r="A245" s="134" t="inlineStr">
        <is>
          <t>isoflavones genistein</t>
        </is>
      </c>
      <c r="B245" s="134" t="inlineStr">
        <is>
          <t>isoflavones (genistein</t>
        </is>
      </c>
      <c r="C245" s="134" t="n"/>
      <c r="D245" s="134" t="inlineStr">
        <is>
          <t>other</t>
        </is>
      </c>
      <c r="E245" s="134" t="inlineStr">
        <is>
          <t>insufficient evidence</t>
        </is>
      </c>
      <c r="F245" s="134" t="inlineStr">
        <is>
          <t>multi-target signaling modulation</t>
        </is>
      </c>
      <c r="G245" s="134" t="inlineStr">
        <is>
          <t>general or unknown targets</t>
        </is>
      </c>
      <c r="H245" s="134" t="inlineStr">
        <is>
          <t>Oral; estrogen receptor modulation</t>
        </is>
      </c>
      <c r="I245" s="134" t="inlineStr">
        <is>
          <t>low</t>
        </is>
      </c>
      <c r="J245" s="134" t="inlineStr">
        <is>
          <t>no well-documented interactions</t>
        </is>
      </c>
      <c r="K245" s="134" t="n"/>
      <c r="L245" s="134" t="inlineStr">
        <is>
          <t>compound_level</t>
        </is>
      </c>
      <c r="M245" s="134" t="inlineStr">
        <is>
          <t>https://plants.sc.egov.usda.gov/home/search?query=Trifolium%20pratense | https://pubchem.ncbi.nlm.nih.gov/#query=isoflavones%20%28genistein</t>
        </is>
      </c>
      <c r="N245" s="134" t="inlineStr">
        <is>
          <t>inferred_plus_trusted_gov</t>
        </is>
      </c>
      <c r="O245" s="134" t="inlineStr">
        <is>
          <t>scientific name; PubChem compound page (NIH); USDA Plants database</t>
        </is>
      </c>
      <c r="P245" s="134" t="n"/>
      <c r="Q245" s="134" t="inlineStr">
        <is>
          <t>trifolium-pratense</t>
        </is>
      </c>
      <c r="R245" s="134" t="n">
        <v>1</v>
      </c>
      <c r="S245" s="134" t="inlineStr">
        <is>
          <t>Yes</t>
        </is>
      </c>
      <c r="T245" s="134" t="inlineStr">
        <is>
          <t>Integrated from cleaned high-signal dataset</t>
        </is>
      </c>
    </row>
    <row r="246" ht="26" customHeight="1" s="76">
      <c r="A246" s="134" t="inlineStr">
        <is>
          <t>isomitraphylline</t>
        </is>
      </c>
      <c r="B246" s="134" t="inlineStr">
        <is>
          <t>isomitraphylline</t>
        </is>
      </c>
      <c r="C246" s="134" t="n"/>
      <c r="D246" s="134" t="inlineStr">
        <is>
          <t>alkaloids</t>
        </is>
      </c>
      <c r="E246" s="134" t="inlineStr">
        <is>
          <t>insufficient evidence</t>
        </is>
      </c>
      <c r="F246" s="134" t="inlineStr">
        <is>
          <t>multi-target signaling modulation</t>
        </is>
      </c>
      <c r="G246" s="134" t="inlineStr">
        <is>
          <t>general or unknown targets</t>
        </is>
      </c>
      <c r="H246" s="134" t="inlineStr">
        <is>
          <t>Absorption and bioavailability vary; some compounds metabolized via cytochrome P450 enzymes.</t>
        </is>
      </c>
      <c r="I246" s="134" t="inlineStr">
        <is>
          <t>low</t>
        </is>
      </c>
      <c r="J246" s="134" t="inlineStr">
        <is>
          <t>no well-documented interactions</t>
        </is>
      </c>
      <c r="K246" s="134" t="n"/>
      <c r="L246" s="134" t="inlineStr">
        <is>
          <t>compound_level</t>
        </is>
      </c>
      <c r="M246" s="134" t="inlineStr">
        <is>
          <t>https://plants.sc.egov.usda.gov/home/search?query=Mitragyna%20parvifolia | https://pubchem.ncbi.nlm.nih.gov/#query=isomitraphylline</t>
        </is>
      </c>
      <c r="N246" s="134" t="inlineStr">
        <is>
          <t>inferred_plus_trusted_gov</t>
        </is>
      </c>
      <c r="O246" s="134" t="inlineStr">
        <is>
          <t>scientific name; PubChem compound page (NIH); USDA Plants database</t>
        </is>
      </c>
      <c r="P246" s="134" t="n"/>
      <c r="Q246" s="134" t="inlineStr">
        <is>
          <t>mitragyna-parvifolia</t>
        </is>
      </c>
      <c r="R246" s="134" t="n">
        <v>1</v>
      </c>
      <c r="S246" s="134" t="inlineStr">
        <is>
          <t>Yes</t>
        </is>
      </c>
      <c r="T246" s="134" t="inlineStr">
        <is>
          <t>Integrated from cleaned high-signal dataset</t>
        </is>
      </c>
    </row>
    <row r="247" ht="26" customHeight="1" s="76">
      <c r="A247" s="134" t="inlineStr">
        <is>
          <t>isovaleric acid</t>
        </is>
      </c>
      <c r="B247" s="134" t="inlineStr">
        <is>
          <t>isovaleric acid</t>
        </is>
      </c>
      <c r="C247" s="134" t="n"/>
      <c r="D247" s="134" t="inlineStr">
        <is>
          <t>organic acid</t>
        </is>
      </c>
      <c r="E247" s="134" t="inlineStr">
        <is>
          <t>insufficient evidence</t>
        </is>
      </c>
      <c r="F247" s="134" t="inlineStr">
        <is>
          <t>multi-target signaling modulation</t>
        </is>
      </c>
      <c r="G247" s="134" t="inlineStr">
        <is>
          <t>general or unknown targets</t>
        </is>
      </c>
      <c r="H247" s="134" t="inlineStr">
        <is>
          <t>Oral; modulates GABA receptors</t>
        </is>
      </c>
      <c r="I247" s="134" t="inlineStr">
        <is>
          <t>low</t>
        </is>
      </c>
      <c r="J247" s="134" t="inlineStr">
        <is>
          <t>no well-documented interactions</t>
        </is>
      </c>
      <c r="K247" s="134" t="n"/>
      <c r="L247" s="134" t="inlineStr">
        <is>
          <t>compound_level</t>
        </is>
      </c>
      <c r="M247" s="134" t="inlineStr">
        <is>
          <t>https://plants.sc.egov.usda.gov/home/search?query=Valeriana%20officinalis | https://pubchem.ncbi.nlm.nih.gov/#query=isovaleric%20acid</t>
        </is>
      </c>
      <c r="N247" s="134" t="inlineStr">
        <is>
          <t>inferred_plus_trusted_gov</t>
        </is>
      </c>
      <c r="O247" s="134" t="inlineStr">
        <is>
          <t>scientific name; PubChem compound page (NIH); USDA Plants database</t>
        </is>
      </c>
      <c r="P247" s="134" t="n"/>
      <c r="Q247" s="134" t="inlineStr">
        <is>
          <t>valeriana-officinalis</t>
        </is>
      </c>
      <c r="R247" s="134" t="n">
        <v>1</v>
      </c>
      <c r="S247" s="134" t="inlineStr">
        <is>
          <t>Yes</t>
        </is>
      </c>
      <c r="T247" s="134" t="inlineStr">
        <is>
          <t>Integrated from cleaned high-signal dataset</t>
        </is>
      </c>
    </row>
    <row r="248" ht="26" customHeight="1" s="76">
      <c r="A248" s="134" t="inlineStr">
        <is>
          <t>jatamansone</t>
        </is>
      </c>
      <c r="B248" s="134" t="inlineStr">
        <is>
          <t>jatamansone</t>
        </is>
      </c>
      <c r="C248" s="134" t="n"/>
      <c r="D248" s="134" t="inlineStr">
        <is>
          <t>sesquiterpenes</t>
        </is>
      </c>
      <c r="E248" s="134" t="inlineStr">
        <is>
          <t>insufficient evidence</t>
        </is>
      </c>
      <c r="F248" s="134" t="inlineStr">
        <is>
          <t>multi-target signaling modulation</t>
        </is>
      </c>
      <c r="G248" s="134" t="inlineStr">
        <is>
          <t>general or unknown targets</t>
        </is>
      </c>
      <c r="H248" s="134" t="inlineStr">
        <is>
          <t>Absorption and bioavailability vary; some compounds metabolized via cytochrome P450 enzymes.</t>
        </is>
      </c>
      <c r="I248" s="134" t="inlineStr">
        <is>
          <t>low</t>
        </is>
      </c>
      <c r="J248" s="134" t="inlineStr">
        <is>
          <t>no well-documented interactions</t>
        </is>
      </c>
      <c r="K248" s="134" t="n"/>
      <c r="L248" s="134" t="inlineStr">
        <is>
          <t>compound_level</t>
        </is>
      </c>
      <c r="M248" s="134" t="inlineStr">
        <is>
          <t>https://plants.sc.egov.usda.gov/home/search?query=Nardostachys%20jatamansi | https://pubchem.ncbi.nlm.nih.gov/#query=jatamansone</t>
        </is>
      </c>
      <c r="N248" s="134" t="inlineStr">
        <is>
          <t>inferred_plus_trusted_gov</t>
        </is>
      </c>
      <c r="O248" s="134" t="inlineStr">
        <is>
          <t>scientific name; PubChem compound page (NIH); USDA Plants database</t>
        </is>
      </c>
      <c r="P248" s="134" t="n"/>
      <c r="Q248" s="134" t="inlineStr">
        <is>
          <t>nardostachys-jatamansi</t>
        </is>
      </c>
      <c r="R248" s="134" t="n">
        <v>1</v>
      </c>
      <c r="S248" s="134" t="inlineStr">
        <is>
          <t>Yes</t>
        </is>
      </c>
      <c r="T248" s="134" t="inlineStr">
        <is>
          <t>Integrated from cleaned high-signal dataset</t>
        </is>
      </c>
    </row>
    <row r="249" ht="26" customHeight="1" s="76">
      <c r="A249" s="134" t="inlineStr">
        <is>
          <t>jatrorrhizine</t>
        </is>
      </c>
      <c r="B249" s="134" t="inlineStr">
        <is>
          <t>jatrorrhizine</t>
        </is>
      </c>
      <c r="C249" s="134" t="n"/>
      <c r="D249" s="134" t="inlineStr">
        <is>
          <t>protopine alkaloids</t>
        </is>
      </c>
      <c r="E249" s="134" t="inlineStr">
        <is>
          <t>insufficient evidence</t>
        </is>
      </c>
      <c r="F249" s="134" t="inlineStr">
        <is>
          <t>multi-target signaling modulation</t>
        </is>
      </c>
      <c r="G249" s="134" t="inlineStr">
        <is>
          <t>general or unknown targets</t>
        </is>
      </c>
      <c r="H249" s="134" t="inlineStr">
        <is>
          <t>good oral absorption; CNS penetration; hepatic metabolism</t>
        </is>
      </c>
      <c r="I249" s="134" t="inlineStr">
        <is>
          <t>low</t>
        </is>
      </c>
      <c r="J249" s="134" t="inlineStr">
        <is>
          <t>no well-documented interactions</t>
        </is>
      </c>
      <c r="K249" s="134" t="n"/>
      <c r="L249" s="134" t="inlineStr">
        <is>
          <t>compound_level</t>
        </is>
      </c>
      <c r="M249" s="134" t="inlineStr">
        <is>
          <t>https://plants.sc.egov.usda.gov/home/search?query=Phellodendron%20amurense | https://plants.sc.egov.usda.gov/home/search?query=argemone%20mexicana | https://pubchem.ncbi.nlm.nih.gov/#query=jatrorrhizine</t>
        </is>
      </c>
      <c r="N249" s="134" t="inlineStr">
        <is>
          <t>inferred_plus_trusted_gov; trusted_gov_added</t>
        </is>
      </c>
      <c r="O249" s="134" t="inlineStr">
        <is>
          <t>PubChem compound page (NIH); USDA Plants database; scientific name; PubChem compound page (NIH); USDA Plants database</t>
        </is>
      </c>
      <c r="P249" s="134" t="n"/>
      <c r="Q249" s="134" t="inlineStr">
        <is>
          <t>argemone-mexicana; phellodendron-amurense</t>
        </is>
      </c>
      <c r="R249" s="134" t="n">
        <v>2</v>
      </c>
      <c r="S249" s="134" t="inlineStr">
        <is>
          <t>Yes</t>
        </is>
      </c>
      <c r="T249" s="134" t="inlineStr">
        <is>
          <t>Integrated from cleaned high-signal dataset</t>
        </is>
      </c>
    </row>
    <row r="250" ht="26" customHeight="1" s="76">
      <c r="A250" s="134" t="inlineStr">
        <is>
          <t>juglone</t>
        </is>
      </c>
      <c r="B250" s="134" t="inlineStr">
        <is>
          <t>juglone</t>
        </is>
      </c>
      <c r="C250" s="134" t="n"/>
      <c r="D250" s="134" t="inlineStr">
        <is>
          <t>Juglone, tannins, omega fatty acids</t>
        </is>
      </c>
      <c r="E250" s="134" t="inlineStr">
        <is>
          <t>insufficient evidence</t>
        </is>
      </c>
      <c r="F250" s="134" t="inlineStr">
        <is>
          <t>multi-target signaling modulation</t>
        </is>
      </c>
      <c r="G250" s="134" t="inlineStr">
        <is>
          <t>general or unknown targets</t>
        </is>
      </c>
      <c r="H250" s="134" t="inlineStr">
        <is>
          <t>Oral; antiparasitic and antimicrobial</t>
        </is>
      </c>
      <c r="I250" s="134" t="inlineStr">
        <is>
          <t>low</t>
        </is>
      </c>
      <c r="J250" s="134" t="inlineStr">
        <is>
          <t>no well-documented interactions</t>
        </is>
      </c>
      <c r="K250" s="134" t="n"/>
      <c r="L250" s="134" t="inlineStr">
        <is>
          <t>compound_level</t>
        </is>
      </c>
      <c r="M250" s="134" t="inlineStr">
        <is>
          <t>https://plants.sc.egov.usda.gov/home/search?query=Juglans%20nigra | https://pubchem.ncbi.nlm.nih.gov/#query=juglone</t>
        </is>
      </c>
      <c r="N250" s="134" t="inlineStr">
        <is>
          <t>inferred_plus_trusted_gov</t>
        </is>
      </c>
      <c r="O250" s="134" t="inlineStr">
        <is>
          <t>scientific name; PubChem compound page (NIH); USDA Plants database</t>
        </is>
      </c>
      <c r="P250" s="134" t="n"/>
      <c r="Q250" s="134" t="inlineStr">
        <is>
          <t>juglans-nigra</t>
        </is>
      </c>
      <c r="R250" s="134" t="n">
        <v>1</v>
      </c>
      <c r="S250" s="134" t="inlineStr">
        <is>
          <t>Yes</t>
        </is>
      </c>
      <c r="T250" s="134" t="inlineStr">
        <is>
          <t>Integrated from cleaned high-signal dataset</t>
        </is>
      </c>
    </row>
    <row r="251" ht="26" customHeight="1" s="76">
      <c r="A251" s="134" t="inlineStr">
        <is>
          <t>kaempferol</t>
        </is>
      </c>
      <c r="B251" s="134" t="inlineStr">
        <is>
          <t>kaempferol</t>
        </is>
      </c>
      <c r="C251" s="134" t="n"/>
      <c r="D251" s="134" t="inlineStr">
        <is>
          <t>Ethyl cinnamate, kaempferol, essential oils</t>
        </is>
      </c>
      <c r="E251" s="134" t="inlineStr">
        <is>
          <t>insufficient evidence</t>
        </is>
      </c>
      <c r="F251" s="134" t="inlineStr">
        <is>
          <t>multi-target signaling modulation</t>
        </is>
      </c>
      <c r="G251" s="134" t="inlineStr">
        <is>
          <t>general or unknown targets</t>
        </is>
      </c>
      <c r="H251" s="134" t="inlineStr">
        <is>
          <t>Oral; anti-inflammatory and stimulant</t>
        </is>
      </c>
      <c r="I251" s="134" t="inlineStr">
        <is>
          <t>low</t>
        </is>
      </c>
      <c r="J251" s="134" t="inlineStr">
        <is>
          <t>no well-documented interactions</t>
        </is>
      </c>
      <c r="K251" s="134" t="n"/>
      <c r="L251" s="134" t="inlineStr">
        <is>
          <t>compound_level</t>
        </is>
      </c>
      <c r="M251" s="134" t="inlineStr">
        <is>
          <t>https://plants.sc.egov.usda.gov/home/search?query=Kaempferia%20galanga | https://pubchem.ncbi.nlm.nih.gov/#query=kaempferol</t>
        </is>
      </c>
      <c r="N251" s="134" t="inlineStr">
        <is>
          <t>inferred_plus_trusted_gov</t>
        </is>
      </c>
      <c r="O251" s="134" t="inlineStr">
        <is>
          <t>scientific name; PubChem compound page (NIH); USDA Plants database</t>
        </is>
      </c>
      <c r="P251" s="134" t="n"/>
      <c r="Q251" s="134" t="inlineStr">
        <is>
          <t>st-johns-wort</t>
        </is>
      </c>
      <c r="R251" s="134" t="n">
        <v>1</v>
      </c>
      <c r="S251" s="134" t="inlineStr">
        <is>
          <t>Yes</t>
        </is>
      </c>
      <c r="T251" s="134" t="inlineStr">
        <is>
          <t>Integrated from cleaned high-signal dataset</t>
        </is>
      </c>
    </row>
    <row r="252" ht="26" customHeight="1" s="76">
      <c r="A252" s="134" t="inlineStr">
        <is>
          <t>kahweol</t>
        </is>
      </c>
      <c r="B252" s="134" t="inlineStr">
        <is>
          <t>kahweol</t>
        </is>
      </c>
      <c r="C252" s="134" t="n"/>
      <c r="D252" s="134" t="inlineStr">
        <is>
          <t>other</t>
        </is>
      </c>
      <c r="E252" s="134" t="inlineStr">
        <is>
          <t>Coffee's stimulant effects are driven primarily by caffeine, which acts as a nonselective adenosine receptor antagonist; chlorogenic acids and diterpenes contribute additional antioxidant and metabolic effects.</t>
        </is>
      </c>
      <c r="F252" s="134" t="inlineStr">
        <is>
          <t>adenosine receptor antagonism</t>
        </is>
      </c>
      <c r="G252" s="134" t="inlineStr">
        <is>
          <t>adenosine_antagonism</t>
        </is>
      </c>
      <c r="H252" s="134" t="inlineStr">
        <is>
          <t>moderate absorption; hepatic metabolism</t>
        </is>
      </c>
      <c r="I252" s="134" t="inlineStr">
        <is>
          <t>low</t>
        </is>
      </c>
      <c r="J252" s="134" t="inlineStr">
        <is>
          <t>no well-documented interactions</t>
        </is>
      </c>
      <c r="K252" s="134" t="n"/>
      <c r="L252" s="134" t="inlineStr">
        <is>
          <t>compound_level</t>
        </is>
      </c>
      <c r="M252" s="134" t="inlineStr">
        <is>
          <t>https://plants.sc.egov.usda.gov/home/search?query=coffee | https://pubchem.ncbi.nlm.nih.gov/#query=kahweol</t>
        </is>
      </c>
      <c r="N252" s="134" t="inlineStr">
        <is>
          <t>trusted_gov_added</t>
        </is>
      </c>
      <c r="O252" s="134" t="inlineStr">
        <is>
          <t>PubChem compound page (NIH); USDA Plants database</t>
        </is>
      </c>
      <c r="P252" s="134" t="n"/>
      <c r="Q252" s="134" t="inlineStr">
        <is>
          <t>coffee</t>
        </is>
      </c>
      <c r="R252" s="134" t="n">
        <v>1</v>
      </c>
      <c r="S252" s="134" t="inlineStr">
        <is>
          <t>Yes</t>
        </is>
      </c>
      <c r="T252" s="134" t="inlineStr">
        <is>
          <t>Integrated from cleaned high-signal dataset</t>
        </is>
      </c>
    </row>
    <row r="253" ht="26" customHeight="1" s="76">
      <c r="A253" s="134" t="inlineStr">
        <is>
          <t>kava kavalactones</t>
        </is>
      </c>
      <c r="B253" s="134" t="inlineStr">
        <is>
          <t>kava (kavalactones)</t>
        </is>
      </c>
      <c r="C253" s="134" t="n"/>
      <c r="D253" s="134" t="inlineStr">
        <is>
          <t>lactone</t>
        </is>
      </c>
      <c r="E253" s="134" t="inlineStr">
        <is>
          <t>Positive modulation of GABA-A receptors</t>
        </is>
      </c>
      <c r="F253" s="134" t="n"/>
      <c r="G253" s="134" t="inlineStr">
        <is>
          <t>GABA_A modulation</t>
        </is>
      </c>
      <c r="H253" s="134" t="n"/>
      <c r="I253" s="134" t="n"/>
      <c r="J253" s="134" t="inlineStr">
        <is>
          <t>Sedatives/alcohol (additive CNS depression)</t>
        </is>
      </c>
      <c r="K253" s="134" t="n"/>
      <c r="L253" s="134" t="inlineStr">
        <is>
          <t>Sprint6</t>
        </is>
      </c>
      <c r="M253" s="134" t="n"/>
      <c r="N253" s="134" t="n"/>
      <c r="O253" s="134" t="n"/>
      <c r="P253" s="134" t="inlineStr">
        <is>
          <t>precision_monographs_sprint6.xlsx</t>
        </is>
      </c>
      <c r="Q253" s="134" t="n"/>
      <c r="R253" s="134" t="n">
        <v>0</v>
      </c>
      <c r="S253" s="134" t="inlineStr">
        <is>
          <t>No</t>
        </is>
      </c>
      <c r="T253" s="134" t="inlineStr">
        <is>
          <t>Integrated from compound monograph workbook</t>
        </is>
      </c>
    </row>
    <row r="254" ht="26" customHeight="1" s="76">
      <c r="A254" s="134" t="inlineStr">
        <is>
          <t>kavain</t>
        </is>
      </c>
      <c r="B254" s="134" t="inlineStr">
        <is>
          <t>kavain</t>
        </is>
      </c>
      <c r="C254" s="134" t="n"/>
      <c r="D254" s="134" t="inlineStr">
        <is>
          <t>other</t>
        </is>
      </c>
      <c r="E254" s="134" t="inlineStr">
        <is>
          <t>Kavalactones modulate GABA_A receptor activity, inhibit voltage-gated sodium and calcium channels, and influence dopamine signaling.</t>
        </is>
      </c>
      <c r="F254" s="134" t="inlineStr">
        <is>
          <t>gaba_a_modulation; multi-target signaling modulation</t>
        </is>
      </c>
      <c r="G254" s="134" t="inlineStr">
        <is>
          <t>dopaminergic_modulation; gabaergic_modulation</t>
        </is>
      </c>
      <c r="H254" s="134" t="inlineStr">
        <is>
          <t>moderate absorption; hepatic metabolism</t>
        </is>
      </c>
      <c r="I254" s="134" t="inlineStr">
        <is>
          <t>low</t>
        </is>
      </c>
      <c r="J254" s="134" t="inlineStr">
        <is>
          <t>no well-documented interactions</t>
        </is>
      </c>
      <c r="K254" s="134" t="n"/>
      <c r="L254" s="134" t="inlineStr">
        <is>
          <t>compound_level</t>
        </is>
      </c>
      <c r="M254" s="134" t="inlineStr">
        <is>
          <t>https://plants.sc.egov.usda.gov/home/search?query=kava | https://plants.sc.egov.usda.gov/home/search?query=piper%20methysticum | https://pubchem.ncbi.nlm.nih.gov/#query=kavain</t>
        </is>
      </c>
      <c r="N254" s="134" t="inlineStr">
        <is>
          <t>trusted_gov_added</t>
        </is>
      </c>
      <c r="O254" s="134" t="inlineStr">
        <is>
          <t>PubChem compound page (NIH); USDA Plants database</t>
        </is>
      </c>
      <c r="P254" s="134" t="n"/>
      <c r="Q254" s="134" t="inlineStr">
        <is>
          <t>kava</t>
        </is>
      </c>
      <c r="R254" s="134" t="n">
        <v>1</v>
      </c>
      <c r="S254" s="134" t="inlineStr">
        <is>
          <t>Yes</t>
        </is>
      </c>
      <c r="T254" s="134" t="inlineStr">
        <is>
          <t>Integrated from cleaned high-signal dataset</t>
        </is>
      </c>
    </row>
    <row r="255" ht="26" customHeight="1" s="76">
      <c r="A255" s="134" t="inlineStr">
        <is>
          <t>kotalanol</t>
        </is>
      </c>
      <c r="B255" s="134" t="inlineStr">
        <is>
          <t>kotalanol</t>
        </is>
      </c>
      <c r="C255" s="134" t="n"/>
      <c r="D255" s="134" t="inlineStr">
        <is>
          <t>other</t>
        </is>
      </c>
      <c r="E255" s="134" t="inlineStr">
        <is>
          <t>insufficient evidence</t>
        </is>
      </c>
      <c r="F255" s="134" t="inlineStr">
        <is>
          <t>multi-target signaling modulation</t>
        </is>
      </c>
      <c r="G255" s="134" t="inlineStr">
        <is>
          <t>general or unknown targets</t>
        </is>
      </c>
      <c r="H255" s="134" t="inlineStr">
        <is>
          <t>Absorption and bioavailability vary; some compounds metabolized via cytochrome P450 enzymes.</t>
        </is>
      </c>
      <c r="I255" s="134" t="inlineStr">
        <is>
          <t>low</t>
        </is>
      </c>
      <c r="J255" s="134" t="inlineStr">
        <is>
          <t>no well-documented interactions</t>
        </is>
      </c>
      <c r="K255" s="134" t="n"/>
      <c r="L255" s="134" t="inlineStr">
        <is>
          <t>compound_level</t>
        </is>
      </c>
      <c r="M255" s="134" t="inlineStr">
        <is>
          <t>https://plants.sc.egov.usda.gov/home/search?query=Salacia%20reticulata | https://pubchem.ncbi.nlm.nih.gov/#query=kotalanol</t>
        </is>
      </c>
      <c r="N255" s="134" t="inlineStr">
        <is>
          <t>inferred_plus_trusted_gov</t>
        </is>
      </c>
      <c r="O255" s="134" t="inlineStr">
        <is>
          <t>scientific name; PubChem compound page (NIH); USDA Plants database</t>
        </is>
      </c>
      <c r="P255" s="134" t="n"/>
      <c r="Q255" s="134" t="inlineStr">
        <is>
          <t>salacia-reticulata</t>
        </is>
      </c>
      <c r="R255" s="134" t="n">
        <v>1</v>
      </c>
      <c r="S255" s="134" t="inlineStr">
        <is>
          <t>Yes</t>
        </is>
      </c>
      <c r="T255" s="134" t="inlineStr">
        <is>
          <t>Integrated from cleaned high-signal dataset</t>
        </is>
      </c>
    </row>
    <row r="256" ht="26" customHeight="1" s="76">
      <c r="A256" s="134" t="inlineStr">
        <is>
          <t>kurarinone</t>
        </is>
      </c>
      <c r="B256" s="134" t="inlineStr">
        <is>
          <t>kurarinone</t>
        </is>
      </c>
      <c r="C256" s="134" t="n"/>
      <c r="D256" s="134" t="inlineStr">
        <is>
          <t>other</t>
        </is>
      </c>
      <c r="E256" s="134" t="inlineStr">
        <is>
          <t>insufficient evidence</t>
        </is>
      </c>
      <c r="F256" s="134" t="inlineStr">
        <is>
          <t>multi-target signaling modulation</t>
        </is>
      </c>
      <c r="G256" s="134" t="inlineStr">
        <is>
          <t>general or unknown targets</t>
        </is>
      </c>
      <c r="H256" s="134" t="inlineStr">
        <is>
          <t>Absorption and bioavailability vary; some compounds metabolized via cytochrome P450 enzymes.</t>
        </is>
      </c>
      <c r="I256" s="134" t="inlineStr">
        <is>
          <t>low</t>
        </is>
      </c>
      <c r="J256" s="134" t="inlineStr">
        <is>
          <t>no well-documented interactions</t>
        </is>
      </c>
      <c r="K256" s="134" t="n"/>
      <c r="L256" s="134" t="inlineStr">
        <is>
          <t>compound_level</t>
        </is>
      </c>
      <c r="M256" s="134" t="inlineStr">
        <is>
          <t>https://plants.sc.egov.usda.gov/home/search?query=Sophora%20flavescens | https://pubchem.ncbi.nlm.nih.gov/#query=kurarinone</t>
        </is>
      </c>
      <c r="N256" s="134" t="inlineStr">
        <is>
          <t>inferred_plus_trusted_gov</t>
        </is>
      </c>
      <c r="O256" s="134" t="inlineStr">
        <is>
          <t>scientific name; PubChem compound page (NIH); USDA Plants database</t>
        </is>
      </c>
      <c r="P256" s="134" t="n"/>
      <c r="Q256" s="134" t="inlineStr">
        <is>
          <t>sophora-flavescens</t>
        </is>
      </c>
      <c r="R256" s="134" t="n">
        <v>1</v>
      </c>
      <c r="S256" s="134" t="inlineStr">
        <is>
          <t>Yes</t>
        </is>
      </c>
      <c r="T256" s="134" t="inlineStr">
        <is>
          <t>Integrated from cleaned high-signal dataset</t>
        </is>
      </c>
    </row>
    <row r="257" ht="26" customHeight="1" s="76">
      <c r="A257" s="134" t="inlineStr">
        <is>
          <t>kutkoside</t>
        </is>
      </c>
      <c r="B257" s="134" t="inlineStr">
        <is>
          <t>kutkoside</t>
        </is>
      </c>
      <c r="C257" s="134" t="n"/>
      <c r="D257" s="134" t="inlineStr">
        <is>
          <t>other</t>
        </is>
      </c>
      <c r="E257" s="134" t="inlineStr">
        <is>
          <t>insufficient evidence</t>
        </is>
      </c>
      <c r="F257" s="134" t="inlineStr">
        <is>
          <t>multi-target signaling modulation</t>
        </is>
      </c>
      <c r="G257" s="134" t="inlineStr">
        <is>
          <t>general or unknown targets</t>
        </is>
      </c>
      <c r="H257" s="134" t="inlineStr">
        <is>
          <t>Oral; immunomodulator and bile flow enhancer</t>
        </is>
      </c>
      <c r="I257" s="134" t="inlineStr">
        <is>
          <t>low</t>
        </is>
      </c>
      <c r="J257" s="134" t="inlineStr">
        <is>
          <t>no well-documented interactions</t>
        </is>
      </c>
      <c r="K257" s="134" t="n"/>
      <c r="L257" s="134" t="inlineStr">
        <is>
          <t>compound_level</t>
        </is>
      </c>
      <c r="M257" s="134" t="inlineStr">
        <is>
          <t>https://plants.sc.egov.usda.gov/home/search?query=Picrorhiza%20kurroa | https://pubchem.ncbi.nlm.nih.gov/#query=kutkoside</t>
        </is>
      </c>
      <c r="N257" s="134" t="inlineStr">
        <is>
          <t>inferred_plus_trusted_gov</t>
        </is>
      </c>
      <c r="O257" s="134" t="inlineStr">
        <is>
          <t>scientific name; PubChem compound page (NIH); USDA Plants database</t>
        </is>
      </c>
      <c r="P257" s="134" t="n"/>
      <c r="Q257" s="134" t="inlineStr">
        <is>
          <t>picrorhiza-kurroa</t>
        </is>
      </c>
      <c r="R257" s="134" t="n">
        <v>1</v>
      </c>
      <c r="S257" s="134" t="inlineStr">
        <is>
          <t>Yes</t>
        </is>
      </c>
      <c r="T257" s="134" t="inlineStr">
        <is>
          <t>Integrated from cleaned high-signal dataset</t>
        </is>
      </c>
    </row>
    <row r="258" ht="26" customHeight="1" s="76">
      <c r="A258" s="134" t="inlineStr">
        <is>
          <t>l-phenylalanine</t>
        </is>
      </c>
      <c r="B258" s="134" t="inlineStr">
        <is>
          <t>L-phenylalanine</t>
        </is>
      </c>
      <c r="C258" s="134" t="n"/>
      <c r="D258" s="134" t="inlineStr">
        <is>
          <t>essential amino acid</t>
        </is>
      </c>
      <c r="E258" s="134" t="inlineStr">
        <is>
          <t>Essential aromatic amino acid converted by phenylalanine hydroxylase to tyrosine, supporting catecholamine, thyroid-hormone, and melanin precursor biology.</t>
        </is>
      </c>
      <c r="F258" s="134" t="n"/>
      <c r="G258" s="134" t="inlineStr">
        <is>
          <t>Phenylalanine hydroxylase pathway; catecholamine precursor biology; tyrosine biosynthesis</t>
        </is>
      </c>
      <c r="H258" s="134" t="inlineStr">
        <is>
          <t>Absorbed via amino-acid transport systems and competes with other large neutral amino acids for transport.</t>
        </is>
      </c>
      <c r="I258" s="134" t="inlineStr">
        <is>
          <t>Avoid supplemental use in phenylketonuria (PKU); chronically elevated phenylalanine is neurotoxic in PKU.</t>
        </is>
      </c>
      <c r="J258" s="134" t="inlineStr">
        <is>
          <t>Levodopa (possible transport competition with large neutral amino acids); contraindicated in phenylketonuria due to impaired phenylalanine clearance.</t>
        </is>
      </c>
      <c r="K258" s="134" t="inlineStr">
        <is>
          <t>High</t>
        </is>
      </c>
      <c r="L258" s="134" t="inlineStr">
        <is>
          <t>mixed</t>
        </is>
      </c>
      <c r="M258" s="134" t="inlineStr">
        <is>
          <t>https://pmc.ncbi.nlm.nih.gov/articles/PMC2423317/ | https://pmc.ncbi.nlm.nih.gov/articles/PMC4881294/ | https://pubchem.ncbi.nlm.nih.gov/compound/Phenylalanine</t>
        </is>
      </c>
      <c r="N258" s="134" t="n"/>
      <c r="O258" s="134" t="n"/>
      <c r="P258" s="134" t="inlineStr">
        <is>
          <t>Batch11_neuroprecursors_2026-04-06</t>
        </is>
      </c>
      <c r="Q258" s="134" t="n"/>
      <c r="R258" s="134" t="n">
        <v>0</v>
      </c>
      <c r="S258" s="134" t="inlineStr">
        <is>
          <t>No</t>
        </is>
      </c>
      <c r="T258" s="134" t="inlineStr">
        <is>
          <t>Integrated from compound monograph workbook</t>
        </is>
      </c>
    </row>
    <row r="259" ht="26" customHeight="1" s="76">
      <c r="A259" s="134" t="inlineStr">
        <is>
          <t>l-theanine</t>
        </is>
      </c>
      <c r="B259" s="134" t="inlineStr">
        <is>
          <t>L-theanine</t>
        </is>
      </c>
      <c r="C259" s="134" t="n"/>
      <c r="D259" s="134" t="inlineStr">
        <is>
          <t>amino acid derivative</t>
        </is>
      </c>
      <c r="E259" s="134" t="inlineStr">
        <is>
          <t>Neuroactive amino acid associated with glutamatergic modulation and stress/anxiety-related effects; human data support some symptom reduction, but receptor-level mechanism remains less locked than melatonin.</t>
        </is>
      </c>
      <c r="F259" s="134" t="n"/>
      <c r="G259" s="134" t="inlineStr">
        <is>
          <t>Glutamatergic modulation; alpha-wave/stress-response modulation</t>
        </is>
      </c>
      <c r="H259" s="134" t="inlineStr">
        <is>
          <t>Orally absorbed; human PK data exist but are less standardized in supplement contexts than for drug compounds.</t>
        </is>
      </c>
      <c r="I259" s="134" t="inlineStr">
        <is>
          <t>Generally well tolerated in short-term studies. Do not overstate anxiolytic efficacy because randomized evidence is mixed across populations.</t>
        </is>
      </c>
      <c r="J259" s="134" t="inlineStr">
        <is>
          <t>Sedatives/CNS depressants (possible additive calming effects); antihypertensives (possible additive blood-pressure lowering, limited evidence)</t>
        </is>
      </c>
      <c r="K259" s="134" t="inlineStr">
        <is>
          <t>moderate</t>
        </is>
      </c>
      <c r="L259" s="134" t="inlineStr">
        <is>
          <t>Sprint4</t>
        </is>
      </c>
      <c r="M259" s="134" t="n"/>
      <c r="N259" s="134" t="n"/>
      <c r="O259" s="134" t="n"/>
      <c r="P259" s="134" t="inlineStr">
        <is>
          <t>precision_monographs_sprint4.xlsx</t>
        </is>
      </c>
      <c r="Q259" s="134" t="n"/>
      <c r="R259" s="134" t="n">
        <v>0</v>
      </c>
      <c r="S259" s="134" t="inlineStr">
        <is>
          <t>No</t>
        </is>
      </c>
      <c r="T259" s="134" t="inlineStr">
        <is>
          <t>Integrated from compound monograph workbook</t>
        </is>
      </c>
    </row>
    <row r="260" ht="26" customHeight="1" s="76">
      <c r="A260" s="134" t="inlineStr">
        <is>
          <t>l-tryptophan</t>
        </is>
      </c>
      <c r="B260" s="134" t="inlineStr">
        <is>
          <t>L-tryptophan</t>
        </is>
      </c>
      <c r="C260" s="134" t="n"/>
      <c r="D260" s="134" t="inlineStr">
        <is>
          <t>essential amino acid</t>
        </is>
      </c>
      <c r="E260" s="134" t="inlineStr">
        <is>
          <t>Essential aromatic amino acid serving as precursor for serotonin and melatonin biosynthesis and for the kynurenine pathway.</t>
        </is>
      </c>
      <c r="F260" s="134" t="n"/>
      <c r="G260" s="134" t="inlineStr">
        <is>
          <t>Tryptophan hydroxylase pathway; kynurenine pathway; serotonin biosynthesis</t>
        </is>
      </c>
      <c r="H260" s="134" t="inlineStr">
        <is>
          <t>Absorbed as a large neutral amino acid; competes with other LNAAs for transport and brain entry.</t>
        </is>
      </c>
      <c r="I260" s="134" t="inlineStr">
        <is>
          <t>Historical concern exists from eosinophilia-myalgia syndrome linked to contaminated tryptophan products; serotonergic adverse effects become more relevant with interacting drugs.</t>
        </is>
      </c>
      <c r="J260" s="134" t="inlineStr">
        <is>
          <t>SSRIs/SNRIs/MAOIs and other serotonergic agents (possible additive serotonin-toxicity risk); levodopa (possible large-neutral-amino-acid transport competition).</t>
        </is>
      </c>
      <c r="K260" s="134" t="inlineStr">
        <is>
          <t>Moderate</t>
        </is>
      </c>
      <c r="L260" s="134" t="inlineStr">
        <is>
          <t>mixed</t>
        </is>
      </c>
      <c r="M260" s="134" t="inlineStr">
        <is>
          <t>https://pmc.ncbi.nlm.nih.gov/articles/PMC4881294/ | https://pmc.ncbi.nlm.nih.gov/articles/PMC6184959/ | https://pubchem.ncbi.nlm.nih.gov/compound/L-Tryptophan | https://pubmed.ncbi.nlm.nih.gov/23077193/</t>
        </is>
      </c>
      <c r="N260" s="134" t="n"/>
      <c r="O260" s="134" t="n"/>
      <c r="P260" s="134" t="inlineStr">
        <is>
          <t>Batch11_neuroprecursors_2026-04-06</t>
        </is>
      </c>
      <c r="Q260" s="134" t="n"/>
      <c r="R260" s="134" t="n">
        <v>0</v>
      </c>
      <c r="S260" s="134" t="inlineStr">
        <is>
          <t>No</t>
        </is>
      </c>
      <c r="T260" s="134" t="inlineStr">
        <is>
          <t>Integrated from compound monograph workbook</t>
        </is>
      </c>
    </row>
    <row r="261" ht="26" customHeight="1" s="76">
      <c r="A261" s="134" t="inlineStr">
        <is>
          <t>l-tyrosine</t>
        </is>
      </c>
      <c r="B261" s="134" t="inlineStr">
        <is>
          <t>L-tyrosine</t>
        </is>
      </c>
      <c r="C261" s="134" t="n"/>
      <c r="D261" s="134" t="inlineStr">
        <is>
          <t>nonessential amino acid</t>
        </is>
      </c>
      <c r="E261" s="134" t="inlineStr">
        <is>
          <t>Substrate for tyrosine hydroxylase, the rate-limiting enzyme in catecholamine synthesis; also contributes to thyroid-hormone and melanin precursor biology.</t>
        </is>
      </c>
      <c r="F261" s="134" t="n"/>
      <c r="G261" s="134" t="inlineStr">
        <is>
          <t>Tyrosine hydroxylase pathway; catecholamine biosynthesis; melanin synthesis</t>
        </is>
      </c>
      <c r="H261" s="134" t="inlineStr">
        <is>
          <t>Absorbed as a large neutral amino acid and competes with other amino acids for transport; brain uptake is transport-limited.</t>
        </is>
      </c>
      <c r="I261" s="134" t="inlineStr">
        <is>
          <t>Generally well tolerated in ordinary doses, but overstating stimulant/catecholamine benefits is not justified by the source set reviewed here.</t>
        </is>
      </c>
      <c r="J261" s="134" t="inlineStr">
        <is>
          <t>Levodopa (possible transport competition with large neutral amino acids at gut/BBB); thyroid hormone co-use is a theoretical caution rather than a well-established DDI.</t>
        </is>
      </c>
      <c r="K261" s="134" t="inlineStr">
        <is>
          <t>High</t>
        </is>
      </c>
      <c r="L261" s="134" t="inlineStr">
        <is>
          <t>mixed</t>
        </is>
      </c>
      <c r="M261" s="134" t="inlineStr">
        <is>
          <t>https://pmc.ncbi.nlm.nih.gov/articles/PMC3065393/ | https://pmc.ncbi.nlm.nih.gov/articles/PMC4881294/ | https://pubchem.ncbi.nlm.nih.gov/compound/L-Tyrosine | https://pubchem.ncbi.nlm.nih.gov/pathway/PathBank%3ASMP0000006</t>
        </is>
      </c>
      <c r="N261" s="134" t="n"/>
      <c r="O261" s="134" t="n"/>
      <c r="P261" s="134" t="inlineStr">
        <is>
          <t>Batch11_neuroprecursors_2026-04-06</t>
        </is>
      </c>
      <c r="Q261" s="134" t="n"/>
      <c r="R261" s="134" t="n">
        <v>0</v>
      </c>
      <c r="S261" s="134" t="inlineStr">
        <is>
          <t>No</t>
        </is>
      </c>
      <c r="T261" s="134" t="inlineStr">
        <is>
          <t>Integrated from compound monograph workbook</t>
        </is>
      </c>
    </row>
    <row r="262" ht="26" customHeight="1" s="76">
      <c r="A262" s="134" t="inlineStr">
        <is>
          <t>lactucin</t>
        </is>
      </c>
      <c r="B262" s="134" t="inlineStr">
        <is>
          <t>lactucin</t>
        </is>
      </c>
      <c r="C262" s="134" t="n"/>
      <c r="D262" s="134" t="inlineStr">
        <is>
          <t>Lactucin, lactucopicrin, sesquiterpene lactones</t>
        </is>
      </c>
      <c r="E262" s="134" t="inlineStr">
        <is>
          <t>insufficient evidence</t>
        </is>
      </c>
      <c r="F262" s="134" t="inlineStr">
        <is>
          <t>multi-target signaling modulation</t>
        </is>
      </c>
      <c r="G262" s="134" t="inlineStr">
        <is>
          <t>general or unknown targets</t>
        </is>
      </c>
      <c r="H262" s="134" t="inlineStr">
        <is>
          <t>Oral; hypnotic and pain relief</t>
        </is>
      </c>
      <c r="I262" s="134" t="inlineStr">
        <is>
          <t>low</t>
        </is>
      </c>
      <c r="J262" s="134" t="inlineStr">
        <is>
          <t>no well-documented interactions</t>
        </is>
      </c>
      <c r="K262" s="134" t="n"/>
      <c r="L262" s="134" t="inlineStr">
        <is>
          <t>compound_level</t>
        </is>
      </c>
      <c r="M262" s="134" t="inlineStr">
        <is>
          <t>https://plants.sc.egov.usda.gov/home/search?query=Lactuca%20virosa | https://pubchem.ncbi.nlm.nih.gov/#query=lactucin</t>
        </is>
      </c>
      <c r="N262" s="134" t="inlineStr">
        <is>
          <t>inferred_plus_trusted_gov</t>
        </is>
      </c>
      <c r="O262" s="134" t="inlineStr">
        <is>
          <t>scientific name; PubChem compound page (NIH); USDA Plants database</t>
        </is>
      </c>
      <c r="P262" s="134" t="n"/>
      <c r="Q262" s="134" t="inlineStr">
        <is>
          <t>lactuca-virosa</t>
        </is>
      </c>
      <c r="R262" s="134" t="n">
        <v>1</v>
      </c>
      <c r="S262" s="134" t="inlineStr">
        <is>
          <t>Yes</t>
        </is>
      </c>
      <c r="T262" s="134" t="inlineStr">
        <is>
          <t>Integrated from cleaned high-signal dataset</t>
        </is>
      </c>
    </row>
    <row r="263" ht="26" customHeight="1" s="76">
      <c r="A263" s="134" t="inlineStr">
        <is>
          <t>lactucopicrin</t>
        </is>
      </c>
      <c r="B263" s="134" t="inlineStr">
        <is>
          <t>lactucopicrin</t>
        </is>
      </c>
      <c r="C263" s="134" t="n"/>
      <c r="D263" s="134" t="inlineStr">
        <is>
          <t>Lactucin, lactucopicrin, sesquiterpene lactones</t>
        </is>
      </c>
      <c r="E263" s="134" t="inlineStr">
        <is>
          <t>insufficient evidence</t>
        </is>
      </c>
      <c r="F263" s="134" t="inlineStr">
        <is>
          <t>multi-target signaling modulation</t>
        </is>
      </c>
      <c r="G263" s="134" t="inlineStr">
        <is>
          <t>general or unknown targets</t>
        </is>
      </c>
      <c r="H263" s="134" t="inlineStr">
        <is>
          <t>Oral; hypnotic and pain relief</t>
        </is>
      </c>
      <c r="I263" s="134" t="inlineStr">
        <is>
          <t>low</t>
        </is>
      </c>
      <c r="J263" s="134" t="inlineStr">
        <is>
          <t>no well-documented interactions</t>
        </is>
      </c>
      <c r="K263" s="134" t="n"/>
      <c r="L263" s="134" t="inlineStr">
        <is>
          <t>compound_level</t>
        </is>
      </c>
      <c r="M263" s="134" t="inlineStr">
        <is>
          <t>https://plants.sc.egov.usda.gov/home/search?query=Lactuca%20virosa | https://pubchem.ncbi.nlm.nih.gov/#query=lactucopicrin</t>
        </is>
      </c>
      <c r="N263" s="134" t="inlineStr">
        <is>
          <t>inferred_plus_trusted_gov</t>
        </is>
      </c>
      <c r="O263" s="134" t="inlineStr">
        <is>
          <t>scientific name; PubChem compound page (NIH); USDA Plants database</t>
        </is>
      </c>
      <c r="P263" s="134" t="n"/>
      <c r="Q263" s="134" t="inlineStr">
        <is>
          <t>lactuca-virosa</t>
        </is>
      </c>
      <c r="R263" s="134" t="n">
        <v>1</v>
      </c>
      <c r="S263" s="134" t="inlineStr">
        <is>
          <t>Yes</t>
        </is>
      </c>
      <c r="T263" s="134" t="inlineStr">
        <is>
          <t>Integrated from cleaned high-signal dataset</t>
        </is>
      </c>
    </row>
    <row r="264" ht="26" customHeight="1" s="76">
      <c r="A264" s="134" t="inlineStr">
        <is>
          <t>lapachol</t>
        </is>
      </c>
      <c r="B264" s="134" t="inlineStr">
        <is>
          <t>lapachol</t>
        </is>
      </c>
      <c r="C264" s="134" t="n"/>
      <c r="D264" s="134" t="inlineStr">
        <is>
          <t>other</t>
        </is>
      </c>
      <c r="E264" s="134" t="inlineStr">
        <is>
          <t>insufficient evidence</t>
        </is>
      </c>
      <c r="F264" s="134" t="inlineStr">
        <is>
          <t>multi-target signaling modulation</t>
        </is>
      </c>
      <c r="G264" s="134" t="inlineStr">
        <is>
          <t>general or unknown targets</t>
        </is>
      </c>
      <c r="H264" s="134" t="inlineStr">
        <is>
          <t>Absorption and bioavailability vary; some compounds metabolized via cytochrome P450 enzymes.</t>
        </is>
      </c>
      <c r="I264" s="134" t="inlineStr">
        <is>
          <t>low</t>
        </is>
      </c>
      <c r="J264" s="134" t="inlineStr">
        <is>
          <t>no well-documented interactions</t>
        </is>
      </c>
      <c r="K264" s="134" t="n"/>
      <c r="L264" s="134" t="inlineStr">
        <is>
          <t>compound_level</t>
        </is>
      </c>
      <c r="M264" s="134" t="inlineStr">
        <is>
          <t>https://plants.sc.egov.usda.gov/home/search?query=Tabebuia%20impetiginosa | https://pubchem.ncbi.nlm.nih.gov/#query=lapachol</t>
        </is>
      </c>
      <c r="N264" s="134" t="inlineStr">
        <is>
          <t>inferred_plus_trusted_gov</t>
        </is>
      </c>
      <c r="O264" s="134" t="inlineStr">
        <is>
          <t>scientific name; PubChem compound page (NIH); USDA Plants database</t>
        </is>
      </c>
      <c r="P264" s="134" t="n"/>
      <c r="Q264" s="134" t="inlineStr">
        <is>
          <t>tabebuia-impetiginosa</t>
        </is>
      </c>
      <c r="R264" s="134" t="n">
        <v>1</v>
      </c>
      <c r="S264" s="134" t="inlineStr">
        <is>
          <t>Yes</t>
        </is>
      </c>
      <c r="T264" s="134" t="inlineStr">
        <is>
          <t>Integrated from cleaned high-signal dataset</t>
        </is>
      </c>
    </row>
    <row r="265" ht="26" customHeight="1" s="76">
      <c r="A265" s="134" t="inlineStr">
        <is>
          <t>ledol</t>
        </is>
      </c>
      <c r="B265" s="134" t="inlineStr">
        <is>
          <t>ledol</t>
        </is>
      </c>
      <c r="C265" s="134" t="n"/>
      <c r="D265" s="134" t="inlineStr">
        <is>
          <t>essential oils</t>
        </is>
      </c>
      <c r="E265" s="134" t="inlineStr">
        <is>
          <t>insufficient evidence</t>
        </is>
      </c>
      <c r="F265" s="134" t="inlineStr">
        <is>
          <t>multi-target signaling modulation</t>
        </is>
      </c>
      <c r="G265" s="134" t="inlineStr">
        <is>
          <t>general or unknown targets</t>
        </is>
      </c>
      <c r="H265" s="134" t="inlineStr">
        <is>
          <t>Absorption and bioavailability vary; some compounds metabolized via cytochrome P450 enzymes.</t>
        </is>
      </c>
      <c r="I265" s="134" t="inlineStr">
        <is>
          <t>low</t>
        </is>
      </c>
      <c r="J265" s="134" t="inlineStr">
        <is>
          <t>no well-documented interactions</t>
        </is>
      </c>
      <c r="K265" s="134" t="n"/>
      <c r="L265" s="134" t="inlineStr">
        <is>
          <t>compound_level</t>
        </is>
      </c>
      <c r="M265" s="134" t="inlineStr">
        <is>
          <t>https://plants.sc.egov.usda.gov/home/search?query=Rhododendron%20tomentosum | https://pubchem.ncbi.nlm.nih.gov/#query=ledol</t>
        </is>
      </c>
      <c r="N265" s="134" t="inlineStr">
        <is>
          <t>inferred_plus_trusted_gov</t>
        </is>
      </c>
      <c r="O265" s="134" t="inlineStr">
        <is>
          <t>scientific name; PubChem compound page (NIH); USDA Plants database</t>
        </is>
      </c>
      <c r="P265" s="134" t="n"/>
      <c r="Q265" s="134" t="inlineStr">
        <is>
          <t>rhododendron-tomentosum</t>
        </is>
      </c>
      <c r="R265" s="134" t="n">
        <v>1</v>
      </c>
      <c r="S265" s="134" t="inlineStr">
        <is>
          <t>Yes</t>
        </is>
      </c>
      <c r="T265" s="134" t="inlineStr">
        <is>
          <t>Integrated from cleaned high-signal dataset</t>
        </is>
      </c>
    </row>
    <row r="266" ht="26" customHeight="1" s="76">
      <c r="A266" s="134" t="inlineStr">
        <is>
          <t>leonurine</t>
        </is>
      </c>
      <c r="B266" s="134" t="inlineStr">
        <is>
          <t>leonurine</t>
        </is>
      </c>
      <c r="C266" s="134" t="n"/>
      <c r="D266" s="134" t="inlineStr">
        <is>
          <t>other</t>
        </is>
      </c>
      <c r="E266" s="134" t="inlineStr">
        <is>
          <t>insufficient evidence</t>
        </is>
      </c>
      <c r="F266" s="134" t="inlineStr">
        <is>
          <t>multi-target signaling modulation</t>
        </is>
      </c>
      <c r="G266" s="134" t="inlineStr">
        <is>
          <t>general or unknown targets</t>
        </is>
      </c>
      <c r="H266" s="134" t="inlineStr">
        <is>
          <t>Oral; uterine and cardiotonic</t>
        </is>
      </c>
      <c r="I266" s="134" t="inlineStr">
        <is>
          <t>low</t>
        </is>
      </c>
      <c r="J266" s="134" t="inlineStr">
        <is>
          <t>no well-documented interactions</t>
        </is>
      </c>
      <c r="K266" s="134" t="n"/>
      <c r="L266" s="134" t="inlineStr">
        <is>
          <t>compound_level</t>
        </is>
      </c>
      <c r="M266" s="134" t="inlineStr">
        <is>
          <t>https://plants.sc.egov.usda.gov/home/search?query=Leonurus%20cardiaca | https://plants.sc.egov.usda.gov/home/search?query=Leonurus%20japonicus | https://pubchem.ncbi.nlm.nih.gov/#query=leonurine</t>
        </is>
      </c>
      <c r="N266" s="134" t="inlineStr">
        <is>
          <t>inferred_plus_trusted_gov</t>
        </is>
      </c>
      <c r="O266" s="134" t="inlineStr">
        <is>
          <t>scientific name; PubChem compound page (NIH); USDA Plants database</t>
        </is>
      </c>
      <c r="P266" s="134" t="n"/>
      <c r="Q266" s="134" t="inlineStr">
        <is>
          <t>leonurus-cardiaca; leonurus-japonicus</t>
        </is>
      </c>
      <c r="R266" s="134" t="n">
        <v>2</v>
      </c>
      <c r="S266" s="134" t="inlineStr">
        <is>
          <t>Yes</t>
        </is>
      </c>
      <c r="T266" s="134" t="inlineStr">
        <is>
          <t>Integrated from cleaned high-signal dataset</t>
        </is>
      </c>
    </row>
    <row r="267" ht="26" customHeight="1" s="76">
      <c r="A267" s="134" t="inlineStr">
        <is>
          <t>ligustilide</t>
        </is>
      </c>
      <c r="B267" s="134" t="inlineStr">
        <is>
          <t>ligustilide</t>
        </is>
      </c>
      <c r="C267" s="134" t="n"/>
      <c r="D267" s="134" t="inlineStr">
        <is>
          <t>Ferulic acid, ligustilide, polysaccharides</t>
        </is>
      </c>
      <c r="E267" s="134" t="inlineStr">
        <is>
          <t>insufficient evidence</t>
        </is>
      </c>
      <c r="F267" s="134" t="inlineStr">
        <is>
          <t>multi-target signaling modulation</t>
        </is>
      </c>
      <c r="G267" s="134" t="inlineStr">
        <is>
          <t>general or unknown targets</t>
        </is>
      </c>
      <c r="H267" s="134" t="inlineStr">
        <is>
          <t>Oral; blood tonic and smooth muscle modulation</t>
        </is>
      </c>
      <c r="I267" s="134" t="inlineStr">
        <is>
          <t>low</t>
        </is>
      </c>
      <c r="J267" s="134" t="inlineStr">
        <is>
          <t>no well-documented interactions</t>
        </is>
      </c>
      <c r="K267" s="134" t="n"/>
      <c r="L267" s="134" t="inlineStr">
        <is>
          <t>compound_level</t>
        </is>
      </c>
      <c r="M267" s="134" t="inlineStr">
        <is>
          <t>https://plants.sc.egov.usda.gov/home/search?query=Angelica%20sinensis | https://plants.sc.egov.usda.gov/home/search?query=Ligusticum%20chuanxiong | https://pubchem.ncbi.nlm.nih.gov/#query=ligustilide</t>
        </is>
      </c>
      <c r="N267" s="134" t="inlineStr">
        <is>
          <t>inferred_plus_trusted_gov</t>
        </is>
      </c>
      <c r="O267" s="134" t="inlineStr">
        <is>
          <t>scientific name; PubChem compound page (NIH); USDA Plants database</t>
        </is>
      </c>
      <c r="P267" s="134" t="n"/>
      <c r="Q267" s="134" t="inlineStr">
        <is>
          <t>angelica-sinensis; ligusticum-chuanxiong</t>
        </is>
      </c>
      <c r="R267" s="134" t="n">
        <v>2</v>
      </c>
      <c r="S267" s="134" t="inlineStr">
        <is>
          <t>Yes</t>
        </is>
      </c>
      <c r="T267" s="134" t="inlineStr">
        <is>
          <t>Integrated from cleaned high-signal dataset</t>
        </is>
      </c>
    </row>
    <row r="268" ht="26" customHeight="1" s="76">
      <c r="A268" s="134" t="inlineStr">
        <is>
          <t>limonene</t>
        </is>
      </c>
      <c r="B268" s="134" t="inlineStr">
        <is>
          <t>limonene</t>
        </is>
      </c>
      <c r="C268" s="134" t="n"/>
      <c r="D268" s="134" t="inlineStr">
        <is>
          <t>terpene</t>
        </is>
      </c>
      <c r="E268" s="134" t="inlineStr">
        <is>
          <t>THC acts at CB1 receptors; terpenes may modulate neurotransmitter systems and pharmacokinetics.</t>
        </is>
      </c>
      <c r="F268" s="134" t="inlineStr">
        <is>
          <t>multi-target signaling modulation</t>
        </is>
      </c>
      <c r="G268" s="134" t="inlineStr">
        <is>
          <t>endocannabinoid_modulation; general or unknown targets</t>
        </is>
      </c>
      <c r="H268" s="134" t="inlineStr">
        <is>
          <t>Absorption and bioavailability vary; some compounds metabolized via cytochrome P450 enzymes.</t>
        </is>
      </c>
      <c r="I268" s="134" t="inlineStr">
        <is>
          <t>low</t>
        </is>
      </c>
      <c r="J268" s="134" t="inlineStr">
        <is>
          <t>no well-documented interactions</t>
        </is>
      </c>
      <c r="K268" s="134" t="n"/>
      <c r="L268" s="134" t="inlineStr">
        <is>
          <t>compound_level</t>
        </is>
      </c>
      <c r="M268" s="134" t="inlineStr">
        <is>
          <t>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t>
        </is>
      </c>
      <c r="N268" s="134" t="inlineStr">
        <is>
          <t>inferred_plus_trusted_gov; trusted_gov_added</t>
        </is>
      </c>
      <c r="O268" s="134" t="inlineStr">
        <is>
          <t>PubChem compound page (NIH); USDA Plants database; scientific name; PubChem compound page (NIH); USDA Plants database</t>
        </is>
      </c>
      <c r="P268" s="134" t="n"/>
      <c r="Q268" s="134" t="inlineStr">
        <is>
          <t>peppermint</t>
        </is>
      </c>
      <c r="R268" s="134" t="n">
        <v>1</v>
      </c>
      <c r="S268" s="134" t="inlineStr">
        <is>
          <t>Yes</t>
        </is>
      </c>
      <c r="T268" s="134" t="inlineStr">
        <is>
          <t>Integrated from cleaned high-signal dataset</t>
        </is>
      </c>
    </row>
    <row r="269" ht="26" customHeight="1" s="76">
      <c r="A269" s="134" t="inlineStr">
        <is>
          <t>linalool</t>
        </is>
      </c>
      <c r="B269" s="134" t="inlineStr">
        <is>
          <t>linalool</t>
        </is>
      </c>
      <c r="C269" s="134" t="n"/>
      <c r="D269" s="134" t="inlineStr">
        <is>
          <t>other</t>
        </is>
      </c>
      <c r="E269" s="134" t="inlineStr">
        <is>
          <t>insufficient evidence</t>
        </is>
      </c>
      <c r="F269" s="134" t="inlineStr">
        <is>
          <t>gaba_a_modulation</t>
        </is>
      </c>
      <c r="G269" s="134" t="inlineStr">
        <is>
          <t>gabaergic_modulation</t>
        </is>
      </c>
      <c r="H269" s="134" t="inlineStr">
        <is>
          <t>Oral or aromatic; onset ~20–40 min; duration 2–4 hours.</t>
        </is>
      </c>
      <c r="I269" s="134" t="inlineStr">
        <is>
          <t>low</t>
        </is>
      </c>
      <c r="J269" s="134" t="inlineStr">
        <is>
          <t>sedatives, antidepressants.</t>
        </is>
      </c>
      <c r="K269" s="134" t="n"/>
      <c r="L269" s="134" t="inlineStr">
        <is>
          <t>compound_level</t>
        </is>
      </c>
      <c r="M269" s="134" t="inlineStr">
        <is>
          <t>https://plants.sc.egov.usda.gov/home/search?query=Lavandula%20angustifolia | https://pubchem.ncbi.nlm.nih.gov/#query=linalool</t>
        </is>
      </c>
      <c r="N269" s="134" t="inlineStr">
        <is>
          <t>inferred_plus_trusted_gov</t>
        </is>
      </c>
      <c r="O269" s="134" t="inlineStr">
        <is>
          <t>scientific name; PubChem compound page (NIH); USDA Plants database</t>
        </is>
      </c>
      <c r="P269" s="134" t="n"/>
      <c r="Q269" s="134" t="inlineStr">
        <is>
          <t>lemon-balm</t>
        </is>
      </c>
      <c r="R269" s="134" t="n">
        <v>1</v>
      </c>
      <c r="S269" s="134" t="inlineStr">
        <is>
          <t>Yes</t>
        </is>
      </c>
      <c r="T269" s="134" t="inlineStr">
        <is>
          <t>Integrated from cleaned high-signal dataset</t>
        </is>
      </c>
    </row>
    <row r="270" ht="26" customHeight="1" s="76">
      <c r="A270" s="134" t="inlineStr">
        <is>
          <t>linalyl acetate</t>
        </is>
      </c>
      <c r="B270" s="134" t="inlineStr">
        <is>
          <t>linalyl acetate</t>
        </is>
      </c>
      <c r="C270" s="134" t="n"/>
      <c r="D270" s="134" t="inlineStr">
        <is>
          <t>other</t>
        </is>
      </c>
      <c r="E270" s="134" t="inlineStr">
        <is>
          <t>insufficient evidence</t>
        </is>
      </c>
      <c r="F270" s="134" t="inlineStr">
        <is>
          <t>gaba_a_modulation</t>
        </is>
      </c>
      <c r="G270" s="134" t="inlineStr">
        <is>
          <t>gabaergic_modulation</t>
        </is>
      </c>
      <c r="H270" s="134" t="inlineStr">
        <is>
          <t>Oral or aromatic; onset ~20–40 min; duration 2–4 hours.</t>
        </is>
      </c>
      <c r="I270" s="134" t="inlineStr">
        <is>
          <t>low</t>
        </is>
      </c>
      <c r="J270" s="134" t="inlineStr">
        <is>
          <t>sedatives, antidepressants.</t>
        </is>
      </c>
      <c r="K270" s="134" t="n"/>
      <c r="L270" s="134" t="inlineStr">
        <is>
          <t>compound_level</t>
        </is>
      </c>
      <c r="M270" s="134" t="inlineStr">
        <is>
          <t>https://plants.sc.egov.usda.gov/home/search?query=Lavandula%20angustifolia | https://pubchem.ncbi.nlm.nih.gov/#query=linalyl%20acetate</t>
        </is>
      </c>
      <c r="N270" s="134" t="inlineStr">
        <is>
          <t>inferred_plus_trusted_gov</t>
        </is>
      </c>
      <c r="O270" s="134" t="inlineStr">
        <is>
          <t>scientific name; PubChem compound page (NIH); USDA Plants database</t>
        </is>
      </c>
      <c r="P270" s="134" t="n"/>
      <c r="Q270" s="134" t="inlineStr">
        <is>
          <t>lavender</t>
        </is>
      </c>
      <c r="R270" s="134" t="n">
        <v>1</v>
      </c>
      <c r="S270" s="134" t="inlineStr">
        <is>
          <t>Yes</t>
        </is>
      </c>
      <c r="T270" s="134" t="inlineStr">
        <is>
          <t>Integrated from cleaned high-signal dataset</t>
        </is>
      </c>
    </row>
    <row r="271" ht="26" customHeight="1" s="76">
      <c r="A271" s="134" t="inlineStr">
        <is>
          <t>linoleic acid</t>
        </is>
      </c>
      <c r="B271" s="134" t="inlineStr">
        <is>
          <t>linoleic acid</t>
        </is>
      </c>
      <c r="C271" s="134" t="n"/>
      <c r="D271" s="134" t="inlineStr">
        <is>
          <t>organic acid</t>
        </is>
      </c>
      <c r="E271" s="134" t="inlineStr">
        <is>
          <t>insufficient evidence</t>
        </is>
      </c>
      <c r="F271" s="134" t="inlineStr">
        <is>
          <t>multi-target signaling modulation</t>
        </is>
      </c>
      <c r="G271" s="134" t="inlineStr">
        <is>
          <t>general or unknown targets</t>
        </is>
      </c>
      <c r="H271" s="134" t="inlineStr">
        <is>
          <t>Absorption and bioavailability vary; some compounds metabolized via cytochrome P450 enzymes.</t>
        </is>
      </c>
      <c r="I271" s="134" t="inlineStr">
        <is>
          <t>low</t>
        </is>
      </c>
      <c r="J271" s="134" t="inlineStr">
        <is>
          <t>no well-documented interactions</t>
        </is>
      </c>
      <c r="K271" s="134" t="n"/>
      <c r="L271" s="134" t="inlineStr">
        <is>
          <t>compound_level</t>
        </is>
      </c>
      <c r="M271" s="134" t="inlineStr">
        <is>
          <t>https://plants.sc.egov.usda.gov/home/search?query=Oenothera%20biennis | https://pubchem.ncbi.nlm.nih.gov/#query=linoleic%20acid</t>
        </is>
      </c>
      <c r="N271" s="134" t="inlineStr">
        <is>
          <t>inferred_plus_trusted_gov</t>
        </is>
      </c>
      <c r="O271" s="134" t="inlineStr">
        <is>
          <t>scientific name; PubChem compound page (NIH); USDA Plants database</t>
        </is>
      </c>
      <c r="P271" s="134" t="n"/>
      <c r="Q271" s="134" t="inlineStr">
        <is>
          <t>oenothera-biennis</t>
        </is>
      </c>
      <c r="R271" s="134" t="n">
        <v>1</v>
      </c>
      <c r="S271" s="134" t="inlineStr">
        <is>
          <t>Yes</t>
        </is>
      </c>
      <c r="T271" s="134" t="inlineStr">
        <is>
          <t>Integrated from cleaned high-signal dataset</t>
        </is>
      </c>
    </row>
    <row r="272" ht="26" customHeight="1" s="76">
      <c r="A272" s="134" t="inlineStr">
        <is>
          <t>lithospermic acid</t>
        </is>
      </c>
      <c r="B272" s="134" t="inlineStr">
        <is>
          <t>lithospermic acid</t>
        </is>
      </c>
      <c r="C272" s="134" t="n"/>
      <c r="D272" s="134" t="inlineStr">
        <is>
          <t>Lithospermic acid, polyphenols, flavonoids</t>
        </is>
      </c>
      <c r="E272" s="134" t="inlineStr">
        <is>
          <t>insufficient evidence</t>
        </is>
      </c>
      <c r="F272" s="134" t="inlineStr">
        <is>
          <t>multi-target signaling modulation</t>
        </is>
      </c>
      <c r="G272" s="134" t="inlineStr">
        <is>
          <t>general or unknown targets</t>
        </is>
      </c>
      <c r="H272" s="134" t="inlineStr">
        <is>
          <t>Oral; vasoconstrictive and nervine</t>
        </is>
      </c>
      <c r="I272" s="134" t="inlineStr">
        <is>
          <t>low</t>
        </is>
      </c>
      <c r="J272" s="134" t="inlineStr">
        <is>
          <t>no well-documented interactions</t>
        </is>
      </c>
      <c r="K272" s="134" t="n"/>
      <c r="L272" s="134" t="inlineStr">
        <is>
          <t>compound_level</t>
        </is>
      </c>
      <c r="M272" s="134" t="inlineStr">
        <is>
          <t>https://plants.sc.egov.usda.gov/home/search?query=Lycopus%20virginicus | https://pubchem.ncbi.nlm.nih.gov/#query=lithospermic%20acid</t>
        </is>
      </c>
      <c r="N272" s="134" t="inlineStr">
        <is>
          <t>inferred_plus_trusted_gov</t>
        </is>
      </c>
      <c r="O272" s="134" t="inlineStr">
        <is>
          <t>scientific name; PubChem compound page (NIH); USDA Plants database</t>
        </is>
      </c>
      <c r="P272" s="134" t="n"/>
      <c r="Q272" s="134" t="inlineStr">
        <is>
          <t>lycopus-virginicus</t>
        </is>
      </c>
      <c r="R272" s="134" t="n">
        <v>1</v>
      </c>
      <c r="S272" s="134" t="inlineStr">
        <is>
          <t>Yes</t>
        </is>
      </c>
      <c r="T272" s="134" t="inlineStr">
        <is>
          <t>Integrated from cleaned high-signal dataset</t>
        </is>
      </c>
    </row>
    <row r="273" ht="26" customHeight="1" s="76">
      <c r="A273" s="134" t="inlineStr">
        <is>
          <t>lobelanidine</t>
        </is>
      </c>
      <c r="B273" s="134" t="inlineStr">
        <is>
          <t>lobelanidine</t>
        </is>
      </c>
      <c r="C273" s="134" t="n"/>
      <c r="D273" s="134" t="inlineStr">
        <is>
          <t>other</t>
        </is>
      </c>
      <c r="E273" s="134" t="inlineStr">
        <is>
          <t>Lobeline acts as a partial agonist at nicotinic acetylcholine receptors and modulates dopamine release.</t>
        </is>
      </c>
      <c r="F273" s="134" t="inlineStr">
        <is>
          <t>muscarinic receptor interaction</t>
        </is>
      </c>
      <c r="G273" s="134" t="inlineStr">
        <is>
          <t>cholinergic_modulation; dopaminergic_modulation</t>
        </is>
      </c>
      <c r="H273" s="134" t="inlineStr">
        <is>
          <t>rapid systemic absorption; crosses BBB; hepatic metabolism</t>
        </is>
      </c>
      <c r="I273" s="134" t="inlineStr">
        <is>
          <t>low</t>
        </is>
      </c>
      <c r="J273" s="134" t="inlineStr">
        <is>
          <t>no well-documented interactions</t>
        </is>
      </c>
      <c r="K273" s="134" t="n"/>
      <c r="L273" s="134" t="inlineStr">
        <is>
          <t>compound_level</t>
        </is>
      </c>
      <c r="M273" s="134" t="inlineStr">
        <is>
          <t>https://plants.sc.egov.usda.gov/home/search?query=lobelia%20inflata | https://pubchem.ncbi.nlm.nih.gov/#query=lobelanidine</t>
        </is>
      </c>
      <c r="N273" s="134" t="inlineStr">
        <is>
          <t>trusted_gov_added</t>
        </is>
      </c>
      <c r="O273" s="134" t="inlineStr">
        <is>
          <t>PubChem compound page (NIH); USDA Plants database</t>
        </is>
      </c>
      <c r="P273" s="134" t="n"/>
      <c r="Q273" s="134" t="inlineStr">
        <is>
          <t>lobelia-inflata</t>
        </is>
      </c>
      <c r="R273" s="134" t="n">
        <v>1</v>
      </c>
      <c r="S273" s="134" t="inlineStr">
        <is>
          <t>Yes</t>
        </is>
      </c>
      <c r="T273" s="134" t="inlineStr">
        <is>
          <t>Integrated from cleaned high-signal dataset</t>
        </is>
      </c>
    </row>
    <row r="274" ht="26" customHeight="1" s="76">
      <c r="A274" s="134" t="inlineStr">
        <is>
          <t>lobeline</t>
        </is>
      </c>
      <c r="B274" s="134" t="inlineStr">
        <is>
          <t>lobeline</t>
        </is>
      </c>
      <c r="C274" s="134" t="n"/>
      <c r="D274" s="134" t="inlineStr">
        <is>
          <t>other</t>
        </is>
      </c>
      <c r="E274" s="134" t="inlineStr">
        <is>
          <t>Lobeline acts as a partial agonist at nicotinic acetylcholine receptors and modulates dopamine release.</t>
        </is>
      </c>
      <c r="F274" s="134" t="inlineStr">
        <is>
          <t>muscarinic receptor interaction</t>
        </is>
      </c>
      <c r="G274" s="134" t="inlineStr">
        <is>
          <t>cholinergic_modulation; dopaminergic_modulation</t>
        </is>
      </c>
      <c r="H274" s="134" t="inlineStr">
        <is>
          <t>rapid systemic absorption; crosses BBB; hepatic metabolism</t>
        </is>
      </c>
      <c r="I274" s="134" t="inlineStr">
        <is>
          <t>low</t>
        </is>
      </c>
      <c r="J274" s="134" t="inlineStr">
        <is>
          <t>no well-documented interactions</t>
        </is>
      </c>
      <c r="K274" s="134" t="n"/>
      <c r="L274" s="134" t="inlineStr">
        <is>
          <t>compound_level</t>
        </is>
      </c>
      <c r="M274" s="134" t="inlineStr">
        <is>
          <t>https://plants.sc.egov.usda.gov/home/search?query=lobelia%20inflata | https://pubchem.ncbi.nlm.nih.gov/#query=lobeline</t>
        </is>
      </c>
      <c r="N274" s="134" t="inlineStr">
        <is>
          <t>trusted_gov_added</t>
        </is>
      </c>
      <c r="O274" s="134" t="inlineStr">
        <is>
          <t>PubChem compound page (NIH); USDA Plants database</t>
        </is>
      </c>
      <c r="P274" s="134" t="n"/>
      <c r="Q274" s="134" t="inlineStr">
        <is>
          <t>lobelia-inflata</t>
        </is>
      </c>
      <c r="R274" s="134" t="n">
        <v>1</v>
      </c>
      <c r="S274" s="134" t="inlineStr">
        <is>
          <t>Yes</t>
        </is>
      </c>
      <c r="T274" s="134" t="inlineStr">
        <is>
          <t>Integrated from cleaned high-signal dataset</t>
        </is>
      </c>
    </row>
    <row r="275" ht="26" customHeight="1" s="76">
      <c r="A275" s="134" t="inlineStr">
        <is>
          <t>loganin</t>
        </is>
      </c>
      <c r="B275" s="134" t="inlineStr">
        <is>
          <t>loganin</t>
        </is>
      </c>
      <c r="C275" s="134" t="n"/>
      <c r="D275" s="134" t="inlineStr">
        <is>
          <t>iridoid glycosides</t>
        </is>
      </c>
      <c r="E275" s="134" t="inlineStr">
        <is>
          <t>insufficient evidence</t>
        </is>
      </c>
      <c r="F275" s="134" t="inlineStr">
        <is>
          <t>multi-target signaling modulation</t>
        </is>
      </c>
      <c r="G275" s="134" t="inlineStr">
        <is>
          <t>general or unknown targets</t>
        </is>
      </c>
      <c r="H275" s="134" t="inlineStr">
        <is>
          <t>Absorption and bioavailability vary; some compounds metabolized via cytochrome P450 enzymes.</t>
        </is>
      </c>
      <c r="I275" s="134" t="inlineStr">
        <is>
          <t>low</t>
        </is>
      </c>
      <c r="J275" s="134" t="inlineStr">
        <is>
          <t>no well-documented interactions</t>
        </is>
      </c>
      <c r="K275" s="134" t="n"/>
      <c r="L275" s="134" t="inlineStr">
        <is>
          <t>compound_level</t>
        </is>
      </c>
      <c r="M275" s="134" t="inlineStr">
        <is>
          <t>https://plants.sc.egov.usda.gov/home/search?query=Cornus%20officinalis | https://pubchem.ncbi.nlm.nih.gov/#query=loganin</t>
        </is>
      </c>
      <c r="N275" s="134" t="inlineStr">
        <is>
          <t>inferred_plus_trusted_gov</t>
        </is>
      </c>
      <c r="O275" s="134" t="inlineStr">
        <is>
          <t>scientific name; PubChem compound page (NIH); USDA Plants database</t>
        </is>
      </c>
      <c r="P275" s="134" t="n"/>
      <c r="Q275" s="134" t="inlineStr">
        <is>
          <t>cornus-officinalis</t>
        </is>
      </c>
      <c r="R275" s="134" t="n">
        <v>1</v>
      </c>
      <c r="S275" s="134" t="inlineStr">
        <is>
          <t>Yes</t>
        </is>
      </c>
      <c r="T275" s="134" t="inlineStr">
        <is>
          <t>Integrated from cleaned high-signal dataset</t>
        </is>
      </c>
    </row>
    <row r="276" ht="26" customHeight="1" s="76">
      <c r="A276" s="134" t="inlineStr">
        <is>
          <t>lsa</t>
        </is>
      </c>
      <c r="B276" s="134" t="inlineStr">
        <is>
          <t>lsa)</t>
        </is>
      </c>
      <c r="C276" s="134" t="n"/>
      <c r="D276" s="134" t="inlineStr">
        <is>
          <t>other</t>
        </is>
      </c>
      <c r="E276" s="134" t="inlineStr">
        <is>
          <t>Psychoactive effects are attributed primarily to ergoline alkaloids such as ergine, likely through serotonergic receptor activity.</t>
        </is>
      </c>
      <c r="F276" s="134" t="inlineStr">
        <is>
          <t>multi-target signaling modulation</t>
        </is>
      </c>
      <c r="G276" s="134" t="inlineStr">
        <is>
          <t>general or unknown targets</t>
        </is>
      </c>
      <c r="H276" s="134" t="inlineStr">
        <is>
          <t>moderate absorption; hepatic metabolism</t>
        </is>
      </c>
      <c r="I276" s="134" t="inlineStr">
        <is>
          <t>low</t>
        </is>
      </c>
      <c r="J276" s="134" t="inlineStr">
        <is>
          <t>no well-documented interactions</t>
        </is>
      </c>
      <c r="K276" s="134" t="n"/>
      <c r="L276" s="134" t="inlineStr">
        <is>
          <t>compound_level</t>
        </is>
      </c>
      <c r="M276" s="134" t="inlineStr">
        <is>
          <t>https://plants.sc.egov.usda.gov/home/search?query=argyreia%20nervosa | https://pubchem.ncbi.nlm.nih.gov/#query=lsa%29</t>
        </is>
      </c>
      <c r="N276" s="134" t="inlineStr">
        <is>
          <t>trusted_gov_added</t>
        </is>
      </c>
      <c r="O276" s="134" t="inlineStr">
        <is>
          <t>PubChem compound page (NIH); USDA Plants database</t>
        </is>
      </c>
      <c r="P276" s="134" t="n"/>
      <c r="Q276" s="134" t="inlineStr">
        <is>
          <t>argyreia-nervosa</t>
        </is>
      </c>
      <c r="R276" s="134" t="n">
        <v>1</v>
      </c>
      <c r="S276" s="134" t="inlineStr">
        <is>
          <t>Yes</t>
        </is>
      </c>
      <c r="T276" s="134" t="inlineStr">
        <is>
          <t>Integrated from cleaned high-signal dataset</t>
        </is>
      </c>
    </row>
    <row r="277" ht="26" customHeight="1" s="76">
      <c r="A277" s="134" t="inlineStr">
        <is>
          <t>lsd ergoline derivative</t>
        </is>
      </c>
      <c r="B277" s="134" t="inlineStr">
        <is>
          <t>lsd (ergoline derivative)</t>
        </is>
      </c>
      <c r="C277" s="134" t="n"/>
      <c r="D277" s="134" t="inlineStr">
        <is>
          <t>other</t>
        </is>
      </c>
      <c r="E277" s="134" t="inlineStr">
        <is>
          <t>Potent 5-HT2A receptor agonist affecting serotonin and dopamine systems.</t>
        </is>
      </c>
      <c r="F277" s="134" t="inlineStr">
        <is>
          <t>serotonin receptor interaction</t>
        </is>
      </c>
      <c r="G277" s="134" t="inlineStr">
        <is>
          <t>dopaminergic_modulation; serotonergic_5HT2A_agonism</t>
        </is>
      </c>
      <c r="H277" s="134" t="inlineStr">
        <is>
          <t>Oral; crosses BBB; serotonin receptor agonist</t>
        </is>
      </c>
      <c r="I277" s="134" t="inlineStr">
        <is>
          <t>Very low physiological toxicity but strong psychological effects.</t>
        </is>
      </c>
      <c r="J277" s="134" t="inlineStr">
        <is>
          <t>ssris may blunt effects; maois potentiate.</t>
        </is>
      </c>
      <c r="K277" s="134" t="n"/>
      <c r="L277" s="134" t="inlineStr">
        <is>
          <t>compound_level</t>
        </is>
      </c>
      <c r="M277" s="134" t="inlineStr">
        <is>
          <t>https://plants.sc.egov.usda.gov/home/search?query=Lysergic%20acid%20diethylamide | https://pubchem.ncbi.nlm.nih.gov/#query=lsd%20%28ergoline%20derivative%29</t>
        </is>
      </c>
      <c r="N277" s="134" t="inlineStr">
        <is>
          <t>inferred_plus_trusted_gov</t>
        </is>
      </c>
      <c r="O277" s="134" t="inlineStr">
        <is>
          <t>Lysergic acid diethylamide; PubChem compound page (NIH); USDA Plants database</t>
        </is>
      </c>
      <c r="P277" s="134" t="n"/>
      <c r="Q277" s="134" t="inlineStr">
        <is>
          <t>lsd</t>
        </is>
      </c>
      <c r="R277" s="134" t="n">
        <v>1</v>
      </c>
      <c r="S277" s="134" t="inlineStr">
        <is>
          <t>Yes</t>
        </is>
      </c>
      <c r="T277" s="134" t="inlineStr">
        <is>
          <t>Integrated from cleaned high-signal dataset</t>
        </is>
      </c>
    </row>
    <row r="278" ht="26" customHeight="1" s="76">
      <c r="A278" s="134" t="inlineStr">
        <is>
          <t>lupeol</t>
        </is>
      </c>
      <c r="B278" s="134" t="inlineStr">
        <is>
          <t>lupeol</t>
        </is>
      </c>
      <c r="C278" s="134" t="n"/>
      <c r="D278" s="134" t="inlineStr">
        <is>
          <t>other</t>
        </is>
      </c>
      <c r="E278" s="134" t="inlineStr">
        <is>
          <t>insufficient evidence</t>
        </is>
      </c>
      <c r="F278" s="134" t="inlineStr">
        <is>
          <t>multi-target signaling modulation</t>
        </is>
      </c>
      <c r="G278" s="134" t="inlineStr">
        <is>
          <t>general or unknown targets</t>
        </is>
      </c>
      <c r="H278" s="134" t="inlineStr">
        <is>
          <t>moderate absorption; hepatic metabolism</t>
        </is>
      </c>
      <c r="I278" s="134" t="inlineStr">
        <is>
          <t>low</t>
        </is>
      </c>
      <c r="J278" s="134" t="inlineStr">
        <is>
          <t>no well-documented interactions</t>
        </is>
      </c>
      <c r="K278" s="134" t="n"/>
      <c r="L278" s="134" t="inlineStr">
        <is>
          <t>compound_level</t>
        </is>
      </c>
      <c r="M278" s="134" t="inlineStr">
        <is>
          <t>https://plants.sc.egov.usda.gov/home/search?query=Celastrus%20Paniculatus | https://plants.sc.egov.usda.gov/home/search?query=celastrus%20paniculatus | https://pubchem.ncbi.nlm.nih.gov/#query=lupeol</t>
        </is>
      </c>
      <c r="N278" s="134" t="inlineStr">
        <is>
          <t>trusted_gov_added</t>
        </is>
      </c>
      <c r="O278" s="134" t="inlineStr">
        <is>
          <t>PubChem compound page (NIH); USDA Plants database</t>
        </is>
      </c>
      <c r="P278" s="134" t="n"/>
      <c r="Q278" s="134" t="inlineStr">
        <is>
          <t>celastrus-paniculatus; celastrus-paniculatus-intellect-tree</t>
        </is>
      </c>
      <c r="R278" s="134" t="n">
        <v>2</v>
      </c>
      <c r="S278" s="134" t="inlineStr">
        <is>
          <t>Yes</t>
        </is>
      </c>
      <c r="T278" s="134" t="inlineStr">
        <is>
          <t>Integrated from cleaned high-signal dataset</t>
        </is>
      </c>
    </row>
    <row r="279" ht="26" customHeight="1" s="76">
      <c r="A279" s="134" t="inlineStr">
        <is>
          <t>lupulone</t>
        </is>
      </c>
      <c r="B279" s="134" t="inlineStr">
        <is>
          <t>lupulone</t>
        </is>
      </c>
      <c r="C279" s="134" t="n"/>
      <c r="D279" s="134" t="inlineStr">
        <is>
          <t>other</t>
        </is>
      </c>
      <c r="E279" s="134" t="inlineStr">
        <is>
          <t>insufficient evidence</t>
        </is>
      </c>
      <c r="F279" s="134" t="inlineStr">
        <is>
          <t>multi-target signaling modulation</t>
        </is>
      </c>
      <c r="G279" s="134" t="inlineStr">
        <is>
          <t>general or unknown targets</t>
        </is>
      </c>
      <c r="H279" s="134" t="inlineStr">
        <is>
          <t>Absorption and bioavailability vary; some compounds metabolized via cytochrome P450 enzymes.</t>
        </is>
      </c>
      <c r="I279" s="134" t="inlineStr">
        <is>
          <t>low</t>
        </is>
      </c>
      <c r="J279" s="134" t="inlineStr">
        <is>
          <t>no well-documented interactions</t>
        </is>
      </c>
      <c r="K279" s="134" t="n"/>
      <c r="L279" s="134" t="inlineStr">
        <is>
          <t>compound_level</t>
        </is>
      </c>
      <c r="M279" s="134" t="inlineStr">
        <is>
          <t>https://plants.sc.egov.usda.gov/home/search?query=Humulus%20lupulus | https://pubchem.ncbi.nlm.nih.gov/#query=lupulone</t>
        </is>
      </c>
      <c r="N279" s="134" t="inlineStr">
        <is>
          <t>inferred_plus_trusted_gov</t>
        </is>
      </c>
      <c r="O279" s="134" t="inlineStr">
        <is>
          <t>scientific name; PubChem compound page (NIH); USDA Plants database</t>
        </is>
      </c>
      <c r="P279" s="134" t="n"/>
      <c r="Q279" s="134" t="inlineStr">
        <is>
          <t>humulus-lupulus</t>
        </is>
      </c>
      <c r="R279" s="134" t="n">
        <v>1</v>
      </c>
      <c r="S279" s="134" t="inlineStr">
        <is>
          <t>Yes</t>
        </is>
      </c>
      <c r="T279" s="134" t="inlineStr">
        <is>
          <t>Integrated from cleaned high-signal dataset</t>
        </is>
      </c>
    </row>
    <row r="280" ht="26" customHeight="1" s="76">
      <c r="A280" s="134" t="inlineStr">
        <is>
          <t>luteolin</t>
        </is>
      </c>
      <c r="B280" s="134" t="inlineStr">
        <is>
          <t>luteolin</t>
        </is>
      </c>
      <c r="C280" s="134" t="n"/>
      <c r="D280" s="134" t="inlineStr">
        <is>
          <t>flavonoid</t>
        </is>
      </c>
      <c r="E280" s="134" t="inlineStr">
        <is>
          <t>Inhibits NF-kB and MAPK signaling</t>
        </is>
      </c>
      <c r="F280" s="134" t="inlineStr">
        <is>
          <t>multi-target signaling modulation</t>
        </is>
      </c>
      <c r="G280" s="134" t="inlineStr">
        <is>
          <t>MAPK pathway inhibition; NF-kB inhibition; general or unknown targets</t>
        </is>
      </c>
      <c r="H280" s="134" t="inlineStr">
        <is>
          <t>Absorption and bioavailability vary; some compounds metabolized via cytochrome P450 enzymes.</t>
        </is>
      </c>
      <c r="I280" s="134" t="inlineStr">
        <is>
          <t>low</t>
        </is>
      </c>
      <c r="J280" s="134" t="inlineStr">
        <is>
          <t>Anticoagulants (↑ bleeding risk)</t>
        </is>
      </c>
      <c r="K280" s="134" t="n"/>
      <c r="L280" s="134" t="inlineStr">
        <is>
          <t>Batch9</t>
        </is>
      </c>
      <c r="M280" s="134" t="inlineStr">
        <is>
          <t>https://plants.sc.egov.usda.gov/home/search?query=Lonicera%20japonica | https://pubchem.ncbi.nlm.nih.gov/#query=luteolin</t>
        </is>
      </c>
      <c r="N280" s="134" t="inlineStr">
        <is>
          <t>inferred_plus_trusted_gov</t>
        </is>
      </c>
      <c r="O280" s="134" t="inlineStr">
        <is>
          <t>scientific name; PubChem compound page (NIH); USDA Plants database</t>
        </is>
      </c>
      <c r="P280" s="134" t="inlineStr">
        <is>
          <t>master_monographs_v3.xlsx</t>
        </is>
      </c>
      <c r="Q280" s="134" t="inlineStr">
        <is>
          <t>lonicera-japonica</t>
        </is>
      </c>
      <c r="R280" s="134" t="n">
        <v>1</v>
      </c>
      <c r="S280" s="134" t="inlineStr">
        <is>
          <t>Yes</t>
        </is>
      </c>
      <c r="T280" s="134" t="inlineStr">
        <is>
          <t>Integrated from cleaned high-signal dataset; Integrated from compound monograph workbook</t>
        </is>
      </c>
    </row>
    <row r="281" ht="26" customHeight="1" s="76">
      <c r="A281" s="134" t="inlineStr">
        <is>
          <t>lycopene</t>
        </is>
      </c>
      <c r="B281" s="134" t="inlineStr">
        <is>
          <t>lycopene</t>
        </is>
      </c>
      <c r="C281" s="134" t="n"/>
      <c r="D281" s="134" t="inlineStr">
        <is>
          <t>flavonoids; phenolic acids</t>
        </is>
      </c>
      <c r="E281" s="134" t="inlineStr">
        <is>
          <t>insufficient evidence</t>
        </is>
      </c>
      <c r="F281" s="134" t="inlineStr">
        <is>
          <t>multi-target signaling modulation</t>
        </is>
      </c>
      <c r="G281" s="134" t="inlineStr">
        <is>
          <t>general or unknown targets</t>
        </is>
      </c>
      <c r="H281" s="134" t="inlineStr">
        <is>
          <t>Absorption and bioavailability vary; some compounds metabolized via cytochrome P450 enzymes.</t>
        </is>
      </c>
      <c r="I281" s="134" t="inlineStr">
        <is>
          <t>low</t>
        </is>
      </c>
      <c r="J281" s="134" t="inlineStr">
        <is>
          <t>no well-documented interactions</t>
        </is>
      </c>
      <c r="K281" s="134" t="n"/>
      <c r="L281" s="134" t="inlineStr">
        <is>
          <t>compound_level</t>
        </is>
      </c>
      <c r="M281" s="134" t="inlineStr">
        <is>
          <t>https://plants.sc.egov.usda.gov/home/search?query=Elaeagnus%20umbellata | https://pubchem.ncbi.nlm.nih.gov/#query=lycopene</t>
        </is>
      </c>
      <c r="N281" s="134" t="inlineStr">
        <is>
          <t>inferred_plus_trusted_gov</t>
        </is>
      </c>
      <c r="O281" s="134" t="inlineStr">
        <is>
          <t>scientific name; PubChem compound page (NIH); USDA Plants database</t>
        </is>
      </c>
      <c r="P281" s="134" t="n"/>
      <c r="Q281" s="134" t="inlineStr">
        <is>
          <t>elaeagnus-umbellata</t>
        </is>
      </c>
      <c r="R281" s="134" t="n">
        <v>1</v>
      </c>
      <c r="S281" s="134" t="inlineStr">
        <is>
          <t>Yes</t>
        </is>
      </c>
      <c r="T281" s="134" t="inlineStr">
        <is>
          <t>Integrated from cleaned high-signal dataset</t>
        </is>
      </c>
    </row>
    <row r="282" ht="26" customHeight="1" s="76">
      <c r="A282" s="134" t="inlineStr">
        <is>
          <t>lycopodine</t>
        </is>
      </c>
      <c r="B282" s="134" t="inlineStr">
        <is>
          <t>lycopodine</t>
        </is>
      </c>
      <c r="C282" s="134" t="n"/>
      <c r="D282" s="134" t="inlineStr">
        <is>
          <t>lycodine alkaloids</t>
        </is>
      </c>
      <c r="E282" s="134" t="inlineStr">
        <is>
          <t>insufficient evidence</t>
        </is>
      </c>
      <c r="F282" s="134" t="inlineStr">
        <is>
          <t>multi-target signaling modulation</t>
        </is>
      </c>
      <c r="G282" s="134" t="inlineStr">
        <is>
          <t>general or unknown targets</t>
        </is>
      </c>
      <c r="H282" s="134" t="inlineStr">
        <is>
          <t>Absorption and bioavailability vary; some compounds metabolized via cytochrome P450 enzymes.</t>
        </is>
      </c>
      <c r="I282" s="134" t="inlineStr">
        <is>
          <t>low</t>
        </is>
      </c>
      <c r="J282" s="134" t="inlineStr">
        <is>
          <t>no well-documented interactions</t>
        </is>
      </c>
      <c r="K282" s="134" t="n"/>
      <c r="L282" s="134" t="inlineStr">
        <is>
          <t>compound_level</t>
        </is>
      </c>
      <c r="M282" s="134" t="inlineStr">
        <is>
          <t>https://plants.sc.egov.usda.gov/home/search?query=Lycopodium%20clavatum | https://pubchem.ncbi.nlm.nih.gov/#query=lycopodine</t>
        </is>
      </c>
      <c r="N282" s="134" t="inlineStr">
        <is>
          <t>inferred_plus_trusted_gov</t>
        </is>
      </c>
      <c r="O282" s="134" t="inlineStr">
        <is>
          <t>scientific name; PubChem compound page (NIH); USDA Plants database</t>
        </is>
      </c>
      <c r="P282" s="134" t="n"/>
      <c r="Q282" s="134" t="inlineStr">
        <is>
          <t>lycopodium-clavatum</t>
        </is>
      </c>
      <c r="R282" s="134" t="n">
        <v>1</v>
      </c>
      <c r="S282" s="134" t="inlineStr">
        <is>
          <t>Yes</t>
        </is>
      </c>
      <c r="T282" s="134" t="inlineStr">
        <is>
          <t>Integrated from cleaned high-signal dataset</t>
        </is>
      </c>
    </row>
    <row r="283" ht="26" customHeight="1" s="76">
      <c r="A283" s="134" t="inlineStr">
        <is>
          <t>lycorine</t>
        </is>
      </c>
      <c r="B283" s="134" t="inlineStr">
        <is>
          <t>lycorine</t>
        </is>
      </c>
      <c r="C283" s="134" t="n"/>
      <c r="D283" s="134" t="inlineStr">
        <is>
          <t>alkaloids</t>
        </is>
      </c>
      <c r="E283" s="134" t="inlineStr">
        <is>
          <t>insufficient evidence</t>
        </is>
      </c>
      <c r="F283" s="134" t="inlineStr">
        <is>
          <t>multi-target signaling modulation</t>
        </is>
      </c>
      <c r="G283" s="134" t="inlineStr">
        <is>
          <t>general or unknown targets</t>
        </is>
      </c>
      <c r="H283" s="134" t="inlineStr">
        <is>
          <t>Absorption and bioavailability vary; some compounds metabolized via cytochrome P450 enzymes.</t>
        </is>
      </c>
      <c r="I283" s="134" t="inlineStr">
        <is>
          <t>low</t>
        </is>
      </c>
      <c r="J283" s="134" t="inlineStr">
        <is>
          <t>no well-documented interactions</t>
        </is>
      </c>
      <c r="K283" s="134" t="n"/>
      <c r="L283" s="134" t="inlineStr">
        <is>
          <t>compound_level</t>
        </is>
      </c>
      <c r="M283" s="134" t="inlineStr">
        <is>
          <t>https://plants.sc.egov.usda.gov/home/search?query=Boophone%20disticha | https://pubchem.ncbi.nlm.nih.gov/#query=lycorine</t>
        </is>
      </c>
      <c r="N283" s="134" t="inlineStr">
        <is>
          <t>inferred_plus_trusted_gov</t>
        </is>
      </c>
      <c r="O283" s="134" t="inlineStr">
        <is>
          <t>scientific name; PubChem compound page (NIH); USDA Plants database</t>
        </is>
      </c>
      <c r="P283" s="134" t="n"/>
      <c r="Q283" s="134" t="inlineStr">
        <is>
          <t>boophone-disticha</t>
        </is>
      </c>
      <c r="R283" s="134" t="n">
        <v>1</v>
      </c>
      <c r="S283" s="134" t="inlineStr">
        <is>
          <t>Yes</t>
        </is>
      </c>
      <c r="T283" s="134" t="inlineStr">
        <is>
          <t>Integrated from cleaned high-signal dataset</t>
        </is>
      </c>
    </row>
    <row r="284" ht="26" customHeight="1" s="76">
      <c r="A284" s="134" t="inlineStr">
        <is>
          <t>lythrine</t>
        </is>
      </c>
      <c r="B284" s="134" t="inlineStr">
        <is>
          <t>lythrine</t>
        </is>
      </c>
      <c r="C284" s="134" t="n"/>
      <c r="D284" s="134" t="inlineStr">
        <is>
          <t>other</t>
        </is>
      </c>
      <c r="E284" s="134" t="inlineStr">
        <is>
          <t>Primary alkaloid cryogenine (vertine) has CNS activity; precise receptor targets are not well-characterized in humans. Marked as mechanism not fully established.</t>
        </is>
      </c>
      <c r="F284" s="134" t="inlineStr">
        <is>
          <t>multi-target signaling modulation</t>
        </is>
      </c>
      <c r="G284" s="134" t="inlineStr">
        <is>
          <t>general or unknown targets</t>
        </is>
      </c>
      <c r="H284" s="134" t="inlineStr">
        <is>
          <t>Oral; affects serotonin pathways</t>
        </is>
      </c>
      <c r="I284" s="134" t="inlineStr">
        <is>
          <t>low</t>
        </is>
      </c>
      <c r="J284" s="134" t="inlineStr">
        <is>
          <t>cns depressants, alcohol.</t>
        </is>
      </c>
      <c r="K284" s="134" t="n"/>
      <c r="L284" s="134" t="inlineStr">
        <is>
          <t>compound_level</t>
        </is>
      </c>
      <c r="M284" s="134" t="inlineStr">
        <is>
          <t>https://plants.sc.egov.usda.gov/home/search?query=Heimia%20spp. | https://pubchem.ncbi.nlm.nih.gov/#query=lythrine</t>
        </is>
      </c>
      <c r="N284" s="134" t="inlineStr">
        <is>
          <t>inferred_plus_trusted_gov</t>
        </is>
      </c>
      <c r="O284" s="134" t="inlineStr">
        <is>
          <t>scientific name; PubChem compound page (NIH); USDA Plants database</t>
        </is>
      </c>
      <c r="P284" s="134" t="n"/>
      <c r="Q284" s="134" t="inlineStr">
        <is>
          <t>heimia</t>
        </is>
      </c>
      <c r="R284" s="134" t="n">
        <v>1</v>
      </c>
      <c r="S284" s="134" t="inlineStr">
        <is>
          <t>Yes</t>
        </is>
      </c>
      <c r="T284" s="134" t="inlineStr">
        <is>
          <t>Integrated from cleaned high-signal dataset</t>
        </is>
      </c>
    </row>
    <row r="285" ht="26" customHeight="1" s="76">
      <c r="A285" s="134" t="inlineStr">
        <is>
          <t>madecassic acid</t>
        </is>
      </c>
      <c r="B285" s="134" t="inlineStr">
        <is>
          <t>madecassic acid</t>
        </is>
      </c>
      <c r="C285" s="134" t="n"/>
      <c r="D285" s="134" t="inlineStr">
        <is>
          <t>organic acid</t>
        </is>
      </c>
      <c r="E285" s="134" t="inlineStr">
        <is>
          <t>insufficient evidence</t>
        </is>
      </c>
      <c r="F285" s="134" t="inlineStr">
        <is>
          <t>cox/nf-kb inhibition</t>
        </is>
      </c>
      <c r="G285" s="134" t="inlineStr">
        <is>
          <t>inflammatory_pathway_modulation</t>
        </is>
      </c>
      <c r="H285" s="134" t="inlineStr">
        <is>
          <t>Oral; onset ~30–60 min; duration ~4 hrs.</t>
        </is>
      </c>
      <c r="I285" s="134" t="inlineStr">
        <is>
          <t>low</t>
        </is>
      </c>
      <c r="J285" s="134" t="inlineStr">
        <is>
          <t>sedatives, hepatotoxic drugs.</t>
        </is>
      </c>
      <c r="K285" s="134" t="n"/>
      <c r="L285" s="134" t="inlineStr">
        <is>
          <t>compound_level</t>
        </is>
      </c>
      <c r="M285" s="134" t="inlineStr">
        <is>
          <t>https://plants.sc.egov.usda.gov/home/search?query=Centella%20asiatica | https://pubchem.ncbi.nlm.nih.gov/#query=madecassic%20acid</t>
        </is>
      </c>
      <c r="N285" s="134" t="inlineStr">
        <is>
          <t>inferred_plus_trusted_gov</t>
        </is>
      </c>
      <c r="O285" s="134" t="inlineStr">
        <is>
          <t>scientific name; PubChem compound page (NIH); USDA Plants database</t>
        </is>
      </c>
      <c r="P285" s="134" t="n"/>
      <c r="Q285" s="134" t="inlineStr">
        <is>
          <t>gotu-kola</t>
        </is>
      </c>
      <c r="R285" s="134" t="n">
        <v>1</v>
      </c>
      <c r="S285" s="134" t="inlineStr">
        <is>
          <t>Yes</t>
        </is>
      </c>
      <c r="T285" s="134" t="inlineStr">
        <is>
          <t>Integrated from cleaned high-signal dataset</t>
        </is>
      </c>
    </row>
    <row r="286" ht="26" customHeight="1" s="76">
      <c r="A286" s="134" t="inlineStr">
        <is>
          <t>madecassoside</t>
        </is>
      </c>
      <c r="B286" s="134" t="inlineStr">
        <is>
          <t>madecassoside</t>
        </is>
      </c>
      <c r="C286" s="134" t="n"/>
      <c r="D286" s="134" t="inlineStr">
        <is>
          <t>other</t>
        </is>
      </c>
      <c r="E286" s="134" t="inlineStr">
        <is>
          <t>insufficient evidence</t>
        </is>
      </c>
      <c r="F286" s="134" t="inlineStr">
        <is>
          <t>cox/nf-kb inhibition; multi-target signaling modulation</t>
        </is>
      </c>
      <c r="G286" s="134" t="inlineStr">
        <is>
          <t>general or unknown targets; inflammatory_pathway_modulation</t>
        </is>
      </c>
      <c r="H286" s="134" t="inlineStr">
        <is>
          <t>moderate absorption; hepatic metabolism</t>
        </is>
      </c>
      <c r="I286" s="134" t="inlineStr">
        <is>
          <t>low</t>
        </is>
      </c>
      <c r="J286" s="134" t="inlineStr">
        <is>
          <t>no well-documented interactions</t>
        </is>
      </c>
      <c r="K286" s="134" t="n"/>
      <c r="L286" s="134" t="inlineStr">
        <is>
          <t>compound_level</t>
        </is>
      </c>
      <c r="M286" s="134" t="inlineStr">
        <is>
          <t>https://plants.sc.egov.usda.gov/home/search?query=Centella%20asiatica | https://plants.sc.egov.usda.gov/home/search?query=centella%20asiatica | https://pubchem.ncbi.nlm.nih.gov/#query=madecassoside</t>
        </is>
      </c>
      <c r="N286" s="134" t="inlineStr">
        <is>
          <t>inferred_plus_trusted_gov; trusted_gov_added</t>
        </is>
      </c>
      <c r="O286" s="134" t="inlineStr">
        <is>
          <t>PubChem compound page (NIH); USDA Plants database; scientific name; PubChem compound page (NIH); USDA Plants database</t>
        </is>
      </c>
      <c r="P286" s="134" t="n"/>
      <c r="Q286" s="134" t="inlineStr">
        <is>
          <t>centella-asiatica; gotu-kola</t>
        </is>
      </c>
      <c r="R286" s="134" t="n">
        <v>2</v>
      </c>
      <c r="S286" s="134" t="inlineStr">
        <is>
          <t>Yes</t>
        </is>
      </c>
      <c r="T286" s="134" t="inlineStr">
        <is>
          <t>Integrated from cleaned high-signal dataset</t>
        </is>
      </c>
    </row>
    <row r="287" ht="26" customHeight="1" s="76">
      <c r="A287" s="134" t="inlineStr">
        <is>
          <t>magnesium</t>
        </is>
      </c>
      <c r="B287" s="134" t="inlineStr">
        <is>
          <t>magnesium</t>
        </is>
      </c>
      <c r="C287" s="134" t="n"/>
      <c r="D287" s="134" t="inlineStr">
        <is>
          <t>essential mineral</t>
        </is>
      </c>
      <c r="E287" s="134" t="inlineStr">
        <is>
          <t>Cofactor in more than 300 enzyme systems regulating protein synthesis, muscle and nerve function, blood glucose control, and blood pressure; required for energy production, oxidative phosphorylation, and glycolysis.</t>
        </is>
      </c>
      <c r="F287" s="134" t="n"/>
      <c r="G287" s="134" t="inlineStr">
        <is>
          <t>ATP-dependent enzymatic reactions; calcium/potassium ion transport; glycolysis; oxidative phosphorylation</t>
        </is>
      </c>
      <c r="H287" s="134" t="inlineStr">
        <is>
          <t>Kidney-regulated homeostasis; excess from food is excreted in urine. High supplemental doses commonly cause osmotic diarrhea. Toxicity risk rises with impaired renal function.</t>
        </is>
      </c>
      <c r="I287" s="134" t="inlineStr">
        <is>
          <t>High supplemental doses can cause diarrhea, nausea, and abdominal cramping. Very large doses can cause hypotension, arrhythmia, respiratory depression, and cardiac arrest, especially in renal impairment.</t>
        </is>
      </c>
      <c r="J287" s="134" t="inlineStr">
        <is>
          <t>Oral bisphosphonates (decreased absorption); tetracycline and quinolone antibiotics (insoluble complexes reduce absorption); diuretics and proton pump inhibitors (can lower magnesium status).</t>
        </is>
      </c>
      <c r="K287" s="134" t="inlineStr">
        <is>
          <t>High</t>
        </is>
      </c>
      <c r="L287" s="134" t="inlineStr">
        <is>
          <t>Sprint7</t>
        </is>
      </c>
      <c r="M287" s="134" t="inlineStr">
        <is>
          <t>https://ods.od.nih.gov/factsheets/Magnesium-HealthProfessional/</t>
        </is>
      </c>
      <c r="N287" s="134" t="n"/>
      <c r="O287" s="134" t="n"/>
      <c r="P287" s="134" t="inlineStr">
        <is>
          <t>precision_monographs_sprint7.xlsx</t>
        </is>
      </c>
      <c r="Q287" s="134" t="n"/>
      <c r="R287" s="134" t="n">
        <v>0</v>
      </c>
      <c r="S287" s="134" t="inlineStr">
        <is>
          <t>No</t>
        </is>
      </c>
      <c r="T287" s="134" t="inlineStr">
        <is>
          <t>Integrated from compound monograph workbook</t>
        </is>
      </c>
    </row>
    <row r="288" ht="26" customHeight="1" s="76">
      <c r="A288" s="134" t="inlineStr">
        <is>
          <t>maltol</t>
        </is>
      </c>
      <c r="B288" s="134" t="inlineStr">
        <is>
          <t>maltol</t>
        </is>
      </c>
      <c r="C288" s="134" t="n"/>
      <c r="D288" s="134" t="inlineStr">
        <is>
          <t>Flavonoids, harman alkaloids, maltol</t>
        </is>
      </c>
      <c r="E288" s="134" t="inlineStr">
        <is>
          <t>insufficient evidence</t>
        </is>
      </c>
      <c r="F288" s="134" t="inlineStr">
        <is>
          <t>multi-target signaling modulation</t>
        </is>
      </c>
      <c r="G288" s="134" t="inlineStr">
        <is>
          <t>general or unknown targets</t>
        </is>
      </c>
      <c r="H288" s="134" t="inlineStr">
        <is>
          <t>Oral; GABAergic and antispasmodic</t>
        </is>
      </c>
      <c r="I288" s="134" t="inlineStr">
        <is>
          <t>low</t>
        </is>
      </c>
      <c r="J288" s="134" t="inlineStr">
        <is>
          <t>no well-documented interactions</t>
        </is>
      </c>
      <c r="K288" s="134" t="n"/>
      <c r="L288" s="134" t="inlineStr">
        <is>
          <t>compound_level</t>
        </is>
      </c>
      <c r="M288" s="134" t="inlineStr">
        <is>
          <t>https://plants.sc.egov.usda.gov/home/search?query=Passiflora%20incarnata | https://pubchem.ncbi.nlm.nih.gov/#query=maltol</t>
        </is>
      </c>
      <c r="N288" s="134" t="inlineStr">
        <is>
          <t>inferred_plus_trusted_gov</t>
        </is>
      </c>
      <c r="O288" s="134" t="inlineStr">
        <is>
          <t>scientific name; PubChem compound page (NIH); USDA Plants database</t>
        </is>
      </c>
      <c r="P288" s="134" t="n"/>
      <c r="Q288" s="134" t="inlineStr">
        <is>
          <t>passiflora-incarnata</t>
        </is>
      </c>
      <c r="R288" s="134" t="n">
        <v>1</v>
      </c>
      <c r="S288" s="134" t="inlineStr">
        <is>
          <t>Yes</t>
        </is>
      </c>
      <c r="T288" s="134" t="inlineStr">
        <is>
          <t>Integrated from cleaned high-signal dataset</t>
        </is>
      </c>
    </row>
    <row r="289" ht="26" customHeight="1" s="76">
      <c r="A289" s="134" t="inlineStr">
        <is>
          <t>mangiferin</t>
        </is>
      </c>
      <c r="B289" s="134" t="inlineStr">
        <is>
          <t>mangiferin</t>
        </is>
      </c>
      <c r="C289" s="134" t="n"/>
      <c r="D289" s="134" t="inlineStr">
        <is>
          <t>timosaponin AIII; saponins</t>
        </is>
      </c>
      <c r="E289" s="134" t="inlineStr">
        <is>
          <t>insufficient evidence</t>
        </is>
      </c>
      <c r="F289" s="134" t="inlineStr">
        <is>
          <t>multi-target signaling modulation</t>
        </is>
      </c>
      <c r="G289" s="134" t="inlineStr">
        <is>
          <t>general or unknown targets</t>
        </is>
      </c>
      <c r="H289" s="134" t="inlineStr">
        <is>
          <t>Absorption and bioavailability vary; some compounds metabolized via cytochrome P450 enzymes.</t>
        </is>
      </c>
      <c r="I289" s="134" t="inlineStr">
        <is>
          <t>low</t>
        </is>
      </c>
      <c r="J289" s="134" t="inlineStr">
        <is>
          <t>no well-documented interactions</t>
        </is>
      </c>
      <c r="K289" s="134" t="n"/>
      <c r="L289" s="134" t="inlineStr">
        <is>
          <t>compound_level</t>
        </is>
      </c>
      <c r="M289" s="134" t="inlineStr">
        <is>
          <t>https://plants.sc.egov.usda.gov/home/search?query=Anemarrhena%20asphodeloides | https://plants.sc.egov.usda.gov/home/search?query=Salacia%20reticulata | https://pubchem.ncbi.nlm.nih.gov/#query=mangiferin</t>
        </is>
      </c>
      <c r="N289" s="134" t="inlineStr">
        <is>
          <t>inferred_plus_trusted_gov</t>
        </is>
      </c>
      <c r="O289" s="134" t="inlineStr">
        <is>
          <t>scientific name; PubChem compound page (NIH); USDA Plants database</t>
        </is>
      </c>
      <c r="P289" s="134" t="n"/>
      <c r="Q289" s="134" t="inlineStr">
        <is>
          <t>anemarrhena-asphodeloides; salacia-reticulata</t>
        </is>
      </c>
      <c r="R289" s="134" t="n">
        <v>2</v>
      </c>
      <c r="S289" s="134" t="inlineStr">
        <is>
          <t>Yes</t>
        </is>
      </c>
      <c r="T289" s="134" t="inlineStr">
        <is>
          <t>Integrated from cleaned high-signal dataset</t>
        </is>
      </c>
    </row>
    <row r="290" ht="26" customHeight="1" s="76">
      <c r="A290" s="134" t="inlineStr">
        <is>
          <t>marmelosin</t>
        </is>
      </c>
      <c r="B290" s="134" t="inlineStr">
        <is>
          <t>marmelosin</t>
        </is>
      </c>
      <c r="C290" s="134" t="n"/>
      <c r="D290" s="134" t="inlineStr">
        <is>
          <t>coumarins</t>
        </is>
      </c>
      <c r="E290" s="134" t="inlineStr">
        <is>
          <t>insufficient evidence</t>
        </is>
      </c>
      <c r="F290" s="134" t="inlineStr">
        <is>
          <t>multi-target signaling modulation</t>
        </is>
      </c>
      <c r="G290" s="134" t="inlineStr">
        <is>
          <t>general or unknown targets</t>
        </is>
      </c>
      <c r="H290" s="134" t="inlineStr">
        <is>
          <t>moderate absorption; hepatic metabolism</t>
        </is>
      </c>
      <c r="I290" s="134" t="inlineStr">
        <is>
          <t>low</t>
        </is>
      </c>
      <c r="J290" s="134" t="inlineStr">
        <is>
          <t>no well-documented interactions</t>
        </is>
      </c>
      <c r="K290" s="134" t="n"/>
      <c r="L290" s="134" t="inlineStr">
        <is>
          <t>compound_level</t>
        </is>
      </c>
      <c r="M290" s="134" t="inlineStr">
        <is>
          <t>https://plants.sc.egov.usda.gov/home/search?query=aegle%20marmelos | https://pubchem.ncbi.nlm.nih.gov/#query=marmelosin</t>
        </is>
      </c>
      <c r="N290" s="134" t="inlineStr">
        <is>
          <t>trusted_gov_added</t>
        </is>
      </c>
      <c r="O290" s="134" t="inlineStr">
        <is>
          <t>PubChem compound page (NIH); USDA Plants database</t>
        </is>
      </c>
      <c r="P290" s="134" t="n"/>
      <c r="Q290" s="134" t="inlineStr">
        <is>
          <t>aegle-marmelos</t>
        </is>
      </c>
      <c r="R290" s="134" t="n">
        <v>1</v>
      </c>
      <c r="S290" s="134" t="inlineStr">
        <is>
          <t>Yes</t>
        </is>
      </c>
      <c r="T290" s="134" t="inlineStr">
        <is>
          <t>Integrated from cleaned high-signal dataset</t>
        </is>
      </c>
    </row>
    <row r="291" ht="26" customHeight="1" s="76">
      <c r="A291" s="134" t="inlineStr">
        <is>
          <t>matrine</t>
        </is>
      </c>
      <c r="B291" s="134" t="inlineStr">
        <is>
          <t>matrine</t>
        </is>
      </c>
      <c r="C291" s="134" t="n"/>
      <c r="D291" s="134" t="inlineStr">
        <is>
          <t>other</t>
        </is>
      </c>
      <c r="E291" s="134" t="inlineStr">
        <is>
          <t>insufficient evidence</t>
        </is>
      </c>
      <c r="F291" s="134" t="inlineStr">
        <is>
          <t>multi-target signaling modulation</t>
        </is>
      </c>
      <c r="G291" s="134" t="inlineStr">
        <is>
          <t>general or unknown targets</t>
        </is>
      </c>
      <c r="H291" s="134" t="inlineStr">
        <is>
          <t>Absorption and bioavailability vary; some compounds metabolized via cytochrome P450 enzymes.</t>
        </is>
      </c>
      <c r="I291" s="134" t="inlineStr">
        <is>
          <t>low</t>
        </is>
      </c>
      <c r="J291" s="134" t="inlineStr">
        <is>
          <t>no well-documented interactions</t>
        </is>
      </c>
      <c r="K291" s="134" t="n"/>
      <c r="L291" s="134" t="inlineStr">
        <is>
          <t>compound_level</t>
        </is>
      </c>
      <c r="M291" s="134" t="inlineStr">
        <is>
          <t>https://plants.sc.egov.usda.gov/home/search?query=Sophora%20flavescens | https://pubchem.ncbi.nlm.nih.gov/#query=matrine</t>
        </is>
      </c>
      <c r="N291" s="134" t="inlineStr">
        <is>
          <t>inferred_plus_trusted_gov</t>
        </is>
      </c>
      <c r="O291" s="134" t="inlineStr">
        <is>
          <t>scientific name; PubChem compound page (NIH); USDA Plants database</t>
        </is>
      </c>
      <c r="P291" s="134" t="n"/>
      <c r="Q291" s="134" t="inlineStr">
        <is>
          <t>sophora-flavescens</t>
        </is>
      </c>
      <c r="R291" s="134" t="n">
        <v>1</v>
      </c>
      <c r="S291" s="134" t="inlineStr">
        <is>
          <t>Yes</t>
        </is>
      </c>
      <c r="T291" s="134" t="inlineStr">
        <is>
          <t>Integrated from cleaned high-signal dataset</t>
        </is>
      </c>
    </row>
    <row r="292" ht="26" customHeight="1" s="76">
      <c r="A292" s="134" t="inlineStr">
        <is>
          <t>melatonin</t>
        </is>
      </c>
      <c r="B292" s="134" t="inlineStr">
        <is>
          <t>melatonin</t>
        </is>
      </c>
      <c r="C292" s="134" t="n"/>
      <c r="D292" s="134" t="inlineStr">
        <is>
          <t>indoleamine</t>
        </is>
      </c>
      <c r="E292" s="134" t="inlineStr">
        <is>
          <t>Agonist at MT1 and MT2 melatonin receptors, supporting circadian phase and sleep-related signaling.</t>
        </is>
      </c>
      <c r="F292" s="134" t="n"/>
      <c r="G292" s="134" t="inlineStr">
        <is>
          <t>MT1 receptor agonism; MT2 receptor agonism</t>
        </is>
      </c>
      <c r="H292" s="134" t="inlineStr">
        <is>
          <t>Orally absorbed; short elimination half-life is commonly reported in immediate-release use; metabolism is mainly hepatic.</t>
        </is>
      </c>
      <c r="I292" s="134" t="inlineStr">
        <is>
          <t>Variable product content is a concern in supplement products. Limited safety data in pregnancy and breastfeeding; daytime drowsiness can occur, especially in older adults.</t>
        </is>
      </c>
      <c r="J292" s="134" t="inlineStr">
        <is>
          <t>Sedatives/CNS depressants (possible additive drowsiness); anticoagulants (possible interaction concern in safety guidance); drugs affecting CYP1A2 may alter exposure</t>
        </is>
      </c>
      <c r="K292" s="134" t="inlineStr">
        <is>
          <t>high</t>
        </is>
      </c>
      <c r="L292" s="134" t="inlineStr">
        <is>
          <t>Sprint4</t>
        </is>
      </c>
      <c r="M292" s="134" t="n"/>
      <c r="N292" s="134" t="n"/>
      <c r="O292" s="134" t="n"/>
      <c r="P292" s="134" t="inlineStr">
        <is>
          <t>precision_monographs_sprint4.xlsx</t>
        </is>
      </c>
      <c r="Q292" s="134" t="n"/>
      <c r="R292" s="134" t="n">
        <v>0</v>
      </c>
      <c r="S292" s="134" t="inlineStr">
        <is>
          <t>No</t>
        </is>
      </c>
      <c r="T292" s="134" t="inlineStr">
        <is>
          <t>Integrated from compound monograph workbook</t>
        </is>
      </c>
    </row>
    <row r="293" ht="26" customHeight="1" s="76">
      <c r="A293" s="134" t="inlineStr">
        <is>
          <t>menthol</t>
        </is>
      </c>
      <c r="B293" s="134" t="inlineStr">
        <is>
          <t>menthol</t>
        </is>
      </c>
      <c r="C293" s="134" t="str"/>
      <c r="D293" s="134" t="inlineStr">
        <is>
          <t>monoterpenoid alcohol</t>
        </is>
      </c>
      <c r="E293" s="134" t="inlineStr">
        <is>
          <t>Agonist of TRPM8, driving cooling sensation and core sensory pharmacology.</t>
        </is>
      </c>
      <c r="F293" s="134" t="inlineStr">
        <is>
          <t>multi-target signaling modulation</t>
        </is>
      </c>
      <c r="G293" s="134" t="inlineStr">
        <is>
          <t>TRP_M8 agonism; general or unknown targets</t>
        </is>
      </c>
      <c r="H293" s="134" t="inlineStr">
        <is>
          <t>This pass does not claim a robust systemic interaction profile.</t>
        </is>
      </c>
      <c r="I293" s="134" t="inlineStr">
        <is>
          <t>Main concern is local irritation or excessive sensory effects from concentrated products.</t>
        </is>
      </c>
      <c r="J293" s="134" t="inlineStr">
        <is>
          <t>Other strong cooling/counterirritant topicals (possible additive local sensory effects).</t>
        </is>
      </c>
      <c r="K293" s="134" t="inlineStr">
        <is>
          <t>high</t>
        </is>
      </c>
      <c r="L293" s="134" t="inlineStr">
        <is>
          <t>Sprint3</t>
        </is>
      </c>
      <c r="M293" s="134" t="inlineStr">
        <is>
          <t>https://plants.sc.egov.usda.gov/home/search?query=Mentha%20piperita | https://plants.sc.egov.usda.gov/home/search?query=peppermint | https://pmc.ncbi.nlm.nih.gov/articles/PMC3778045/ | https://pmc.ncbi.nlm.nih.gov/articles/PMC8395166/ | https://pubchem.ncbi.nlm.nih.gov/#query=menthol</t>
        </is>
      </c>
      <c r="N293" s="134" t="inlineStr">
        <is>
          <t>inferred_plus_trusted_gov; trusted_gov_added</t>
        </is>
      </c>
      <c r="O293" s="134" t="inlineStr">
        <is>
          <t>PubChem compound page (NIH); USDA Plants database; scientific name; PubChem compound page (NIH); USDA Plants database</t>
        </is>
      </c>
      <c r="P293" s="134" t="inlineStr">
        <is>
          <t>precision_monographs_sprint3.xlsx</t>
        </is>
      </c>
      <c r="Q293" s="134" t="inlineStr">
        <is>
          <t>peppermint</t>
        </is>
      </c>
      <c r="R293" s="134" t="n">
        <v>1</v>
      </c>
      <c r="S293" s="134" t="inlineStr">
        <is>
          <t>Yes</t>
        </is>
      </c>
      <c r="T293" s="134" t="inlineStr">
        <is>
          <t>Integrated from cleaned high-signal dataset; Integrated from compound monograph workbook</t>
        </is>
      </c>
    </row>
    <row r="294" ht="26" customHeight="1" s="76">
      <c r="A294" s="134" t="inlineStr">
        <is>
          <t>menthone</t>
        </is>
      </c>
      <c r="B294" s="134" t="inlineStr">
        <is>
          <t>menthone</t>
        </is>
      </c>
      <c r="C294" s="134" t="str"/>
      <c r="D294" s="134" t="inlineStr">
        <is>
          <t>Menthol, menthone, flavonoids</t>
        </is>
      </c>
      <c r="E294" s="134" t="inlineStr">
        <is>
          <t>insufficient evidence</t>
        </is>
      </c>
      <c r="F294" s="134" t="inlineStr">
        <is>
          <t>multi-target signaling modulation</t>
        </is>
      </c>
      <c r="G294" s="134" t="inlineStr">
        <is>
          <t>general or unknown targets</t>
        </is>
      </c>
      <c r="H294" s="134" t="inlineStr">
        <is>
          <t>Oral/topical; smooth muscle relaxant</t>
        </is>
      </c>
      <c r="I294" s="134" t="inlineStr">
        <is>
          <t>low</t>
        </is>
      </c>
      <c r="J294" s="134" t="inlineStr">
        <is>
          <t>no well-documented interactions</t>
        </is>
      </c>
      <c r="K294" s="134" t="n"/>
      <c r="L294" s="134" t="inlineStr">
        <is>
          <t>compound_level</t>
        </is>
      </c>
      <c r="M294" s="134" t="inlineStr">
        <is>
          <t>https://plants.sc.egov.usda.gov/home/search?query=Mentha%20piperita | https://plants.sc.egov.usda.gov/home/search?query=peppermint | https://pubchem.ncbi.nlm.nih.gov/#query=menthone</t>
        </is>
      </c>
      <c r="N294" s="134" t="inlineStr">
        <is>
          <t>inferred_plus_trusted_gov; trusted_gov_added</t>
        </is>
      </c>
      <c r="O294" s="134" t="inlineStr">
        <is>
          <t>PubChem compound page (NIH); USDA Plants database; scientific name; PubChem compound page (NIH); USDA Plants database</t>
        </is>
      </c>
      <c r="P294" s="134" t="n"/>
      <c r="Q294" s="134" t="inlineStr">
        <is>
          <t>peppermint</t>
        </is>
      </c>
      <c r="R294" s="134" t="n">
        <v>1</v>
      </c>
      <c r="S294" s="134" t="inlineStr">
        <is>
          <t>Yes</t>
        </is>
      </c>
      <c r="T294" s="134" t="inlineStr">
        <is>
          <t>Integrated from cleaned high-signal dataset</t>
        </is>
      </c>
    </row>
    <row r="295" ht="26" customHeight="1" s="76">
      <c r="A295" s="134" t="inlineStr">
        <is>
          <t>mesaconitine</t>
        </is>
      </c>
      <c r="B295" s="134" t="inlineStr">
        <is>
          <t>mesaconitine</t>
        </is>
      </c>
      <c r="C295" s="134" t="n"/>
      <c r="D295" s="134" t="inlineStr">
        <is>
          <t>other</t>
        </is>
      </c>
      <c r="E295" s="134" t="inlineStr">
        <is>
          <t>insufficient evidence</t>
        </is>
      </c>
      <c r="F295" s="134" t="inlineStr">
        <is>
          <t>multi-target signaling modulation</t>
        </is>
      </c>
      <c r="G295" s="134" t="inlineStr">
        <is>
          <t>general or unknown targets</t>
        </is>
      </c>
      <c r="H295" s="134" t="inlineStr">
        <is>
          <t>Absorption and bioavailability vary; some compounds metabolized via cytochrome P450 enzymes.</t>
        </is>
      </c>
      <c r="I295" s="134" t="inlineStr">
        <is>
          <t>low</t>
        </is>
      </c>
      <c r="J295" s="134" t="inlineStr">
        <is>
          <t>no well-documented interactions</t>
        </is>
      </c>
      <c r="K295" s="134" t="n"/>
      <c r="L295" s="134" t="inlineStr">
        <is>
          <t>compound_level</t>
        </is>
      </c>
      <c r="M295" s="134" t="inlineStr">
        <is>
          <t>https://plants.sc.egov.usda.gov/home/search?query=Aconitum%20ferox | https://plants.sc.egov.usda.gov/home/search?query=Aconitum%20napellus | https://pubchem.ncbi.nlm.nih.gov/#query=mesaconitine</t>
        </is>
      </c>
      <c r="N295" s="134" t="inlineStr">
        <is>
          <t>inferred_plus_trusted_gov</t>
        </is>
      </c>
      <c r="O295" s="134" t="inlineStr">
        <is>
          <t>scientific name; PubChem compound page (NIH); USDA Plants database</t>
        </is>
      </c>
      <c r="P295" s="134" t="n"/>
      <c r="Q295" s="134" t="inlineStr">
        <is>
          <t>aconitum-ferox; aconitum-napellus</t>
        </is>
      </c>
      <c r="R295" s="134" t="n">
        <v>2</v>
      </c>
      <c r="S295" s="134" t="inlineStr">
        <is>
          <t>Yes</t>
        </is>
      </c>
      <c r="T295" s="134" t="inlineStr">
        <is>
          <t>Integrated from cleaned high-signal dataset</t>
        </is>
      </c>
    </row>
    <row r="296" ht="26" customHeight="1" s="76">
      <c r="A296" s="134" t="inlineStr">
        <is>
          <t>mescaline</t>
        </is>
      </c>
      <c r="B296" s="134" t="inlineStr">
        <is>
          <t>mescaline</t>
        </is>
      </c>
      <c r="C296" s="134" t="n"/>
      <c r="D296" s="134" t="inlineStr">
        <is>
          <t>other</t>
        </is>
      </c>
      <c r="E296" s="134" t="inlineStr">
        <is>
          <t>Mescaline acts as a 5-HT2A receptor agonist producing psychedelic effects.</t>
        </is>
      </c>
      <c r="F296" s="134" t="inlineStr">
        <is>
          <t>serotonin receptor interaction</t>
        </is>
      </c>
      <c r="G296" s="134" t="inlineStr">
        <is>
          <t>serotonergic_5HT2A_agonism</t>
        </is>
      </c>
      <c r="H296" s="134" t="inlineStr">
        <is>
          <t>Absorption and bioavailability vary; some compounds metabolized via cytochrome P450 enzymes.</t>
        </is>
      </c>
      <c r="I296" s="134" t="inlineStr">
        <is>
          <t>low</t>
        </is>
      </c>
      <c r="J296" s="134" t="inlineStr">
        <is>
          <t>no well-documented interactions</t>
        </is>
      </c>
      <c r="K296" s="134" t="n"/>
      <c r="L296" s="134" t="inlineStr">
        <is>
          <t>compound_level</t>
        </is>
      </c>
      <c r="M296" s="134" t="inlineStr">
        <is>
          <t>https://plants.sc.egov.usda.gov/home/search?query=Lophophora%20williamsii | https://plants.sc.egov.usda.gov/home/search?query=Trichocereus%20bridgesii | https://pubchem.ncbi.nlm.nih.gov/#query=mescaline</t>
        </is>
      </c>
      <c r="N296" s="134" t="inlineStr">
        <is>
          <t>inferred_plus_trusted_gov</t>
        </is>
      </c>
      <c r="O296" s="134" t="inlineStr">
        <is>
          <t>scientific name; PubChem compound page (NIH); USDA Plants database</t>
        </is>
      </c>
      <c r="P296" s="134" t="n"/>
      <c r="Q296" s="134" t="inlineStr">
        <is>
          <t>lophophora-williamsii; trichocereus-bridgesii</t>
        </is>
      </c>
      <c r="R296" s="134" t="n">
        <v>2</v>
      </c>
      <c r="S296" s="134" t="inlineStr">
        <is>
          <t>Yes</t>
        </is>
      </c>
      <c r="T296" s="134" t="inlineStr">
        <is>
          <t>Integrated from cleaned high-signal dataset</t>
        </is>
      </c>
    </row>
    <row r="297" ht="26" customHeight="1" s="76">
      <c r="A297" s="134" t="inlineStr">
        <is>
          <t>mescaline derivative</t>
        </is>
      </c>
      <c r="B297" s="134" t="inlineStr">
        <is>
          <t>mescaline derivative</t>
        </is>
      </c>
      <c r="C297" s="134" t="n"/>
      <c r="D297" s="134" t="inlineStr">
        <is>
          <t>other</t>
        </is>
      </c>
      <c r="E297" s="134" t="inlineStr">
        <is>
          <t>Phenethylamine psychedelic acting on 5-HT2A and dopamine receptors.</t>
        </is>
      </c>
      <c r="F297" s="134" t="inlineStr">
        <is>
          <t>serotonin receptor interaction</t>
        </is>
      </c>
      <c r="G297" s="134" t="inlineStr">
        <is>
          <t>dopaminergic_modulation; serotonergic_5HT2A_agonism</t>
        </is>
      </c>
      <c r="H297" s="134" t="inlineStr">
        <is>
          <t>Oral; serotonin receptor agonist</t>
        </is>
      </c>
      <c r="I297" s="134" t="inlineStr">
        <is>
          <t>Low physiological toxicity; psychological effects strong.</t>
        </is>
      </c>
      <c r="J297" s="134" t="inlineStr">
        <is>
          <t>maois and sympathomimetics may potentiate.</t>
        </is>
      </c>
      <c r="K297" s="134" t="n"/>
      <c r="L297" s="134" t="inlineStr">
        <is>
          <t>compound_level</t>
        </is>
      </c>
      <c r="M297" s="134" t="inlineStr">
        <is>
          <t>https://plants.sc.egov.usda.gov/home/search?query=3%2C4%2C5-trimethoxyphenethylamine | https://pubchem.ncbi.nlm.nih.gov/#query=mescaline%20derivative</t>
        </is>
      </c>
      <c r="N297" s="134" t="inlineStr">
        <is>
          <t>inferred_plus_trusted_gov</t>
        </is>
      </c>
      <c r="O297" s="134" t="inlineStr">
        <is>
          <t>3, 4, 5-trimethoxyphenethylamine; PubChem compound page (NIH); USDA Plants database</t>
        </is>
      </c>
      <c r="P297" s="134" t="n"/>
      <c r="Q297" s="134" t="inlineStr">
        <is>
          <t>mescaline</t>
        </is>
      </c>
      <c r="R297" s="134" t="n">
        <v>1</v>
      </c>
      <c r="S297" s="134" t="inlineStr">
        <is>
          <t>Yes</t>
        </is>
      </c>
      <c r="T297" s="134" t="inlineStr">
        <is>
          <t>Integrated from cleaned high-signal dataset</t>
        </is>
      </c>
    </row>
    <row r="298" ht="26" customHeight="1" s="76">
      <c r="A298" s="134" t="inlineStr">
        <is>
          <t>mesembranol</t>
        </is>
      </c>
      <c r="B298" s="134" t="inlineStr">
        <is>
          <t>mesembranol</t>
        </is>
      </c>
      <c r="C298" s="134" t="n"/>
      <c r="D298" s="134" t="inlineStr">
        <is>
          <t>other</t>
        </is>
      </c>
      <c r="E298" s="134" t="inlineStr">
        <is>
          <t>insufficient evidence</t>
        </is>
      </c>
      <c r="F298" s="134" t="inlineStr">
        <is>
          <t>multi-target signaling modulation</t>
        </is>
      </c>
      <c r="G298" s="134" t="inlineStr">
        <is>
          <t>general or unknown targets</t>
        </is>
      </c>
      <c r="H298" s="134" t="inlineStr">
        <is>
          <t>Absorption and bioavailability vary; some compounds metabolized via cytochrome P450 enzymes.</t>
        </is>
      </c>
      <c r="I298" s="134" t="inlineStr">
        <is>
          <t>low</t>
        </is>
      </c>
      <c r="J298" s="134" t="inlineStr">
        <is>
          <t>no well-documented interactions</t>
        </is>
      </c>
      <c r="K298" s="134" t="n"/>
      <c r="L298" s="134" t="inlineStr">
        <is>
          <t>compound_level</t>
        </is>
      </c>
      <c r="M298" s="134" t="inlineStr">
        <is>
          <t>https://plants.sc.egov.usda.gov/home/search?query=Sceletium%20Tortuosum | https://plants.sc.egov.usda.gov/home/search?query=Sceletium%20tortuosum | https://pubchem.ncbi.nlm.nih.gov/#query=mesembranol</t>
        </is>
      </c>
      <c r="N298" s="134" t="inlineStr">
        <is>
          <t>inferred_plus_trusted_gov</t>
        </is>
      </c>
      <c r="O298" s="134" t="inlineStr">
        <is>
          <t>Unknown; PubChem compound page (NIH); USDA Plants database; scientific name; PubChem compound page (NIH); USDA Plants database</t>
        </is>
      </c>
      <c r="P298" s="134" t="n"/>
      <c r="Q298" s="134" t="inlineStr">
        <is>
          <t>sceletium-tortuosum; sceletium-tortuosum-kanna</t>
        </is>
      </c>
      <c r="R298" s="134" t="n">
        <v>2</v>
      </c>
      <c r="S298" s="134" t="inlineStr">
        <is>
          <t>Yes</t>
        </is>
      </c>
      <c r="T298" s="134" t="inlineStr">
        <is>
          <t>Integrated from cleaned high-signal dataset</t>
        </is>
      </c>
    </row>
    <row r="299" ht="26" customHeight="1" s="76">
      <c r="A299" s="134" t="inlineStr">
        <is>
          <t>mesembrenol</t>
        </is>
      </c>
      <c r="B299" s="134" t="inlineStr">
        <is>
          <t>mesembrenol</t>
        </is>
      </c>
      <c r="C299" s="134" t="n"/>
      <c r="D299" s="134" t="inlineStr">
        <is>
          <t>other</t>
        </is>
      </c>
      <c r="E299" s="134" t="inlineStr">
        <is>
          <t>insufficient evidence</t>
        </is>
      </c>
      <c r="F299" s="134" t="inlineStr">
        <is>
          <t>multi-target signaling modulation</t>
        </is>
      </c>
      <c r="G299" s="134" t="inlineStr">
        <is>
          <t>general or unknown targets</t>
        </is>
      </c>
      <c r="H299" s="134" t="inlineStr">
        <is>
          <t>Absorption and bioavailability vary; some compounds metabolized via cytochrome P450 enzymes.</t>
        </is>
      </c>
      <c r="I299" s="134" t="inlineStr">
        <is>
          <t>low</t>
        </is>
      </c>
      <c r="J299" s="134" t="inlineStr">
        <is>
          <t>no well-documented interactions</t>
        </is>
      </c>
      <c r="K299" s="134" t="n"/>
      <c r="L299" s="134" t="inlineStr">
        <is>
          <t>compound_level</t>
        </is>
      </c>
      <c r="M299" s="134" t="inlineStr">
        <is>
          <t>https://plants.sc.egov.usda.gov/home/search?query=Sceletium%20Tortuosum | https://plants.sc.egov.usda.gov/home/search?query=Sceletium%20tortuosum | https://pubchem.ncbi.nlm.nih.gov/#query=mesembrenol</t>
        </is>
      </c>
      <c r="N299" s="134" t="inlineStr">
        <is>
          <t>inferred_plus_trusted_gov</t>
        </is>
      </c>
      <c r="O299" s="134" t="inlineStr">
        <is>
          <t>Unknown; PubChem compound page (NIH); USDA Plants database; scientific name; PubChem compound page (NIH); USDA Plants database</t>
        </is>
      </c>
      <c r="P299" s="134" t="n"/>
      <c r="Q299" s="134" t="inlineStr">
        <is>
          <t>sceletium-tortuosum; sceletium-tortuosum-kanna</t>
        </is>
      </c>
      <c r="R299" s="134" t="n">
        <v>2</v>
      </c>
      <c r="S299" s="134" t="inlineStr">
        <is>
          <t>Yes</t>
        </is>
      </c>
      <c r="T299" s="134" t="inlineStr">
        <is>
          <t>Integrated from cleaned high-signal dataset</t>
        </is>
      </c>
    </row>
    <row r="300" ht="26" customHeight="1" s="76">
      <c r="A300" s="134" t="inlineStr">
        <is>
          <t>mesembrenone</t>
        </is>
      </c>
      <c r="B300" s="134" t="inlineStr">
        <is>
          <t>mesembrenone</t>
        </is>
      </c>
      <c r="C300" s="134" t="n"/>
      <c r="D300" s="134" t="inlineStr">
        <is>
          <t>mesembrine alkaloids</t>
        </is>
      </c>
      <c r="E300" s="134" t="inlineStr">
        <is>
          <t>insufficient evidence</t>
        </is>
      </c>
      <c r="F300" s="134" t="inlineStr">
        <is>
          <t>multi-target signaling modulation</t>
        </is>
      </c>
      <c r="G300" s="134" t="inlineStr">
        <is>
          <t>general or unknown targets</t>
        </is>
      </c>
      <c r="H300" s="134" t="inlineStr">
        <is>
          <t>Absorption and bioavailability vary; some compounds metabolized via cytochrome P450 enzymes.</t>
        </is>
      </c>
      <c r="I300" s="134" t="inlineStr">
        <is>
          <t>low</t>
        </is>
      </c>
      <c r="J300" s="134" t="inlineStr">
        <is>
          <t>no well-documented interactions</t>
        </is>
      </c>
      <c r="K300" s="134" t="n"/>
      <c r="L300" s="134" t="inlineStr">
        <is>
          <t>compound_level</t>
        </is>
      </c>
      <c r="M300" s="134" t="inlineStr">
        <is>
          <t>https://plants.sc.egov.usda.gov/home/search?query=Sceletium%20Tortuosum | https://plants.sc.egov.usda.gov/home/search?query=Sceletium%20expansum | https://plants.sc.egov.usda.gov/home/search?query=Sceletium%20tortuosum | https://pubchem.ncbi.nlm.nih.gov/#query=mesembrenone</t>
        </is>
      </c>
      <c r="N300" s="134" t="inlineStr">
        <is>
          <t>inferred_plus_trusted_gov</t>
        </is>
      </c>
      <c r="O300" s="134" t="inlineStr">
        <is>
          <t>Unknown; PubChem compound page (NIH); USDA Plants database; scientific name; PubChem compound page (NIH); USDA Plants database</t>
        </is>
      </c>
      <c r="P300" s="134" t="n"/>
      <c r="Q300" s="134" t="inlineStr">
        <is>
          <t>sceletium-expansum; sceletium-tortuosum; sceletium-tortuosum-kanna</t>
        </is>
      </c>
      <c r="R300" s="134" t="n">
        <v>3</v>
      </c>
      <c r="S300" s="134" t="inlineStr">
        <is>
          <t>Yes</t>
        </is>
      </c>
      <c r="T300" s="134" t="inlineStr">
        <is>
          <t>Integrated from cleaned high-signal dataset</t>
        </is>
      </c>
    </row>
    <row r="301" ht="26" customHeight="1" s="76">
      <c r="A301" s="134" t="inlineStr">
        <is>
          <t>mesembrine</t>
        </is>
      </c>
      <c r="B301" s="134" t="inlineStr">
        <is>
          <t>mesembrine</t>
        </is>
      </c>
      <c r="C301" s="134" t="n"/>
      <c r="D301" s="134" t="inlineStr">
        <is>
          <t>other</t>
        </is>
      </c>
      <c r="E301" s="134" t="inlineStr">
        <is>
          <t>insufficient evidence</t>
        </is>
      </c>
      <c r="F301" s="134" t="inlineStr">
        <is>
          <t>multi-target signaling modulation</t>
        </is>
      </c>
      <c r="G301" s="134" t="inlineStr">
        <is>
          <t>general or unknown targets</t>
        </is>
      </c>
      <c r="H301" s="134" t="inlineStr">
        <is>
          <t>Absorption and bioavailability vary; some compounds metabolized via cytochrome P450 enzymes.</t>
        </is>
      </c>
      <c r="I301" s="134" t="inlineStr">
        <is>
          <t>low</t>
        </is>
      </c>
      <c r="J301" s="134" t="inlineStr">
        <is>
          <t>no well-documented interactions</t>
        </is>
      </c>
      <c r="K301" s="134" t="n"/>
      <c r="L301" s="134" t="inlineStr">
        <is>
          <t>compound_level</t>
        </is>
      </c>
      <c r="M301" s="134" t="inlineStr">
        <is>
          <t>https://plants.sc.egov.usda.gov/home/search?query=Sceletium%20Tortuosum | https://plants.sc.egov.usda.gov/home/search?query=Sceletium%20tortuosum | https://pubchem.ncbi.nlm.nih.gov/#query=mesembrine</t>
        </is>
      </c>
      <c r="N301" s="134" t="inlineStr">
        <is>
          <t>inferred_plus_trusted_gov</t>
        </is>
      </c>
      <c r="O301" s="134" t="inlineStr">
        <is>
          <t>Unknown; PubChem compound page (NIH); USDA Plants database; scientific name; PubChem compound page (NIH); USDA Plants database</t>
        </is>
      </c>
      <c r="P301" s="134" t="n"/>
      <c r="Q301" s="134" t="inlineStr">
        <is>
          <t>sceletium-tortuosum; sceletium-tortuosum-kanna</t>
        </is>
      </c>
      <c r="R301" s="134" t="n">
        <v>2</v>
      </c>
      <c r="S301" s="134" t="inlineStr">
        <is>
          <t>Yes</t>
        </is>
      </c>
      <c r="T301" s="134" t="inlineStr">
        <is>
          <t>Integrated from cleaned high-signal dataset</t>
        </is>
      </c>
    </row>
    <row r="302" ht="26" customHeight="1" s="76">
      <c r="A302" s="134" t="inlineStr">
        <is>
          <t>methyl salicylate</t>
        </is>
      </c>
      <c r="B302" s="134" t="inlineStr">
        <is>
          <t>methyl salicylate</t>
        </is>
      </c>
      <c r="C302" s="134" t="n"/>
      <c r="D302" s="134" t="inlineStr">
        <is>
          <t>Arbutin, tannins, methyl salicylate</t>
        </is>
      </c>
      <c r="E302" s="134" t="inlineStr">
        <is>
          <t>insufficient evidence</t>
        </is>
      </c>
      <c r="F302" s="134" t="inlineStr">
        <is>
          <t>cox inhibition</t>
        </is>
      </c>
      <c r="G302" s="134" t="inlineStr">
        <is>
          <t>PTGS1, PTGS2 (COX-1, COX-2)</t>
        </is>
      </c>
      <c r="H302" s="134" t="inlineStr">
        <is>
          <t>Oral; mild diuretic and anti-inflammatory</t>
        </is>
      </c>
      <c r="I302" s="134" t="inlineStr">
        <is>
          <t>low</t>
        </is>
      </c>
      <c r="J302" s="134" t="inlineStr">
        <is>
          <t>may interact with NSAIDs or anticoagulants</t>
        </is>
      </c>
      <c r="K302" s="134" t="n"/>
      <c r="L302" s="134" t="inlineStr">
        <is>
          <t>compound_level</t>
        </is>
      </c>
      <c r="M302" s="134" t="inlineStr">
        <is>
          <t>https://plants.sc.egov.usda.gov/home/search?query=Chimaphila%20umbellata | https://plants.sc.egov.usda.gov/home/search?query=Viola%20odorata | https://pubchem.ncbi.nlm.nih.gov/#query=methyl%20salicylate</t>
        </is>
      </c>
      <c r="N302" s="134" t="inlineStr">
        <is>
          <t>inferred_plus_trusted_gov</t>
        </is>
      </c>
      <c r="O302" s="134" t="inlineStr">
        <is>
          <t>scientific name; PubChem compound page (NIH); USDA Plants database</t>
        </is>
      </c>
      <c r="P302" s="134" t="n"/>
      <c r="Q302" s="134" t="inlineStr">
        <is>
          <t>chimaphila-umbellata; viola-odorata</t>
        </is>
      </c>
      <c r="R302" s="134" t="n">
        <v>2</v>
      </c>
      <c r="S302" s="134" t="inlineStr">
        <is>
          <t>Yes</t>
        </is>
      </c>
      <c r="T302" s="134" t="inlineStr">
        <is>
          <t>Integrated from cleaned high-signal dataset</t>
        </is>
      </c>
    </row>
    <row r="303" ht="26" customHeight="1" s="76">
      <c r="A303" s="134" t="inlineStr">
        <is>
          <t>methysticin</t>
        </is>
      </c>
      <c r="B303" s="134" t="inlineStr">
        <is>
          <t>methysticin</t>
        </is>
      </c>
      <c r="C303" s="134" t="n"/>
      <c r="D303" s="134" t="inlineStr">
        <is>
          <t>other</t>
        </is>
      </c>
      <c r="E303" s="134" t="inlineStr">
        <is>
          <t>Kavalactones modulate GABA_A receptor activity, inhibit voltage-gated sodium and calcium channels, and influence dopamine signaling.</t>
        </is>
      </c>
      <c r="F303" s="134" t="inlineStr">
        <is>
          <t>gaba_a_modulation; multi-target signaling modulation</t>
        </is>
      </c>
      <c r="G303" s="134" t="inlineStr">
        <is>
          <t>dopaminergic_modulation; gabaergic_modulation</t>
        </is>
      </c>
      <c r="H303" s="134" t="inlineStr">
        <is>
          <t>moderate absorption; hepatic metabolism</t>
        </is>
      </c>
      <c r="I303" s="134" t="inlineStr">
        <is>
          <t>low</t>
        </is>
      </c>
      <c r="J303" s="134" t="inlineStr">
        <is>
          <t>no well-documented interactions</t>
        </is>
      </c>
      <c r="K303" s="134" t="n"/>
      <c r="L303" s="134" t="inlineStr">
        <is>
          <t>compound_level</t>
        </is>
      </c>
      <c r="M303" s="134" t="inlineStr">
        <is>
          <t>https://plants.sc.egov.usda.gov/home/search?query=kava | https://plants.sc.egov.usda.gov/home/search?query=piper%20methysticum | https://pubchem.ncbi.nlm.nih.gov/#query=methysticin</t>
        </is>
      </c>
      <c r="N303" s="134" t="inlineStr">
        <is>
          <t>trusted_gov_added</t>
        </is>
      </c>
      <c r="O303" s="134" t="inlineStr">
        <is>
          <t>PubChem compound page (NIH); USDA Plants database</t>
        </is>
      </c>
      <c r="P303" s="134" t="n"/>
      <c r="Q303" s="134" t="inlineStr">
        <is>
          <t>kava</t>
        </is>
      </c>
      <c r="R303" s="134" t="n">
        <v>1</v>
      </c>
      <c r="S303" s="134" t="inlineStr">
        <is>
          <t>Yes</t>
        </is>
      </c>
      <c r="T303" s="134" t="inlineStr">
        <is>
          <t>Integrated from cleaned high-signal dataset</t>
        </is>
      </c>
    </row>
    <row r="304" ht="26" customHeight="1" s="76">
      <c r="A304" s="134" t="inlineStr">
        <is>
          <t>miroestrol</t>
        </is>
      </c>
      <c r="B304" s="134" t="inlineStr">
        <is>
          <t>miroestrol</t>
        </is>
      </c>
      <c r="C304" s="134" t="n"/>
      <c r="D304" s="134" t="inlineStr">
        <is>
          <t>other</t>
        </is>
      </c>
      <c r="E304" s="134" t="inlineStr">
        <is>
          <t>insufficient evidence</t>
        </is>
      </c>
      <c r="F304" s="134" t="inlineStr">
        <is>
          <t>multi-target signaling modulation</t>
        </is>
      </c>
      <c r="G304" s="134" t="inlineStr">
        <is>
          <t>general or unknown targets</t>
        </is>
      </c>
      <c r="H304" s="134" t="inlineStr">
        <is>
          <t>Oral; mimics estrogen receptor activity</t>
        </is>
      </c>
      <c r="I304" s="134" t="inlineStr">
        <is>
          <t>low</t>
        </is>
      </c>
      <c r="J304" s="134" t="inlineStr">
        <is>
          <t>no well-documented interactions</t>
        </is>
      </c>
      <c r="K304" s="134" t="n"/>
      <c r="L304" s="134" t="inlineStr">
        <is>
          <t>compound_level</t>
        </is>
      </c>
      <c r="M304" s="134" t="inlineStr">
        <is>
          <t>https://plants.sc.egov.usda.gov/home/search?query=Pueraria%20mirifica | https://pubchem.ncbi.nlm.nih.gov/#query=miroestrol</t>
        </is>
      </c>
      <c r="N304" s="134" t="inlineStr">
        <is>
          <t>inferred_plus_trusted_gov</t>
        </is>
      </c>
      <c r="O304" s="134" t="inlineStr">
        <is>
          <t>scientific name; PubChem compound page (NIH); USDA Plants database</t>
        </is>
      </c>
      <c r="P304" s="134" t="n"/>
      <c r="Q304" s="134" t="inlineStr">
        <is>
          <t>pueraria-mirifica</t>
        </is>
      </c>
      <c r="R304" s="134" t="n">
        <v>1</v>
      </c>
      <c r="S304" s="134" t="inlineStr">
        <is>
          <t>Yes</t>
        </is>
      </c>
      <c r="T304" s="134" t="inlineStr">
        <is>
          <t>Integrated from cleaned high-signal dataset</t>
        </is>
      </c>
    </row>
    <row r="305" ht="26" customHeight="1" s="76">
      <c r="A305" s="134" t="inlineStr">
        <is>
          <t>mitragynine</t>
        </is>
      </c>
      <c r="B305" s="134" t="inlineStr">
        <is>
          <t>mitragynine</t>
        </is>
      </c>
      <c r="C305" s="134" t="n"/>
      <c r="D305" s="134" t="inlineStr">
        <is>
          <t>other</t>
        </is>
      </c>
      <c r="E305" s="134" t="inlineStr">
        <is>
          <t>Mitragynine and 7-hydroxymitragynine act as partial agonists at μ-opioid receptors with additional adrenergic and serotonergic activity.</t>
        </is>
      </c>
      <c r="F305" s="134" t="inlineStr">
        <is>
          <t>multi-target signaling modulation</t>
        </is>
      </c>
      <c r="G305" s="134" t="inlineStr">
        <is>
          <t>general or unknown targets</t>
        </is>
      </c>
      <c r="H305" s="134" t="inlineStr">
        <is>
          <t>moderate absorption; hepatic metabolism</t>
        </is>
      </c>
      <c r="I305" s="134" t="inlineStr">
        <is>
          <t>low</t>
        </is>
      </c>
      <c r="J305" s="134" t="inlineStr">
        <is>
          <t>no well-documented interactions</t>
        </is>
      </c>
      <c r="K305" s="134" t="n"/>
      <c r="L305" s="134" t="inlineStr">
        <is>
          <t>compound_level</t>
        </is>
      </c>
      <c r="M305" s="134" t="inlineStr">
        <is>
          <t>https://plants.sc.egov.usda.gov/home/search?query=Mitragyna%20speciosa | https://plants.sc.egov.usda.gov/home/search?query=kratom%20hybrids | https://pubchem.ncbi.nlm.nih.gov/#query=mitragynine</t>
        </is>
      </c>
      <c r="N305" s="134" t="inlineStr">
        <is>
          <t>inferred_plus_trusted_gov; trusted_gov_added</t>
        </is>
      </c>
      <c r="O305" s="134" t="inlineStr">
        <is>
          <t>PubChem compound page (NIH); USDA Plants database; scientific name; PubChem compound page (NIH); USDA Plants database</t>
        </is>
      </c>
      <c r="P305" s="134" t="n"/>
      <c r="Q305" s="134" t="inlineStr">
        <is>
          <t>kratom-hybrids; mitragyna-speciosa</t>
        </is>
      </c>
      <c r="R305" s="134" t="n">
        <v>2</v>
      </c>
      <c r="S305" s="134" t="inlineStr">
        <is>
          <t>Yes</t>
        </is>
      </c>
      <c r="T305" s="134" t="inlineStr">
        <is>
          <t>Integrated from cleaned high-signal dataset</t>
        </is>
      </c>
    </row>
    <row r="306" ht="26" customHeight="1" s="76">
      <c r="A306" s="134" t="inlineStr">
        <is>
          <t>mitrajavine</t>
        </is>
      </c>
      <c r="B306" s="134" t="inlineStr">
        <is>
          <t>mitrajavine</t>
        </is>
      </c>
      <c r="C306" s="134" t="n"/>
      <c r="D306" s="134" t="inlineStr">
        <is>
          <t>oxindole alkaloids</t>
        </is>
      </c>
      <c r="E306" s="134" t="inlineStr">
        <is>
          <t>insufficient evidence</t>
        </is>
      </c>
      <c r="F306" s="134" t="inlineStr">
        <is>
          <t>multi-target signaling modulation</t>
        </is>
      </c>
      <c r="G306" s="134" t="inlineStr">
        <is>
          <t>general or unknown targets</t>
        </is>
      </c>
      <c r="H306" s="134" t="inlineStr">
        <is>
          <t>Absorption and bioavailability vary; some compounds metabolized via cytochrome P450 enzymes.</t>
        </is>
      </c>
      <c r="I306" s="134" t="inlineStr">
        <is>
          <t>low</t>
        </is>
      </c>
      <c r="J306" s="134" t="inlineStr">
        <is>
          <t>no well-documented interactions</t>
        </is>
      </c>
      <c r="K306" s="134" t="n"/>
      <c r="L306" s="134" t="inlineStr">
        <is>
          <t>compound_level</t>
        </is>
      </c>
      <c r="M306" s="134" t="inlineStr">
        <is>
          <t>https://plants.sc.egov.usda.gov/home/search?query=Mitragyna%20javanica | https://pubchem.ncbi.nlm.nih.gov/#query=mitrajavine</t>
        </is>
      </c>
      <c r="N306" s="134" t="inlineStr">
        <is>
          <t>inferred_plus_trusted_gov</t>
        </is>
      </c>
      <c r="O306" s="134" t="inlineStr">
        <is>
          <t>scientific name; PubChem compound page (NIH); USDA Plants database</t>
        </is>
      </c>
      <c r="P306" s="134" t="n"/>
      <c r="Q306" s="134" t="inlineStr">
        <is>
          <t>mitragyna-javanica</t>
        </is>
      </c>
      <c r="R306" s="134" t="n">
        <v>1</v>
      </c>
      <c r="S306" s="134" t="inlineStr">
        <is>
          <t>Yes</t>
        </is>
      </c>
      <c r="T306" s="134" t="inlineStr">
        <is>
          <t>Integrated from cleaned high-signal dataset</t>
        </is>
      </c>
    </row>
    <row r="307" ht="26" customHeight="1" s="76">
      <c r="A307" s="134" t="inlineStr">
        <is>
          <t>mitraphylline</t>
        </is>
      </c>
      <c r="B307" s="134" t="inlineStr">
        <is>
          <t>mitraphylline</t>
        </is>
      </c>
      <c r="C307" s="134" t="n"/>
      <c r="D307" s="134" t="inlineStr">
        <is>
          <t>oxindole alkaloids</t>
        </is>
      </c>
      <c r="E307" s="134" t="inlineStr">
        <is>
          <t>insufficient evidence</t>
        </is>
      </c>
      <c r="F307" s="134" t="inlineStr">
        <is>
          <t>multi-target signaling modulation</t>
        </is>
      </c>
      <c r="G307" s="134" t="inlineStr">
        <is>
          <t>general or unknown targets</t>
        </is>
      </c>
      <c r="H307" s="134" t="inlineStr">
        <is>
          <t>Absorption and bioavailability vary; some compounds metabolized via cytochrome P450 enzymes.</t>
        </is>
      </c>
      <c r="I307" s="134" t="inlineStr">
        <is>
          <t>low</t>
        </is>
      </c>
      <c r="J307" s="134" t="inlineStr">
        <is>
          <t>no well-documented interactions</t>
        </is>
      </c>
      <c r="K307" s="134" t="n"/>
      <c r="L307" s="134" t="inlineStr">
        <is>
          <t>compound_level</t>
        </is>
      </c>
      <c r="M307" s="134" t="inlineStr">
        <is>
          <t>https://plants.sc.egov.usda.gov/home/search?query=Mitragyna%20javanica | https://plants.sc.egov.usda.gov/home/search?query=Mitragyna%20parvifolia | https://pubchem.ncbi.nlm.nih.gov/#query=mitraphylline</t>
        </is>
      </c>
      <c r="N307" s="134" t="inlineStr">
        <is>
          <t>inferred_plus_trusted_gov</t>
        </is>
      </c>
      <c r="O307" s="134" t="inlineStr">
        <is>
          <t>scientific name; PubChem compound page (NIH); USDA Plants database</t>
        </is>
      </c>
      <c r="P307" s="134" t="n"/>
      <c r="Q307" s="134" t="inlineStr">
        <is>
          <t>mitragyna-javanica; mitragyna-parvifolia</t>
        </is>
      </c>
      <c r="R307" s="134" t="n">
        <v>2</v>
      </c>
      <c r="S307" s="134" t="inlineStr">
        <is>
          <t>Yes</t>
        </is>
      </c>
      <c r="T307" s="134" t="inlineStr">
        <is>
          <t>Integrated from cleaned high-signal dataset</t>
        </is>
      </c>
    </row>
    <row r="308" ht="26" customHeight="1" s="76">
      <c r="A308" s="134" t="inlineStr">
        <is>
          <t>morphine</t>
        </is>
      </c>
      <c r="B308" s="134" t="inlineStr">
        <is>
          <t>morphine</t>
        </is>
      </c>
      <c r="C308" s="134" t="n"/>
      <c r="D308" s="134" t="inlineStr">
        <is>
          <t>other</t>
        </is>
      </c>
      <c r="E308" s="134" t="inlineStr">
        <is>
          <t>insufficient evidence</t>
        </is>
      </c>
      <c r="F308" s="134" t="inlineStr">
        <is>
          <t>multi-target signaling modulation</t>
        </is>
      </c>
      <c r="G308" s="134" t="inlineStr">
        <is>
          <t>general or unknown targets</t>
        </is>
      </c>
      <c r="H308" s="134" t="inlineStr">
        <is>
          <t>Oral/parenteral; CNS depressant and analgesic</t>
        </is>
      </c>
      <c r="I308" s="134" t="inlineStr">
        <is>
          <t>low</t>
        </is>
      </c>
      <c r="J308" s="134" t="inlineStr">
        <is>
          <t>no well-documented interactions</t>
        </is>
      </c>
      <c r="K308" s="134" t="n"/>
      <c r="L308" s="134" t="inlineStr">
        <is>
          <t>compound_level</t>
        </is>
      </c>
      <c r="M308" s="134" t="inlineStr">
        <is>
          <t>https://plants.sc.egov.usda.gov/home/search?query=Papaver%20somniferum | https://pubchem.ncbi.nlm.nih.gov/#query=morphine</t>
        </is>
      </c>
      <c r="N308" s="134" t="inlineStr">
        <is>
          <t>inferred_plus_trusted_gov</t>
        </is>
      </c>
      <c r="O308" s="134" t="inlineStr">
        <is>
          <t>scientific name; PubChem compound page (NIH); USDA Plants database</t>
        </is>
      </c>
      <c r="P308" s="134" t="n"/>
      <c r="Q308" s="134" t="inlineStr">
        <is>
          <t>papaver-somniferum</t>
        </is>
      </c>
      <c r="R308" s="134" t="n">
        <v>1</v>
      </c>
      <c r="S308" s="134" t="inlineStr">
        <is>
          <t>Yes</t>
        </is>
      </c>
      <c r="T308" s="134" t="inlineStr">
        <is>
          <t>Integrated from cleaned high-signal dataset</t>
        </is>
      </c>
    </row>
    <row r="309" ht="26" customHeight="1" s="76">
      <c r="A309" s="134" t="inlineStr">
        <is>
          <t>morroniside</t>
        </is>
      </c>
      <c r="B309" s="134" t="inlineStr">
        <is>
          <t>morroniside</t>
        </is>
      </c>
      <c r="C309" s="134" t="n"/>
      <c r="D309" s="134" t="inlineStr">
        <is>
          <t>iridoid glycosides</t>
        </is>
      </c>
      <c r="E309" s="134" t="inlineStr">
        <is>
          <t>insufficient evidence</t>
        </is>
      </c>
      <c r="F309" s="134" t="inlineStr">
        <is>
          <t>multi-target signaling modulation</t>
        </is>
      </c>
      <c r="G309" s="134" t="inlineStr">
        <is>
          <t>general or unknown targets</t>
        </is>
      </c>
      <c r="H309" s="134" t="inlineStr">
        <is>
          <t>Absorption and bioavailability vary; some compounds metabolized via cytochrome P450 enzymes.</t>
        </is>
      </c>
      <c r="I309" s="134" t="inlineStr">
        <is>
          <t>low</t>
        </is>
      </c>
      <c r="J309" s="134" t="inlineStr">
        <is>
          <t>no well-documented interactions</t>
        </is>
      </c>
      <c r="K309" s="134" t="n"/>
      <c r="L309" s="134" t="inlineStr">
        <is>
          <t>compound_level</t>
        </is>
      </c>
      <c r="M309" s="134" t="inlineStr">
        <is>
          <t>https://plants.sc.egov.usda.gov/home/search?query=Cornus%20officinalis | https://pubchem.ncbi.nlm.nih.gov/#query=morroniside</t>
        </is>
      </c>
      <c r="N309" s="134" t="inlineStr">
        <is>
          <t>inferred_plus_trusted_gov</t>
        </is>
      </c>
      <c r="O309" s="134" t="inlineStr">
        <is>
          <t>scientific name; PubChem compound page (NIH); USDA Plants database</t>
        </is>
      </c>
      <c r="P309" s="134" t="n"/>
      <c r="Q309" s="134" t="inlineStr">
        <is>
          <t>cornus-officinalis</t>
        </is>
      </c>
      <c r="R309" s="134" t="n">
        <v>1</v>
      </c>
      <c r="S309" s="134" t="inlineStr">
        <is>
          <t>Yes</t>
        </is>
      </c>
      <c r="T309" s="134" t="inlineStr">
        <is>
          <t>Integrated from cleaned high-signal dataset</t>
        </is>
      </c>
    </row>
    <row r="310" ht="26" customHeight="1" s="76">
      <c r="A310" s="134" t="inlineStr">
        <is>
          <t>muscimol</t>
        </is>
      </c>
      <c r="B310" s="134" t="inlineStr">
        <is>
          <t>muscimol</t>
        </is>
      </c>
      <c r="C310" s="134" t="n"/>
      <c r="D310" s="134" t="inlineStr">
        <is>
          <t>other</t>
        </is>
      </c>
      <c r="E310" s="134" t="inlineStr">
        <is>
          <t>Psychotropic effects are mainly attributed to muscimol acting at GABA_A receptors, with ibotenic acid contributing excitatory glutamatergic activity.</t>
        </is>
      </c>
      <c r="F310" s="134" t="inlineStr">
        <is>
          <t>gaba_a_modulation; multi-target signaling modulation</t>
        </is>
      </c>
      <c r="G310" s="134" t="inlineStr">
        <is>
          <t>gabaergic_modulation; general or unknown targets</t>
        </is>
      </c>
      <c r="H310" s="134" t="inlineStr">
        <is>
          <t>moderate absorption; hepatic metabolism</t>
        </is>
      </c>
      <c r="I310" s="134" t="inlineStr">
        <is>
          <t>low</t>
        </is>
      </c>
      <c r="J310" s="134" t="inlineStr">
        <is>
          <t>no well-documented interactions</t>
        </is>
      </c>
      <c r="K310" s="134" t="n"/>
      <c r="L310" s="134" t="inlineStr">
        <is>
          <t>compound_level</t>
        </is>
      </c>
      <c r="M310" s="134" t="inlineStr">
        <is>
          <t>https://plants.sc.egov.usda.gov/home/search?query=Amanita%20muscaria | https://plants.sc.egov.usda.gov/home/search?query=amanita%20muscaria | https://plants.sc.egov.usda.gov/home/search?query=amanita%20pantherina | https://pubchem.ncbi.nlm.nih.gov/#query=muscimol</t>
        </is>
      </c>
      <c r="N310" s="134" t="inlineStr">
        <is>
          <t>inferred_plus_trusted_gov; trusted_gov_added</t>
        </is>
      </c>
      <c r="O310" s="134" t="inlineStr">
        <is>
          <t>PubChem compound page (NIH); USDA Plants database; scientific name; PubChem compound page (NIH); USDA Plants database</t>
        </is>
      </c>
      <c r="P310" s="134" t="n"/>
      <c r="Q310" s="134" t="inlineStr">
        <is>
          <t>amanita-muscaria; amanita-pantherina</t>
        </is>
      </c>
      <c r="R310" s="134" t="n">
        <v>2</v>
      </c>
      <c r="S310" s="134" t="inlineStr">
        <is>
          <t>Yes</t>
        </is>
      </c>
      <c r="T310" s="134" t="inlineStr">
        <is>
          <t>Integrated from cleaned high-signal dataset</t>
        </is>
      </c>
    </row>
    <row r="311" ht="26" customHeight="1" s="76">
      <c r="A311" s="134" t="inlineStr">
        <is>
          <t>myo-inositol</t>
        </is>
      </c>
      <c r="B311" s="134" t="inlineStr">
        <is>
          <t>myo-inositol</t>
        </is>
      </c>
      <c r="C311" s="134" t="n"/>
      <c r="D311" s="134" t="inlineStr">
        <is>
          <t>carbocyclic sugar</t>
        </is>
      </c>
      <c r="E311" s="134" t="inlineStr">
        <is>
          <t>Precursor for phosphatidylinositol and inositol phosphate signaling cascades.</t>
        </is>
      </c>
      <c r="F311" s="134" t="n"/>
      <c r="G311" s="134" t="inlineStr">
        <is>
          <t>Inositol phosphate signaling; PI3K signaling pathway</t>
        </is>
      </c>
      <c r="H311" s="134" t="inlineStr">
        <is>
          <t>Well absorbed orally.</t>
        </is>
      </c>
      <c r="I311" s="134" t="inlineStr">
        <is>
          <t>Generally well tolerated; GI upset can occur at higher doses.</t>
        </is>
      </c>
      <c r="J311" s="134" t="inlineStr">
        <is>
          <t>SSRIs (possible additive serotonergic modulation; limited evidence).</t>
        </is>
      </c>
      <c r="K311" s="134" t="inlineStr">
        <is>
          <t>moderate</t>
        </is>
      </c>
      <c r="L311" s="134" t="inlineStr">
        <is>
          <t>Batch10</t>
        </is>
      </c>
      <c r="M311" s="134" t="n"/>
      <c r="N311" s="134" t="n"/>
      <c r="O311" s="134" t="n"/>
      <c r="P311" s="134" t="inlineStr">
        <is>
          <t>manual_batch10</t>
        </is>
      </c>
      <c r="Q311" s="134" t="n"/>
      <c r="R311" s="134" t="n">
        <v>0</v>
      </c>
      <c r="S311" s="134" t="inlineStr">
        <is>
          <t>No</t>
        </is>
      </c>
      <c r="T311" s="134" t="inlineStr">
        <is>
          <t>Integrated from compound monograph workbook</t>
        </is>
      </c>
    </row>
    <row r="312" ht="26" customHeight="1" s="76">
      <c r="A312" s="134" t="inlineStr">
        <is>
          <t>myrcene</t>
        </is>
      </c>
      <c r="B312" s="134" t="inlineStr">
        <is>
          <t>myrcene</t>
        </is>
      </c>
      <c r="C312" s="134" t="n"/>
      <c r="D312" s="134" t="inlineStr">
        <is>
          <t>other</t>
        </is>
      </c>
      <c r="E312" s="134" t="inlineStr">
        <is>
          <t>insufficient evidence</t>
        </is>
      </c>
      <c r="F312" s="134" t="inlineStr">
        <is>
          <t>multi-target signaling modulation</t>
        </is>
      </c>
      <c r="G312" s="134" t="inlineStr">
        <is>
          <t>general or unknown targets</t>
        </is>
      </c>
      <c r="H312" s="134" t="inlineStr">
        <is>
          <t>Absorption and bioavailability vary; some compounds metabolized via cytochrome P450 enzymes.</t>
        </is>
      </c>
      <c r="I312" s="134" t="inlineStr">
        <is>
          <t>low</t>
        </is>
      </c>
      <c r="J312" s="134" t="inlineStr">
        <is>
          <t>no well-documented interactions</t>
        </is>
      </c>
      <c r="K312" s="134" t="n"/>
      <c r="L312" s="134" t="inlineStr">
        <is>
          <t>compound_level</t>
        </is>
      </c>
      <c r="M312" s="134" t="inlineStr">
        <is>
          <t>https://plants.sc.egov.usda.gov/home/search?query=Pimenta%20racemosa | https://pubchem.ncbi.nlm.nih.gov/#query=myrcene</t>
        </is>
      </c>
      <c r="N312" s="134" t="inlineStr">
        <is>
          <t>inferred_plus_trusted_gov</t>
        </is>
      </c>
      <c r="O312" s="134" t="inlineStr">
        <is>
          <t>scientific name; PubChem compound page (NIH); USDA Plants database</t>
        </is>
      </c>
      <c r="P312" s="134" t="n"/>
      <c r="Q312" s="134" t="inlineStr">
        <is>
          <t>pimenta-racemosa</t>
        </is>
      </c>
      <c r="R312" s="134" t="n">
        <v>1</v>
      </c>
      <c r="S312" s="134" t="inlineStr">
        <is>
          <t>Yes</t>
        </is>
      </c>
      <c r="T312" s="134" t="inlineStr">
        <is>
          <t>Integrated from cleaned high-signal dataset</t>
        </is>
      </c>
    </row>
    <row r="313" ht="26" customHeight="1" s="76">
      <c r="A313" s="134" t="inlineStr">
        <is>
          <t>myristicin</t>
        </is>
      </c>
      <c r="B313" s="134" t="inlineStr">
        <is>
          <t>myristicin</t>
        </is>
      </c>
      <c r="C313" s="134" t="n"/>
      <c r="D313" s="134" t="inlineStr">
        <is>
          <t>essential oils</t>
        </is>
      </c>
      <c r="E313" s="134" t="inlineStr">
        <is>
          <t>insufficient evidence</t>
        </is>
      </c>
      <c r="F313" s="134" t="inlineStr">
        <is>
          <t>multi-target signaling modulation</t>
        </is>
      </c>
      <c r="G313" s="134" t="inlineStr">
        <is>
          <t>general or unknown targets</t>
        </is>
      </c>
      <c r="H313" s="134" t="inlineStr">
        <is>
          <t>Absorption and bioavailability vary; some compounds metabolized via cytochrome P450 enzymes.</t>
        </is>
      </c>
      <c r="I313" s="134" t="inlineStr">
        <is>
          <t>low</t>
        </is>
      </c>
      <c r="J313" s="134" t="inlineStr">
        <is>
          <t>no well-documented interactions</t>
        </is>
      </c>
      <c r="K313" s="134" t="n"/>
      <c r="L313" s="134" t="inlineStr">
        <is>
          <t>compound_level</t>
        </is>
      </c>
      <c r="M313" s="134" t="inlineStr">
        <is>
          <t>https://plants.sc.egov.usda.gov/home/search?query=Macropiper%20excelsum | https://pubchem.ncbi.nlm.nih.gov/#query=myristicin</t>
        </is>
      </c>
      <c r="N313" s="134" t="inlineStr">
        <is>
          <t>inferred_plus_trusted_gov</t>
        </is>
      </c>
      <c r="O313" s="134" t="inlineStr">
        <is>
          <t>scientific name; PubChem compound page (NIH); USDA Plants database</t>
        </is>
      </c>
      <c r="P313" s="134" t="n"/>
      <c r="Q313" s="134" t="inlineStr">
        <is>
          <t>macropiper-excelsum</t>
        </is>
      </c>
      <c r="R313" s="134" t="n">
        <v>1</v>
      </c>
      <c r="S313" s="134" t="inlineStr">
        <is>
          <t>Yes</t>
        </is>
      </c>
      <c r="T313" s="134" t="inlineStr">
        <is>
          <t>Integrated from cleaned high-signal dataset</t>
        </is>
      </c>
    </row>
    <row r="314" ht="26" customHeight="1" s="76">
      <c r="A314" s="134" t="inlineStr">
        <is>
          <t>n-acetyl-l-tyrosine</t>
        </is>
      </c>
      <c r="B314" s="134" t="inlineStr">
        <is>
          <t>N-acetyl-L-tyrosine</t>
        </is>
      </c>
      <c r="C314" s="134" t="n"/>
      <c r="D314" s="134" t="inlineStr">
        <is>
          <t>N-acetyl amino acid derivative</t>
        </is>
      </c>
      <c r="E314" s="134" t="inlineStr">
        <is>
          <t>Acetylated tyrosine donor that is deacetylated to tyrosine and can feed catecholamine-precursor pools; evidence that it outperforms L-tyrosine as a CNS precursor is limited.</t>
        </is>
      </c>
      <c r="F314" s="134" t="n"/>
      <c r="G314" s="134" t="inlineStr">
        <is>
          <t>Tyrosine pool replenishment; catecholamine biosynthesis support; thyroid hormone precursor biology</t>
        </is>
      </c>
      <c r="H314" s="134" t="inlineStr">
        <is>
          <t>More water-soluble than L-tyrosine; acetylated forms can predominate in plasma after supplementation, consistent with incomplete/variable deacetylation.</t>
        </is>
      </c>
      <c r="I314" s="134" t="inlineStr">
        <is>
          <t>Direct supplement safety data are limited; use conservative dosing assumptions. Practical risk is lower than serotonergic precursors but efficacy as a superior tyrosine donor is uncertain.</t>
        </is>
      </c>
      <c r="J314" s="134" t="inlineStr">
        <is>
          <t>Levodopa / other large neutral amino acids (theoretical transport competition after deacetylation).</t>
        </is>
      </c>
      <c r="K314" s="134" t="inlineStr">
        <is>
          <t>Moderate</t>
        </is>
      </c>
      <c r="L314" s="134" t="inlineStr">
        <is>
          <t>mixed</t>
        </is>
      </c>
      <c r="M314" s="134" t="inlineStr">
        <is>
          <t>https://pmc.ncbi.nlm.nih.gov/articles/PMC3018185/ | https://pubchem.ncbi.nlm.nih.gov/compound/N-Acetyl-L-tyrosine</t>
        </is>
      </c>
      <c r="N314" s="134" t="n"/>
      <c r="O314" s="134" t="n"/>
      <c r="P314" s="134" t="inlineStr">
        <is>
          <t>Batch11_neuroprecursors_2026-04-06</t>
        </is>
      </c>
      <c r="Q314" s="134" t="n"/>
      <c r="R314" s="134" t="n">
        <v>0</v>
      </c>
      <c r="S314" s="134" t="inlineStr">
        <is>
          <t>No</t>
        </is>
      </c>
      <c r="T314" s="134" t="inlineStr">
        <is>
          <t>Integrated from compound monograph workbook</t>
        </is>
      </c>
    </row>
    <row r="315" ht="26" customHeight="1" s="76">
      <c r="A315" s="134" t="inlineStr">
        <is>
          <t>n-acetylcysteine</t>
        </is>
      </c>
      <c r="B315" s="134" t="inlineStr">
        <is>
          <t>n-acetylcysteine (nac)</t>
        </is>
      </c>
      <c r="C315" s="134" t="n"/>
      <c r="D315" s="134" t="inlineStr">
        <is>
          <t>amino acid derivative / thiol</t>
        </is>
      </c>
      <c r="E315" s="134" t="inlineStr">
        <is>
          <t>Replenishes glutathione by serving as a cysteine precursor; also has direct reducing activity and breaks disulfide bonds in mucus.</t>
        </is>
      </c>
      <c r="F315" s="134" t="n"/>
      <c r="G315" s="134" t="inlineStr">
        <is>
          <t>Glutathione replenishment; mucolytic disulfide-bond reduction; redox signaling modulation</t>
        </is>
      </c>
      <c r="H315" s="134" t="inlineStr">
        <is>
          <t>Used as a drug and supplement with route-dependent exposure; dataset wording should focus on mechanism rather than detailed supplement PK assumptions.</t>
        </is>
      </c>
      <c r="I315" s="134" t="inlineStr">
        <is>
          <t>GI upset and sulfur odor are common; serious liver injury signal is not expected, and LiverTox notes acetylcysteine is not linked to clinically apparent acute liver injury.</t>
        </is>
      </c>
      <c r="J315" s="134" t="inlineStr">
        <is>
          <t>Nitroglycerin (can potentiate vasodilation, headache, and hypotension); activated charcoal can reduce absorption in overdose settings.</t>
        </is>
      </c>
      <c r="K315" s="134" t="inlineStr">
        <is>
          <t>high</t>
        </is>
      </c>
      <c r="L315" s="134" t="inlineStr">
        <is>
          <t>Sprint5</t>
        </is>
      </c>
      <c r="M315" s="134" t="inlineStr">
        <is>
          <t>https://pmc.ncbi.nlm.nih.gov/articles/PMC8234027/ | https://pubchem.ncbi.nlm.nih.gov/compound/N-Acetyl-L-Cysteine | https://www.ncbi.nlm.nih.gov/books/NBK537183/ | https://www.ncbi.nlm.nih.gov/books/NBK548401/</t>
        </is>
      </c>
      <c r="N315" s="134" t="n"/>
      <c r="O315" s="134" t="n"/>
      <c r="P315" s="134" t="inlineStr">
        <is>
          <t>precision_monographs_sprint5.xlsx</t>
        </is>
      </c>
      <c r="Q315" s="134" t="n"/>
      <c r="R315" s="134" t="n">
        <v>0</v>
      </c>
      <c r="S315" s="134" t="inlineStr">
        <is>
          <t>No</t>
        </is>
      </c>
      <c r="T315" s="134" t="inlineStr">
        <is>
          <t>Integrated from compound monograph workbook</t>
        </is>
      </c>
    </row>
    <row r="316" ht="26" customHeight="1" s="76">
      <c r="A316" s="134" t="inlineStr">
        <is>
          <t>n-dimethylhistamine</t>
        </is>
      </c>
      <c r="B316" s="134" t="inlineStr">
        <is>
          <t>n-dimethylhistamine</t>
        </is>
      </c>
      <c r="C316" s="134" t="n"/>
      <c r="D316" s="134" t="inlineStr">
        <is>
          <t>other</t>
        </is>
      </c>
      <c r="E316" s="134" t="inlineStr">
        <is>
          <t>insufficient evidence</t>
        </is>
      </c>
      <c r="F316" s="134" t="inlineStr">
        <is>
          <t>multi-target signaling modulation</t>
        </is>
      </c>
      <c r="G316" s="134" t="inlineStr">
        <is>
          <t>general or unknown targets</t>
        </is>
      </c>
      <c r="H316" s="134" t="inlineStr">
        <is>
          <t>moderate absorption; hepatic metabolism</t>
        </is>
      </c>
      <c r="I316" s="134" t="inlineStr">
        <is>
          <t>low</t>
        </is>
      </c>
      <c r="J316" s="134" t="inlineStr">
        <is>
          <t>no well-documented interactions</t>
        </is>
      </c>
      <c r="K316" s="134" t="n"/>
      <c r="L316" s="134" t="inlineStr">
        <is>
          <t>compound_level</t>
        </is>
      </c>
      <c r="M316" s="134" t="inlineStr">
        <is>
          <t>https://plants.sc.egov.usda.gov/home/search?query=casimiroa%20edulis | https://pubchem.ncbi.nlm.nih.gov/#query=n-dimethylhistamine</t>
        </is>
      </c>
      <c r="N316" s="134" t="inlineStr">
        <is>
          <t>trusted_gov_added</t>
        </is>
      </c>
      <c r="O316" s="134" t="inlineStr">
        <is>
          <t>PubChem compound page (NIH); USDA Plants database</t>
        </is>
      </c>
      <c r="P316" s="134" t="n"/>
      <c r="Q316" s="134" t="inlineStr">
        <is>
          <t>casimiroa-edulis</t>
        </is>
      </c>
      <c r="R316" s="134" t="n">
        <v>1</v>
      </c>
      <c r="S316" s="134" t="inlineStr">
        <is>
          <t>Yes</t>
        </is>
      </c>
      <c r="T316" s="134" t="inlineStr">
        <is>
          <t>Integrated from cleaned high-signal dataset</t>
        </is>
      </c>
    </row>
    <row r="317" ht="26" customHeight="1" s="76">
      <c r="A317" s="134" t="inlineStr">
        <is>
          <t>n-dimethyltryptamine</t>
        </is>
      </c>
      <c r="B317" s="134" t="inlineStr">
        <is>
          <t>n-dimethyltryptamine (dmt)</t>
        </is>
      </c>
      <c r="C317" s="134" t="n"/>
      <c r="D317" s="134" t="inlineStr">
        <is>
          <t>alkaloid</t>
        </is>
      </c>
      <c r="E317" s="134" t="inlineStr">
        <is>
          <t>DMT acts primarily as a serotonergic psychedelic with activity at 5-HT2A receptors, while additional interactions at 5-HT1A, 5-HT2C, and sigma-1 receptors have been reported.</t>
        </is>
      </c>
      <c r="F317" s="134" t="inlineStr">
        <is>
          <t>serotonergic modulation</t>
        </is>
      </c>
      <c r="G317" s="134" t="inlineStr">
        <is>
          <t>serotonergic_5HT2A_agonism</t>
        </is>
      </c>
      <c r="H317" s="134" t="inlineStr">
        <is>
          <t>rapid absorption; CNS penetration; hepatic metabolism</t>
        </is>
      </c>
      <c r="I317" s="134" t="inlineStr">
        <is>
          <t>moderate-high</t>
        </is>
      </c>
      <c r="J317" s="134" t="inlineStr">
        <is>
          <t>avoid with SSRIs/MAOIs; risk of serotonin syndrome</t>
        </is>
      </c>
      <c r="K317" s="134" t="n"/>
      <c r="L317" s="134" t="inlineStr">
        <is>
          <t>compound_level</t>
        </is>
      </c>
      <c r="M317" s="134" t="inlineStr">
        <is>
          <t>https://plants.sc.egov.usda.gov/home/search?query=Acacia%20phlebophylla | https://plants.sc.egov.usda.gov/home/search?query=Diplopterys%20cabrerana | https://plants.sc.egov.usda.gov/home/search?query=Psychotria%20viridis | https://plants.sc.egov.usda.gov/home/search?query=Virola%20calophylla | https://plants.sc.egov.usda.gov/home/search?query=Virola%20elongata | https://plants.sc.egov.usda.gov/home/search?query=Virola%20sebifera | https://plants.sc.egov.usda.gov/home/search?query=acacia%20confusa | https://plants.sc.egov.usda.gov/home/search?query=acacia%20maidenii | https://plants.sc.egov.usda.gov/home/search?query=chacruna | https://pubchem.ncbi.nlm.nih.gov/#query=n%2Cn-dimethyltryptamine</t>
        </is>
      </c>
      <c r="N317" s="134" t="inlineStr">
        <is>
          <t>inferred_plus_trusted_gov; trusted_gov_added</t>
        </is>
      </c>
      <c r="O317" s="134" t="inlineStr">
        <is>
          <t>PubChem compound page (NIH); USDA Plants database; scientific name; PubChem compound page (NIH); USDA Plants database</t>
        </is>
      </c>
      <c r="P317" s="134" t="n"/>
      <c r="Q317" s="134" t="inlineStr">
        <is>
          <t>acacia-confusa; acacia-maidenii; acacia-phlebophylla; diplopterys-cabrerana; psychotria-viridis; virola-calophylla; virola-elongata; virola-sebifera</t>
        </is>
      </c>
      <c r="R317" s="134" t="n">
        <v>8</v>
      </c>
      <c r="S317" s="134" t="inlineStr">
        <is>
          <t>Yes</t>
        </is>
      </c>
      <c r="T317" s="134" t="inlineStr">
        <is>
          <t>Integrated from cleaned high-signal dataset</t>
        </is>
      </c>
    </row>
    <row r="318" ht="26" customHeight="1" s="76">
      <c r="A318" s="134" t="inlineStr">
        <is>
          <t>n-methylasimilobine</t>
        </is>
      </c>
      <c r="B318" s="134" t="inlineStr">
        <is>
          <t>n-methylasimilobine</t>
        </is>
      </c>
      <c r="C318" s="134" t="n"/>
      <c r="D318" s="134" t="inlineStr">
        <is>
          <t>other</t>
        </is>
      </c>
      <c r="E318" s="134" t="inlineStr">
        <is>
          <t>insufficient evidence</t>
        </is>
      </c>
      <c r="F318" s="134" t="inlineStr">
        <is>
          <t>multi-target signaling modulation</t>
        </is>
      </c>
      <c r="G318" s="134" t="inlineStr">
        <is>
          <t>general or unknown targets</t>
        </is>
      </c>
      <c r="H318" s="134" t="inlineStr">
        <is>
          <t>moderate absorption; hepatic metabolism</t>
        </is>
      </c>
      <c r="I318" s="134" t="inlineStr">
        <is>
          <t>low</t>
        </is>
      </c>
      <c r="J318" s="134" t="inlineStr">
        <is>
          <t>no well-documented interactions</t>
        </is>
      </c>
      <c r="K318" s="134" t="n"/>
      <c r="L318" s="134" t="inlineStr">
        <is>
          <t>compound_level</t>
        </is>
      </c>
      <c r="M318" s="134" t="inlineStr">
        <is>
          <t>https://plants.sc.egov.usda.gov/home/search?query=american%20yellow%20lotus | https://pubchem.ncbi.nlm.nih.gov/#query=n-methylasimilobine</t>
        </is>
      </c>
      <c r="N318" s="134" t="inlineStr">
        <is>
          <t>trusted_gov_added</t>
        </is>
      </c>
      <c r="O318" s="134" t="inlineStr">
        <is>
          <t>PubChem compound page (NIH); USDA Plants database</t>
        </is>
      </c>
      <c r="P318" s="134" t="n"/>
      <c r="Q318" s="134" t="inlineStr">
        <is>
          <t>nelumbo-lutea</t>
        </is>
      </c>
      <c r="R318" s="134" t="n">
        <v>1</v>
      </c>
      <c r="S318" s="134" t="inlineStr">
        <is>
          <t>Yes</t>
        </is>
      </c>
      <c r="T318" s="134" t="inlineStr">
        <is>
          <t>Integrated from cleaned high-signal dataset</t>
        </is>
      </c>
    </row>
    <row r="319" ht="26" customHeight="1" s="76">
      <c r="A319" s="134" t="inlineStr">
        <is>
          <t>n-methyltryptamine</t>
        </is>
      </c>
      <c r="B319" s="134" t="inlineStr">
        <is>
          <t>n-methyltryptamine (nmt)</t>
        </is>
      </c>
      <c r="C319" s="134" t="n"/>
      <c r="D319" s="134" t="inlineStr">
        <is>
          <t>alkaloid</t>
        </is>
      </c>
      <c r="E319" s="134" t="inlineStr">
        <is>
          <t>DMT acts primarily as a 5-HT2A receptor agonist with additional sigma-1 receptor activity (proposed).</t>
        </is>
      </c>
      <c r="F319" s="134" t="inlineStr">
        <is>
          <t>serotonergic modulation</t>
        </is>
      </c>
      <c r="G319" s="134" t="inlineStr">
        <is>
          <t>serotonergic_5HT2A_agonism</t>
        </is>
      </c>
      <c r="H319" s="134" t="inlineStr">
        <is>
          <t>rapid absorption; CNS penetration; hepatic metabolism</t>
        </is>
      </c>
      <c r="I319" s="134" t="inlineStr">
        <is>
          <t>moderate-high</t>
        </is>
      </c>
      <c r="J319" s="134" t="inlineStr">
        <is>
          <t>avoid with SSRIs/MAOIs; risk of serotonin syndrome</t>
        </is>
      </c>
      <c r="K319" s="134" t="n"/>
      <c r="L319" s="134" t="inlineStr">
        <is>
          <t>compound_level</t>
        </is>
      </c>
      <c r="M319" s="134" t="inlineStr">
        <is>
          <t>https://plants.sc.egov.usda.gov/home/search?query=acacia%20confusa | https://pubchem.ncbi.nlm.nih.gov/#query=n-methyltryptamine</t>
        </is>
      </c>
      <c r="N319" s="134" t="inlineStr">
        <is>
          <t>trusted_gov_added</t>
        </is>
      </c>
      <c r="O319" s="134" t="inlineStr">
        <is>
          <t>PubChem compound page (NIH); USDA Plants database</t>
        </is>
      </c>
      <c r="P319" s="134" t="n"/>
      <c r="Q319" s="134" t="inlineStr">
        <is>
          <t>acacia-confusa</t>
        </is>
      </c>
      <c r="R319" s="134" t="n">
        <v>1</v>
      </c>
      <c r="S319" s="134" t="inlineStr">
        <is>
          <t>Yes</t>
        </is>
      </c>
      <c r="T319" s="134" t="inlineStr">
        <is>
          <t>Integrated from cleaned high-signal dataset</t>
        </is>
      </c>
    </row>
    <row r="320" ht="26" customHeight="1" s="76">
      <c r="A320" s="134" t="inlineStr">
        <is>
          <t>n-monomethylhistamine</t>
        </is>
      </c>
      <c r="B320" s="134" t="inlineStr">
        <is>
          <t>n-monomethylhistamine</t>
        </is>
      </c>
      <c r="C320" s="134" t="n"/>
      <c r="D320" s="134" t="inlineStr">
        <is>
          <t>other</t>
        </is>
      </c>
      <c r="E320" s="134" t="inlineStr">
        <is>
          <t>insufficient evidence</t>
        </is>
      </c>
      <c r="F320" s="134" t="inlineStr">
        <is>
          <t>multi-target signaling modulation</t>
        </is>
      </c>
      <c r="G320" s="134" t="inlineStr">
        <is>
          <t>general or unknown targets</t>
        </is>
      </c>
      <c r="H320" s="134" t="inlineStr">
        <is>
          <t>moderate absorption; hepatic metabolism</t>
        </is>
      </c>
      <c r="I320" s="134" t="inlineStr">
        <is>
          <t>low</t>
        </is>
      </c>
      <c r="J320" s="134" t="inlineStr">
        <is>
          <t>no well-documented interactions</t>
        </is>
      </c>
      <c r="K320" s="134" t="n"/>
      <c r="L320" s="134" t="inlineStr">
        <is>
          <t>compound_level</t>
        </is>
      </c>
      <c r="M320" s="134" t="inlineStr">
        <is>
          <t>https://plants.sc.egov.usda.gov/home/search?query=casimiroa%20edulis | https://pubchem.ncbi.nlm.nih.gov/#query=n-monomethylhistamine</t>
        </is>
      </c>
      <c r="N320" s="134" t="inlineStr">
        <is>
          <t>trusted_gov_added</t>
        </is>
      </c>
      <c r="O320" s="134" t="inlineStr">
        <is>
          <t>PubChem compound page (NIH); USDA Plants database</t>
        </is>
      </c>
      <c r="P320" s="134" t="n"/>
      <c r="Q320" s="134" t="inlineStr">
        <is>
          <t>casimiroa-edulis</t>
        </is>
      </c>
      <c r="R320" s="134" t="n">
        <v>1</v>
      </c>
      <c r="S320" s="134" t="inlineStr">
        <is>
          <t>Yes</t>
        </is>
      </c>
      <c r="T320" s="134" t="inlineStr">
        <is>
          <t>Integrated from cleaned high-signal dataset</t>
        </is>
      </c>
    </row>
    <row r="321" ht="26" customHeight="1" s="76">
      <c r="A321" s="134" t="inlineStr">
        <is>
          <t>neoquassin</t>
        </is>
      </c>
      <c r="B321" s="134" t="inlineStr">
        <is>
          <t>neoquassin</t>
        </is>
      </c>
      <c r="C321" s="134" t="n"/>
      <c r="D321" s="134" t="inlineStr">
        <is>
          <t>other</t>
        </is>
      </c>
      <c r="E321" s="134" t="inlineStr">
        <is>
          <t>insufficient evidence</t>
        </is>
      </c>
      <c r="F321" s="134" t="inlineStr">
        <is>
          <t>multi-target signaling modulation</t>
        </is>
      </c>
      <c r="G321" s="134" t="inlineStr">
        <is>
          <t>general or unknown targets</t>
        </is>
      </c>
      <c r="H321" s="134" t="inlineStr">
        <is>
          <t>Oral; cholagogue and vermifuge</t>
        </is>
      </c>
      <c r="I321" s="134" t="inlineStr">
        <is>
          <t>low</t>
        </is>
      </c>
      <c r="J321" s="134" t="inlineStr">
        <is>
          <t>no well-documented interactions</t>
        </is>
      </c>
      <c r="K321" s="134" t="n"/>
      <c r="L321" s="134" t="inlineStr">
        <is>
          <t>compound_level</t>
        </is>
      </c>
      <c r="M321" s="134" t="inlineStr">
        <is>
          <t>https://plants.sc.egov.usda.gov/home/search?query=Quassia%20amara | https://pubchem.ncbi.nlm.nih.gov/#query=neoquassin</t>
        </is>
      </c>
      <c r="N321" s="134" t="inlineStr">
        <is>
          <t>inferred_plus_trusted_gov</t>
        </is>
      </c>
      <c r="O321" s="134" t="inlineStr">
        <is>
          <t>scientific name; PubChem compound page (NIH); USDA Plants database</t>
        </is>
      </c>
      <c r="P321" s="134" t="n"/>
      <c r="Q321" s="134" t="inlineStr">
        <is>
          <t>quassia-amara</t>
        </is>
      </c>
      <c r="R321" s="134" t="n">
        <v>1</v>
      </c>
      <c r="S321" s="134" t="inlineStr">
        <is>
          <t>Yes</t>
        </is>
      </c>
      <c r="T321" s="134" t="inlineStr">
        <is>
          <t>Integrated from cleaned high-signal dataset</t>
        </is>
      </c>
    </row>
    <row r="322" ht="26" customHeight="1" s="76">
      <c r="A322" s="134" t="inlineStr">
        <is>
          <t>neral</t>
        </is>
      </c>
      <c r="B322" s="134" t="inlineStr">
        <is>
          <t>neral</t>
        </is>
      </c>
      <c r="C322" s="134" t="n"/>
      <c r="D322" s="134" t="inlineStr">
        <is>
          <t>flavonoids</t>
        </is>
      </c>
      <c r="E322" s="134" t="inlineStr">
        <is>
          <t>insufficient evidence</t>
        </is>
      </c>
      <c r="F322" s="134" t="inlineStr">
        <is>
          <t>multi-target signaling modulation</t>
        </is>
      </c>
      <c r="G322" s="134" t="inlineStr">
        <is>
          <t>general or unknown targets</t>
        </is>
      </c>
      <c r="H322" s="134" t="inlineStr">
        <is>
          <t>Absorption and bioavailability vary; some compounds metabolized via cytochrome P450 enzymes.</t>
        </is>
      </c>
      <c r="I322" s="134" t="inlineStr">
        <is>
          <t>low</t>
        </is>
      </c>
      <c r="J322" s="134" t="inlineStr">
        <is>
          <t>no well-documented interactions</t>
        </is>
      </c>
      <c r="K322" s="134" t="n"/>
      <c r="L322" s="134" t="inlineStr">
        <is>
          <t>compound_level</t>
        </is>
      </c>
      <c r="M322" s="134" t="inlineStr">
        <is>
          <t>https://plants.sc.egov.usda.gov/home/search?query=Dracocephalum%20moldavica | https://pubchem.ncbi.nlm.nih.gov/#query=neral</t>
        </is>
      </c>
      <c r="N322" s="134" t="inlineStr">
        <is>
          <t>inferred_plus_trusted_gov</t>
        </is>
      </c>
      <c r="O322" s="134" t="inlineStr">
        <is>
          <t>scientific name; PubChem compound page (NIH); USDA Plants database</t>
        </is>
      </c>
      <c r="P322" s="134" t="n"/>
      <c r="Q322" s="134" t="inlineStr">
        <is>
          <t>dracocephalum-moldavica</t>
        </is>
      </c>
      <c r="R322" s="134" t="n">
        <v>1</v>
      </c>
      <c r="S322" s="134" t="inlineStr">
        <is>
          <t>Yes</t>
        </is>
      </c>
      <c r="T322" s="134" t="inlineStr">
        <is>
          <t>Integrated from cleaned high-signal dataset</t>
        </is>
      </c>
    </row>
    <row r="323" ht="26" customHeight="1" s="76">
      <c r="A323" s="134" t="inlineStr">
        <is>
          <t>neriine</t>
        </is>
      </c>
      <c r="B323" s="134" t="inlineStr">
        <is>
          <t>neriine</t>
        </is>
      </c>
      <c r="C323" s="134" t="n"/>
      <c r="D323" s="134" t="inlineStr">
        <is>
          <t>cardiac glycosides</t>
        </is>
      </c>
      <c r="E323" s="134" t="inlineStr">
        <is>
          <t>insufficient evidence</t>
        </is>
      </c>
      <c r="F323" s="134" t="inlineStr">
        <is>
          <t>multi-target signaling modulation</t>
        </is>
      </c>
      <c r="G323" s="134" t="inlineStr">
        <is>
          <t>general or unknown targets</t>
        </is>
      </c>
      <c r="H323" s="134" t="inlineStr">
        <is>
          <t>Absorption and bioavailability vary; some compounds metabolized via cytochrome P450 enzymes.</t>
        </is>
      </c>
      <c r="I323" s="134" t="inlineStr">
        <is>
          <t>low</t>
        </is>
      </c>
      <c r="J323" s="134" t="inlineStr">
        <is>
          <t>no well-documented interactions</t>
        </is>
      </c>
      <c r="K323" s="134" t="n"/>
      <c r="L323" s="134" t="inlineStr">
        <is>
          <t>compound_level</t>
        </is>
      </c>
      <c r="M323" s="134" t="inlineStr">
        <is>
          <t>https://plants.sc.egov.usda.gov/home/search?query=Nerium%20oleander | https://pubchem.ncbi.nlm.nih.gov/#query=neriine</t>
        </is>
      </c>
      <c r="N323" s="134" t="inlineStr">
        <is>
          <t>inferred_plus_trusted_gov</t>
        </is>
      </c>
      <c r="O323" s="134" t="inlineStr">
        <is>
          <t>scientific name; PubChem compound page (NIH); USDA Plants database</t>
        </is>
      </c>
      <c r="P323" s="134" t="n"/>
      <c r="Q323" s="134" t="inlineStr">
        <is>
          <t>nerium-oleander</t>
        </is>
      </c>
      <c r="R323" s="134" t="n">
        <v>1</v>
      </c>
      <c r="S323" s="134" t="inlineStr">
        <is>
          <t>Yes</t>
        </is>
      </c>
      <c r="T323" s="134" t="inlineStr">
        <is>
          <t>Integrated from cleaned high-signal dataset</t>
        </is>
      </c>
    </row>
    <row r="324" ht="26" customHeight="1" s="76">
      <c r="A324" s="134" t="inlineStr">
        <is>
          <t>nesodine</t>
        </is>
      </c>
      <c r="B324" s="134" t="inlineStr">
        <is>
          <t>nesodine</t>
        </is>
      </c>
      <c r="C324" s="134" t="n"/>
      <c r="D324" s="134" t="inlineStr">
        <is>
          <t>other</t>
        </is>
      </c>
      <c r="E324" s="134" t="inlineStr">
        <is>
          <t>Primary alkaloid cryogenine (vertine) has CNS activity; precise receptor targets are not well-characterized in humans. Marked as mechanism not fully established.</t>
        </is>
      </c>
      <c r="F324" s="134" t="inlineStr">
        <is>
          <t>multi-target signaling modulation</t>
        </is>
      </c>
      <c r="G324" s="134" t="inlineStr">
        <is>
          <t>general or unknown targets</t>
        </is>
      </c>
      <c r="H324" s="134" t="inlineStr">
        <is>
          <t>Oral; affects serotonin pathways</t>
        </is>
      </c>
      <c r="I324" s="134" t="inlineStr">
        <is>
          <t>low</t>
        </is>
      </c>
      <c r="J324" s="134" t="inlineStr">
        <is>
          <t>cns depressants, alcohol.</t>
        </is>
      </c>
      <c r="K324" s="134" t="n"/>
      <c r="L324" s="134" t="inlineStr">
        <is>
          <t>compound_level</t>
        </is>
      </c>
      <c r="M324" s="134" t="inlineStr">
        <is>
          <t>https://plants.sc.egov.usda.gov/home/search?query=Heimia%20spp. | https://pubchem.ncbi.nlm.nih.gov/#query=nesodine</t>
        </is>
      </c>
      <c r="N324" s="134" t="inlineStr">
        <is>
          <t>inferred_plus_trusted_gov</t>
        </is>
      </c>
      <c r="O324" s="134" t="inlineStr">
        <is>
          <t>scientific name; PubChem compound page (NIH); USDA Plants database</t>
        </is>
      </c>
      <c r="P324" s="134" t="n"/>
      <c r="Q324" s="134" t="inlineStr">
        <is>
          <t>heimia</t>
        </is>
      </c>
      <c r="R324" s="134" t="n">
        <v>1</v>
      </c>
      <c r="S324" s="134" t="inlineStr">
        <is>
          <t>Yes</t>
        </is>
      </c>
      <c r="T324" s="134" t="inlineStr">
        <is>
          <t>Integrated from cleaned high-signal dataset</t>
        </is>
      </c>
    </row>
    <row r="325" ht="26" customHeight="1" s="76">
      <c r="A325" s="134" t="inlineStr">
        <is>
          <t>niacin</t>
        </is>
      </c>
      <c r="B325" s="134" t="inlineStr">
        <is>
          <t>niacin</t>
        </is>
      </c>
      <c r="C325" s="134" t="n"/>
      <c r="D325" s="134" t="inlineStr">
        <is>
          <t>water-soluble vitamin</t>
        </is>
      </c>
      <c r="E325" s="134" t="inlineStr">
        <is>
          <t>Converted to the coenzymes NAD and NADP, which support more than 400 enzymatic reactions in cellular redox metabolism, ATP production, genome maintenance, gene expression, and cellular communication.</t>
        </is>
      </c>
      <c r="F325" s="134" t="n"/>
      <c r="G325" s="134" t="inlineStr">
        <is>
          <t>ATP production; NAD/NADP-dependent redox metabolism; tryptophan-to-niacin pathway</t>
        </is>
      </c>
      <c r="H325" s="134" t="inlineStr">
        <is>
          <t>Almost completely absorbed even at high doses; excess is methylated in the liver and excreted in urine. Inositol hexanicotinate is less bioavailable than nicotinic acid or nicotinamide.</t>
        </is>
      </c>
      <c r="I325" s="134" t="inlineStr">
        <is>
          <t>Supplemental nicotinic acid at 30–50 mg or more often causes flushing. Pharmacologic doses can cause hypotension, GI effects, hyperglycemia, and hepatotoxicity; extended-release nicotinic acid has higher liver-risk concern.</t>
        </is>
      </c>
      <c r="J325" s="134" t="inlineStr">
        <is>
          <t>Isoniazid/pyrazinamide (can impair niacin formation from tryptophan); antidiabetic medications (high-dose nicotinic acid can worsen glycemic control).</t>
        </is>
      </c>
      <c r="K325" s="134" t="inlineStr">
        <is>
          <t>High</t>
        </is>
      </c>
      <c r="L325" s="134" t="inlineStr">
        <is>
          <t>Sprint7</t>
        </is>
      </c>
      <c r="M325" s="134" t="inlineStr">
        <is>
          <t>https://ods.od.nih.gov/factsheets/Niacin-HealthProfessional/</t>
        </is>
      </c>
      <c r="N325" s="134" t="n"/>
      <c r="O325" s="134" t="n"/>
      <c r="P325" s="134" t="inlineStr">
        <is>
          <t>precision_monographs_sprint7.xlsx</t>
        </is>
      </c>
      <c r="Q325" s="134" t="n"/>
      <c r="R325" s="134" t="n">
        <v>0</v>
      </c>
      <c r="S325" s="134" t="inlineStr">
        <is>
          <t>No</t>
        </is>
      </c>
      <c r="T325" s="134" t="inlineStr">
        <is>
          <t>Integrated from compound monograph workbook</t>
        </is>
      </c>
    </row>
    <row r="326" ht="26" customHeight="1" s="76">
      <c r="A326" s="134" t="inlineStr">
        <is>
          <t>nicotine</t>
        </is>
      </c>
      <c r="B326" s="134" t="inlineStr">
        <is>
          <t>nicotine</t>
        </is>
      </c>
      <c r="C326" s="134" t="n"/>
      <c r="D326" s="134" t="inlineStr">
        <is>
          <t>other</t>
        </is>
      </c>
      <c r="E326" s="134" t="inlineStr">
        <is>
          <t>Nicotine acts as an agonist at nicotinic acetylcholine receptors, increasing dopamine and norepinephrine release.</t>
        </is>
      </c>
      <c r="F326" s="134" t="inlineStr">
        <is>
          <t>multi-target signaling modulation; muscarinic receptor interaction</t>
        </is>
      </c>
      <c r="G326" s="134" t="inlineStr">
        <is>
          <t>cholinergic_modulation; dopaminergic_modulation; general or unknown targets</t>
        </is>
      </c>
      <c r="H326" s="134" t="inlineStr">
        <is>
          <t>rapid systemic absorption; crosses BBB; hepatic metabolism</t>
        </is>
      </c>
      <c r="I326" s="134" t="inlineStr">
        <is>
          <t>low</t>
        </is>
      </c>
      <c r="J326" s="134" t="inlineStr">
        <is>
          <t>no well-documented interactions</t>
        </is>
      </c>
      <c r="K326" s="134" t="n"/>
      <c r="L326" s="134" t="inlineStr">
        <is>
          <t>compound_level</t>
        </is>
      </c>
      <c r="M326" s="134" t="inlineStr">
        <is>
          <t>https://plants.sc.egov.usda.gov/home/search?query=Duboisia%20hopwoodii | https://plants.sc.egov.usda.gov/home/search?query=Nicotiana%20spp.%20%28Polynesian%29 | https://plants.sc.egov.usda.gov/home/search?query=nicotiana%20rustica | https://pubchem.ncbi.nlm.nih.gov/#query=nicotine</t>
        </is>
      </c>
      <c r="N326" s="134" t="inlineStr">
        <is>
          <t>inferred_plus_trusted_gov; trusted_gov_added</t>
        </is>
      </c>
      <c r="O326" s="134" t="inlineStr">
        <is>
          <t>PubChem compound page (NIH); USDA Plants database; scientific name; PubChem compound page (NIH); USDA Plants database</t>
        </is>
      </c>
      <c r="P326" s="134" t="n"/>
      <c r="Q326" s="134" t="inlineStr">
        <is>
          <t>duboisia-hopwoodii; nicotiana-rustica; nicotiana-spp-polynesian</t>
        </is>
      </c>
      <c r="R326" s="134" t="n">
        <v>3</v>
      </c>
      <c r="S326" s="134" t="inlineStr">
        <is>
          <t>Yes</t>
        </is>
      </c>
      <c r="T326" s="134" t="inlineStr">
        <is>
          <t>Integrated from cleaned high-signal dataset</t>
        </is>
      </c>
    </row>
    <row r="327" ht="26" customHeight="1" s="76">
      <c r="A327" s="134" t="inlineStr">
        <is>
          <t>nigellone</t>
        </is>
      </c>
      <c r="B327" s="134" t="inlineStr">
        <is>
          <t>nigellone</t>
        </is>
      </c>
      <c r="C327" s="134" t="n"/>
      <c r="D327" s="134" t="inlineStr">
        <is>
          <t>Thymoquinone, nigellone, essential oils</t>
        </is>
      </c>
      <c r="E327" s="134" t="inlineStr">
        <is>
          <t>insufficient evidence</t>
        </is>
      </c>
      <c r="F327" s="134" t="inlineStr">
        <is>
          <t>multi-target signaling modulation</t>
        </is>
      </c>
      <c r="G327" s="134" t="inlineStr">
        <is>
          <t>general or unknown targets</t>
        </is>
      </c>
      <c r="H327" s="134" t="inlineStr">
        <is>
          <t>Oral; hepatic and pulmonary tonic</t>
        </is>
      </c>
      <c r="I327" s="134" t="inlineStr">
        <is>
          <t>low</t>
        </is>
      </c>
      <c r="J327" s="134" t="inlineStr">
        <is>
          <t>no well-documented interactions</t>
        </is>
      </c>
      <c r="K327" s="134" t="n"/>
      <c r="L327" s="134" t="inlineStr">
        <is>
          <t>compound_level</t>
        </is>
      </c>
      <c r="M327" s="134" t="inlineStr">
        <is>
          <t>https://plants.sc.egov.usda.gov/home/search?query=Nigella%20sativa | https://pubchem.ncbi.nlm.nih.gov/#query=nigellone</t>
        </is>
      </c>
      <c r="N327" s="134" t="inlineStr">
        <is>
          <t>inferred_plus_trusted_gov</t>
        </is>
      </c>
      <c r="O327" s="134" t="inlineStr">
        <is>
          <t>scientific name; PubChem compound page (NIH); USDA Plants database</t>
        </is>
      </c>
      <c r="P327" s="134" t="n"/>
      <c r="Q327" s="134" t="inlineStr">
        <is>
          <t>nigella-sativa</t>
        </is>
      </c>
      <c r="R327" s="134" t="n">
        <v>1</v>
      </c>
      <c r="S327" s="134" t="inlineStr">
        <is>
          <t>Yes</t>
        </is>
      </c>
      <c r="T327" s="134" t="inlineStr">
        <is>
          <t>Integrated from cleaned high-signal dataset</t>
        </is>
      </c>
    </row>
    <row r="328" ht="26" customHeight="1" s="76">
      <c r="A328" s="134" t="inlineStr">
        <is>
          <t>nimbin</t>
        </is>
      </c>
      <c r="B328" s="134" t="inlineStr">
        <is>
          <t>nimbin</t>
        </is>
      </c>
      <c r="C328" s="134" t="n"/>
      <c r="D328" s="134" t="inlineStr">
        <is>
          <t>other</t>
        </is>
      </c>
      <c r="E328" s="134" t="inlineStr">
        <is>
          <t>insufficient evidence</t>
        </is>
      </c>
      <c r="F328" s="134" t="inlineStr">
        <is>
          <t>multi-target signaling modulation</t>
        </is>
      </c>
      <c r="G328" s="134" t="inlineStr">
        <is>
          <t>general or unknown targets</t>
        </is>
      </c>
      <c r="H328" s="134" t="inlineStr">
        <is>
          <t>Oral/topical; antimicrobial and immune tonic</t>
        </is>
      </c>
      <c r="I328" s="134" t="inlineStr">
        <is>
          <t>low</t>
        </is>
      </c>
      <c r="J328" s="134" t="inlineStr">
        <is>
          <t>no well-documented interactions</t>
        </is>
      </c>
      <c r="K328" s="134" t="n"/>
      <c r="L328" s="134" t="inlineStr">
        <is>
          <t>compound_level</t>
        </is>
      </c>
      <c r="M328" s="134" t="inlineStr">
        <is>
          <t>https://plants.sc.egov.usda.gov/home/search?query=Azadirachta%20indica | https://pubchem.ncbi.nlm.nih.gov/#query=nimbin</t>
        </is>
      </c>
      <c r="N328" s="134" t="inlineStr">
        <is>
          <t>inferred_plus_trusted_gov</t>
        </is>
      </c>
      <c r="O328" s="134" t="inlineStr">
        <is>
          <t>scientific name; PubChem compound page (NIH); USDA Plants database</t>
        </is>
      </c>
      <c r="P328" s="134" t="n"/>
      <c r="Q328" s="134" t="inlineStr">
        <is>
          <t>azadirachta-indica</t>
        </is>
      </c>
      <c r="R328" s="134" t="n">
        <v>1</v>
      </c>
      <c r="S328" s="134" t="inlineStr">
        <is>
          <t>Yes</t>
        </is>
      </c>
      <c r="T328" s="134" t="inlineStr">
        <is>
          <t>Integrated from cleaned high-signal dataset</t>
        </is>
      </c>
    </row>
    <row r="329" ht="26" customHeight="1" s="76">
      <c r="A329" s="134" t="inlineStr">
        <is>
          <t>nordihydrocapsaicin</t>
        </is>
      </c>
      <c r="B329" s="134" t="inlineStr">
        <is>
          <t>nordihydrocapsaicin</t>
        </is>
      </c>
      <c r="C329" s="134" t="n"/>
      <c r="D329" s="134" t="inlineStr">
        <is>
          <t>other</t>
        </is>
      </c>
      <c r="E329" s="134" t="inlineStr">
        <is>
          <t>Capsaicinoids, especially capsaicin, act primarily as TRPV1 agonists; downstream effects include sensory neuron activation followed by desensitization and antinociceptive effects.</t>
        </is>
      </c>
      <c r="F329" s="134" t="inlineStr">
        <is>
          <t>multi-target signaling modulation</t>
        </is>
      </c>
      <c r="G329" s="134" t="inlineStr">
        <is>
          <t>general or unknown targets</t>
        </is>
      </c>
      <c r="H329" s="134" t="inlineStr">
        <is>
          <t>moderate absorption; hepatic metabolism</t>
        </is>
      </c>
      <c r="I329" s="134" t="inlineStr">
        <is>
          <t>low</t>
        </is>
      </c>
      <c r="J329" s="134" t="inlineStr">
        <is>
          <t>no well-documented interactions</t>
        </is>
      </c>
      <c r="K329" s="134" t="n"/>
      <c r="L329" s="134" t="inlineStr">
        <is>
          <t>compound_level</t>
        </is>
      </c>
      <c r="M329" s="134" t="inlineStr">
        <is>
          <t>https://plants.sc.egov.usda.gov/home/search?query=capsicum%20annuum | https://pubchem.ncbi.nlm.nih.gov/#query=nordihydrocapsaicin</t>
        </is>
      </c>
      <c r="N329" s="134" t="inlineStr">
        <is>
          <t>trusted_gov_added</t>
        </is>
      </c>
      <c r="O329" s="134" t="inlineStr">
        <is>
          <t>PubChem compound page (NIH); USDA Plants database</t>
        </is>
      </c>
      <c r="P329" s="134" t="n"/>
      <c r="Q329" s="134" t="inlineStr">
        <is>
          <t>capsicum-annuum</t>
        </is>
      </c>
      <c r="R329" s="134" t="n">
        <v>1</v>
      </c>
      <c r="S329" s="134" t="inlineStr">
        <is>
          <t>Yes</t>
        </is>
      </c>
      <c r="T329" s="134" t="inlineStr">
        <is>
          <t>Integrated from cleaned high-signal dataset</t>
        </is>
      </c>
    </row>
    <row r="330" ht="26" customHeight="1" s="76">
      <c r="A330" s="134" t="inlineStr">
        <is>
          <t>norephedrine</t>
        </is>
      </c>
      <c r="B330" s="134" t="inlineStr">
        <is>
          <t>norephedrine</t>
        </is>
      </c>
      <c r="C330" s="134" t="n"/>
      <c r="D330" s="134" t="inlineStr">
        <is>
          <t>other</t>
        </is>
      </c>
      <c r="E330" s="134" t="inlineStr">
        <is>
          <t>insufficient evidence</t>
        </is>
      </c>
      <c r="F330" s="134" t="inlineStr">
        <is>
          <t>multi-target signaling modulation</t>
        </is>
      </c>
      <c r="G330" s="134" t="inlineStr">
        <is>
          <t>dopaminergic_modulation</t>
        </is>
      </c>
      <c r="H330" s="134" t="inlineStr">
        <is>
          <t>moderate absorption; hepatic metabolism</t>
        </is>
      </c>
      <c r="I330" s="134" t="inlineStr">
        <is>
          <t>low</t>
        </is>
      </c>
      <c r="J330" s="134" t="inlineStr">
        <is>
          <t>no well-documented interactions</t>
        </is>
      </c>
      <c r="K330" s="134" t="n"/>
      <c r="L330" s="134" t="inlineStr">
        <is>
          <t>compound_level</t>
        </is>
      </c>
      <c r="M330" s="134" t="inlineStr">
        <is>
          <t>https://plants.sc.egov.usda.gov/home/search?query=catha%20edulis | https://pubchem.ncbi.nlm.nih.gov/#query=norephedrine</t>
        </is>
      </c>
      <c r="N330" s="134" t="inlineStr">
        <is>
          <t>trusted_gov_added</t>
        </is>
      </c>
      <c r="O330" s="134" t="inlineStr">
        <is>
          <t>PubChem compound page (NIH); USDA Plants database</t>
        </is>
      </c>
      <c r="P330" s="134" t="n"/>
      <c r="Q330" s="134" t="inlineStr">
        <is>
          <t>catha-edulis</t>
        </is>
      </c>
      <c r="R330" s="134" t="n">
        <v>1</v>
      </c>
      <c r="S330" s="134" t="inlineStr">
        <is>
          <t>Yes</t>
        </is>
      </c>
      <c r="T330" s="134" t="inlineStr">
        <is>
          <t>Integrated from cleaned high-signal dataset</t>
        </is>
      </c>
    </row>
    <row r="331" ht="26" customHeight="1" s="76">
      <c r="A331" s="134" t="inlineStr">
        <is>
          <t>nornicotine</t>
        </is>
      </c>
      <c r="B331" s="134" t="inlineStr">
        <is>
          <t>nornicotine</t>
        </is>
      </c>
      <c r="C331" s="134" t="n"/>
      <c r="D331" s="134" t="inlineStr">
        <is>
          <t>other</t>
        </is>
      </c>
      <c r="E331" s="134" t="inlineStr">
        <is>
          <t>Nicotine acts as an agonist at nicotinic acetylcholine receptors, increasing dopamine and norepinephrine release.</t>
        </is>
      </c>
      <c r="F331" s="134" t="inlineStr">
        <is>
          <t>multi-target signaling modulation; muscarinic receptor interaction</t>
        </is>
      </c>
      <c r="G331" s="134" t="inlineStr">
        <is>
          <t>cholinergic_modulation; dopaminergic_modulation; general or unknown targets</t>
        </is>
      </c>
      <c r="H331" s="134" t="inlineStr">
        <is>
          <t>rapid systemic absorption; crosses BBB; hepatic metabolism</t>
        </is>
      </c>
      <c r="I331" s="134" t="inlineStr">
        <is>
          <t>low</t>
        </is>
      </c>
      <c r="J331" s="134" t="inlineStr">
        <is>
          <t>no well-documented interactions</t>
        </is>
      </c>
      <c r="K331" s="134" t="n"/>
      <c r="L331" s="134" t="inlineStr">
        <is>
          <t>compound_level</t>
        </is>
      </c>
      <c r="M331" s="134" t="inlineStr">
        <is>
          <t>https://plants.sc.egov.usda.gov/home/search?query=Duboisia%20hopwoodii | https://plants.sc.egov.usda.gov/home/search?query=nicotiana%20rustica | https://pubchem.ncbi.nlm.nih.gov/#query=nornicotine</t>
        </is>
      </c>
      <c r="N331" s="134" t="inlineStr">
        <is>
          <t>inferred_plus_trusted_gov; trusted_gov_added</t>
        </is>
      </c>
      <c r="O331" s="134" t="inlineStr">
        <is>
          <t>PubChem compound page (NIH); USDA Plants database; scientific name; PubChem compound page (NIH); USDA Plants database</t>
        </is>
      </c>
      <c r="P331" s="134" t="n"/>
      <c r="Q331" s="134" t="inlineStr">
        <is>
          <t>duboisia-hopwoodii; nicotiana-rustica</t>
        </is>
      </c>
      <c r="R331" s="134" t="n">
        <v>2</v>
      </c>
      <c r="S331" s="134" t="inlineStr">
        <is>
          <t>Yes</t>
        </is>
      </c>
      <c r="T331" s="134" t="inlineStr">
        <is>
          <t>Integrated from cleaned high-signal dataset</t>
        </is>
      </c>
    </row>
    <row r="332" ht="26" customHeight="1" s="76">
      <c r="A332" s="134" t="inlineStr">
        <is>
          <t>nuciferine</t>
        </is>
      </c>
      <c r="B332" s="134" t="inlineStr">
        <is>
          <t>nuciferine</t>
        </is>
      </c>
      <c r="C332" s="134" t="n"/>
      <c r="D332" s="134" t="inlineStr">
        <is>
          <t>other</t>
        </is>
      </c>
      <c r="E332" s="134" t="inlineStr">
        <is>
          <t>Compounds show dopaminergic receptor interaction and mild sedative effects.</t>
        </is>
      </c>
      <c r="F332" s="134" t="inlineStr">
        <is>
          <t>multi-target signaling modulation</t>
        </is>
      </c>
      <c r="G332" s="134" t="inlineStr">
        <is>
          <t>dopaminergic_modulation; general or unknown targets</t>
        </is>
      </c>
      <c r="H332" s="134" t="inlineStr">
        <is>
          <t>moderate absorption; hepatic metabolism</t>
        </is>
      </c>
      <c r="I332" s="134" t="inlineStr">
        <is>
          <t>low</t>
        </is>
      </c>
      <c r="J332" s="134" t="inlineStr">
        <is>
          <t>no well-documented interactions</t>
        </is>
      </c>
      <c r="K332" s="134" t="n"/>
      <c r="L332" s="134" t="inlineStr">
        <is>
          <t>compound_level</t>
        </is>
      </c>
      <c r="M332" s="134" t="inlineStr">
        <is>
          <t>https://plants.sc.egov.usda.gov/home/search?query=Blue%20Lotus | https://plants.sc.egov.usda.gov/home/search?query=Nymphaea%20caerulea | https://plants.sc.egov.usda.gov/home/search?query=Nymphaea%20nouchali | https://plants.sc.egov.usda.gov/home/search?query=american%20yellow%20lotus | https://pubchem.ncbi.nlm.nih.gov/#query=nuciferine</t>
        </is>
      </c>
      <c r="N332" s="134" t="inlineStr">
        <is>
          <t>inferred_plus_trusted_gov; trusted_gov_added</t>
        </is>
      </c>
      <c r="O332" s="134" t="inlineStr">
        <is>
          <t>PubChem compound page (NIH); USDA Plants database; scientific name; PubChem compound page (NIH); USDA Plants database</t>
        </is>
      </c>
      <c r="P332" s="134" t="n"/>
      <c r="Q332" s="134" t="inlineStr">
        <is>
          <t>blue-lotus-nymphaea-caerulea; nelumbo-lutea; nymphaea-caerulea; nymphaea-nouchali</t>
        </is>
      </c>
      <c r="R332" s="134" t="n">
        <v>4</v>
      </c>
      <c r="S332" s="134" t="inlineStr">
        <is>
          <t>Yes</t>
        </is>
      </c>
      <c r="T332" s="134" t="inlineStr">
        <is>
          <t>Integrated from cleaned high-signal dataset</t>
        </is>
      </c>
    </row>
    <row r="333" ht="26" customHeight="1" s="76">
      <c r="A333" s="134" t="inlineStr">
        <is>
          <t>oleandrin</t>
        </is>
      </c>
      <c r="B333" s="134" t="inlineStr">
        <is>
          <t>oleandrin</t>
        </is>
      </c>
      <c r="C333" s="134" t="n"/>
      <c r="D333" s="134" t="inlineStr">
        <is>
          <t>cardiac glycosides</t>
        </is>
      </c>
      <c r="E333" s="134" t="inlineStr">
        <is>
          <t>insufficient evidence</t>
        </is>
      </c>
      <c r="F333" s="134" t="inlineStr">
        <is>
          <t>multi-target signaling modulation</t>
        </is>
      </c>
      <c r="G333" s="134" t="inlineStr">
        <is>
          <t>general or unknown targets</t>
        </is>
      </c>
      <c r="H333" s="134" t="inlineStr">
        <is>
          <t>Absorption and bioavailability vary; some compounds metabolized via cytochrome P450 enzymes.</t>
        </is>
      </c>
      <c r="I333" s="134" t="inlineStr">
        <is>
          <t>low</t>
        </is>
      </c>
      <c r="J333" s="134" t="inlineStr">
        <is>
          <t>no well-documented interactions</t>
        </is>
      </c>
      <c r="K333" s="134" t="n"/>
      <c r="L333" s="134" t="inlineStr">
        <is>
          <t>compound_level</t>
        </is>
      </c>
      <c r="M333" s="134" t="inlineStr">
        <is>
          <t>https://plants.sc.egov.usda.gov/home/search?query=Nerium%20oleander | https://pubchem.ncbi.nlm.nih.gov/#query=oleandrin</t>
        </is>
      </c>
      <c r="N333" s="134" t="inlineStr">
        <is>
          <t>inferred_plus_trusted_gov</t>
        </is>
      </c>
      <c r="O333" s="134" t="inlineStr">
        <is>
          <t>scientific name; PubChem compound page (NIH); USDA Plants database</t>
        </is>
      </c>
      <c r="P333" s="134" t="n"/>
      <c r="Q333" s="134" t="inlineStr">
        <is>
          <t>nerium-oleander</t>
        </is>
      </c>
      <c r="R333" s="134" t="n">
        <v>1</v>
      </c>
      <c r="S333" s="134" t="inlineStr">
        <is>
          <t>Yes</t>
        </is>
      </c>
      <c r="T333" s="134" t="inlineStr">
        <is>
          <t>Integrated from cleaned high-signal dataset</t>
        </is>
      </c>
    </row>
    <row r="334" ht="26" customHeight="1" s="76">
      <c r="A334" s="134" t="inlineStr">
        <is>
          <t>omega-3 fatty acids</t>
        </is>
      </c>
      <c r="B334" s="134" t="inlineStr">
        <is>
          <t>omega-3 fatty acids</t>
        </is>
      </c>
      <c r="C334" s="134" t="n"/>
      <c r="D334" s="134" t="inlineStr">
        <is>
          <t>polyunsaturated fatty acids</t>
        </is>
      </c>
      <c r="E334" s="134" t="inlineStr">
        <is>
          <t>Incorporation into cell membranes with downstream modulation of eicosanoid/resolvin signaling and reduction of hepatic triglyceride production.</t>
        </is>
      </c>
      <c r="F334" s="134" t="n"/>
      <c r="G334" s="134" t="inlineStr">
        <is>
          <t>Eicosanoid pathway modulation; specialized pro-resolving mediator pathways; triglyceride synthesis reduction</t>
        </is>
      </c>
      <c r="H334" s="134" t="inlineStr">
        <is>
          <t>Absorbed with dietary fat; disposition depends on formulation and EPA/DHA composition rather than a single uniform PK profile.</t>
        </is>
      </c>
      <c r="I334" s="134" t="inlineStr">
        <is>
          <t>Usually causes GI/fishy aftertaste rather than serious toxicity; interpretation should stay indication- and dose-specific.</t>
        </is>
      </c>
      <c r="J334" s="134" t="inlineStr">
        <is>
          <t>Anticoagulants/antiplatelets (potential additive bleeding risk, especially at higher doses); antihypertensives (possible additive blood-pressure lowering).</t>
        </is>
      </c>
      <c r="K334" s="134" t="n"/>
      <c r="L334" s="134" t="inlineStr">
        <is>
          <t>Sprint5</t>
        </is>
      </c>
      <c r="M334" s="134" t="inlineStr">
        <is>
          <t>https://ods.od.nih.gov/factsheets/Omega3FattyAcids-HealthProfessional/ | https://pubchem.ncbi.nlm.nih.gov/compound/Omega-3-Fatty-Acids | https://www.nccih.nih.gov/health/omega3-supplements-what-you-need-to-know</t>
        </is>
      </c>
      <c r="N334" s="134" t="n"/>
      <c r="O334" s="134" t="n"/>
      <c r="P334" s="134" t="inlineStr">
        <is>
          <t>precision_monographs_sprint5.xlsx</t>
        </is>
      </c>
      <c r="Q334" s="134" t="n"/>
      <c r="R334" s="134" t="n">
        <v>0</v>
      </c>
      <c r="S334" s="134" t="inlineStr">
        <is>
          <t>No</t>
        </is>
      </c>
      <c r="T334" s="134" t="inlineStr">
        <is>
          <t>Integrated from compound monograph workbook</t>
        </is>
      </c>
    </row>
    <row r="335" ht="26" customHeight="1" s="76">
      <c r="A335" s="134" t="inlineStr">
        <is>
          <t>osthole</t>
        </is>
      </c>
      <c r="B335" s="134" t="inlineStr">
        <is>
          <t>osthole</t>
        </is>
      </c>
      <c r="C335" s="134" t="n"/>
      <c r="D335" s="134" t="inlineStr">
        <is>
          <t>Osthole, coumarins, volatile oils</t>
        </is>
      </c>
      <c r="E335" s="134" t="inlineStr">
        <is>
          <t>insufficient evidence</t>
        </is>
      </c>
      <c r="F335" s="134" t="inlineStr">
        <is>
          <t>multi-target signaling modulation</t>
        </is>
      </c>
      <c r="G335" s="134" t="inlineStr">
        <is>
          <t>general or unknown targets</t>
        </is>
      </c>
      <c r="H335" s="134" t="inlineStr">
        <is>
          <t>Oral; aphrodisiac and vasodilator</t>
        </is>
      </c>
      <c r="I335" s="134" t="inlineStr">
        <is>
          <t>low</t>
        </is>
      </c>
      <c r="J335" s="134" t="inlineStr">
        <is>
          <t>no well-documented interactions</t>
        </is>
      </c>
      <c r="K335" s="134" t="n"/>
      <c r="L335" s="134" t="inlineStr">
        <is>
          <t>compound_level</t>
        </is>
      </c>
      <c r="M335" s="134" t="inlineStr">
        <is>
          <t>https://plants.sc.egov.usda.gov/home/search?query=Cnidium%20monnieri | https://pubchem.ncbi.nlm.nih.gov/#query=osthole</t>
        </is>
      </c>
      <c r="N335" s="134" t="inlineStr">
        <is>
          <t>inferred_plus_trusted_gov</t>
        </is>
      </c>
      <c r="O335" s="134" t="inlineStr">
        <is>
          <t>scientific name; PubChem compound page (NIH); USDA Plants database</t>
        </is>
      </c>
      <c r="P335" s="134" t="n"/>
      <c r="Q335" s="134" t="inlineStr">
        <is>
          <t>cnidium-monnieri</t>
        </is>
      </c>
      <c r="R335" s="134" t="n">
        <v>1</v>
      </c>
      <c r="S335" s="134" t="inlineStr">
        <is>
          <t>Yes</t>
        </is>
      </c>
      <c r="T335" s="134" t="inlineStr">
        <is>
          <t>Integrated from cleaned high-signal dataset</t>
        </is>
      </c>
    </row>
    <row r="336" ht="26" customHeight="1" s="76">
      <c r="A336" s="134" t="inlineStr">
        <is>
          <t>oxyacanthine</t>
        </is>
      </c>
      <c r="B336" s="134" t="inlineStr">
        <is>
          <t>oxyacanthine</t>
        </is>
      </c>
      <c r="C336" s="134" t="n"/>
      <c r="D336" s="134" t="inlineStr">
        <is>
          <t>other</t>
        </is>
      </c>
      <c r="E336" s="134" t="inlineStr">
        <is>
          <t>insufficient evidence</t>
        </is>
      </c>
      <c r="F336" s="134" t="inlineStr">
        <is>
          <t>multi-target signaling modulation</t>
        </is>
      </c>
      <c r="G336" s="134" t="inlineStr">
        <is>
          <t>general or unknown targets</t>
        </is>
      </c>
      <c r="H336" s="134" t="inlineStr">
        <is>
          <t>Oral; AMPK activation and microbial inhibition</t>
        </is>
      </c>
      <c r="I336" s="134" t="inlineStr">
        <is>
          <t>low</t>
        </is>
      </c>
      <c r="J336" s="134" t="inlineStr">
        <is>
          <t>no well-documented interactions</t>
        </is>
      </c>
      <c r="K336" s="134" t="n"/>
      <c r="L336" s="134" t="inlineStr">
        <is>
          <t>compound_level</t>
        </is>
      </c>
      <c r="M336" s="134" t="inlineStr">
        <is>
          <t>https://plants.sc.egov.usda.gov/home/search?query=Berberis%20vulgaris | https://pubchem.ncbi.nlm.nih.gov/#query=oxyacanthine</t>
        </is>
      </c>
      <c r="N336" s="134" t="inlineStr">
        <is>
          <t>inferred_plus_trusted_gov</t>
        </is>
      </c>
      <c r="O336" s="134" t="inlineStr">
        <is>
          <t>scientific name; PubChem compound page (NIH); USDA Plants database</t>
        </is>
      </c>
      <c r="P336" s="134" t="n"/>
      <c r="Q336" s="134" t="inlineStr">
        <is>
          <t>berberis-vulgaris</t>
        </is>
      </c>
      <c r="R336" s="134" t="n">
        <v>1</v>
      </c>
      <c r="S336" s="134" t="inlineStr">
        <is>
          <t>Yes</t>
        </is>
      </c>
      <c r="T336" s="134" t="inlineStr">
        <is>
          <t>Integrated from cleaned high-signal dataset</t>
        </is>
      </c>
    </row>
    <row r="337" ht="26" customHeight="1" s="76">
      <c r="A337" s="134" t="inlineStr">
        <is>
          <t>oxyberberine</t>
        </is>
      </c>
      <c r="B337" s="134" t="inlineStr">
        <is>
          <t>oxyberberine</t>
        </is>
      </c>
      <c r="C337" s="134" t="n"/>
      <c r="D337" s="134" t="inlineStr">
        <is>
          <t>protopine alkaloids</t>
        </is>
      </c>
      <c r="E337" s="134" t="inlineStr">
        <is>
          <t>insufficient evidence</t>
        </is>
      </c>
      <c r="F337" s="134" t="inlineStr">
        <is>
          <t>multi-target signaling modulation</t>
        </is>
      </c>
      <c r="G337" s="134" t="inlineStr">
        <is>
          <t>general or unknown targets</t>
        </is>
      </c>
      <c r="H337" s="134" t="inlineStr">
        <is>
          <t>good oral absorption; CNS penetration; hepatic metabolism</t>
        </is>
      </c>
      <c r="I337" s="134" t="inlineStr">
        <is>
          <t>low</t>
        </is>
      </c>
      <c r="J337" s="134" t="inlineStr">
        <is>
          <t>no well-documented interactions</t>
        </is>
      </c>
      <c r="K337" s="134" t="n"/>
      <c r="L337" s="134" t="inlineStr">
        <is>
          <t>compound_level</t>
        </is>
      </c>
      <c r="M337" s="134" t="inlineStr">
        <is>
          <t>https://plants.sc.egov.usda.gov/home/search?query=argemone%20mexicana | https://pubchem.ncbi.nlm.nih.gov/#query=oxyberberine</t>
        </is>
      </c>
      <c r="N337" s="134" t="inlineStr">
        <is>
          <t>trusted_gov_added</t>
        </is>
      </c>
      <c r="O337" s="134" t="inlineStr">
        <is>
          <t>PubChem compound page (NIH); USDA Plants database</t>
        </is>
      </c>
      <c r="P337" s="134" t="n"/>
      <c r="Q337" s="134" t="inlineStr">
        <is>
          <t>argemone-mexicana</t>
        </is>
      </c>
      <c r="R337" s="134" t="n">
        <v>1</v>
      </c>
      <c r="S337" s="134" t="inlineStr">
        <is>
          <t>Yes</t>
        </is>
      </c>
      <c r="T337" s="134" t="inlineStr">
        <is>
          <t>Integrated from cleaned high-signal dataset</t>
        </is>
      </c>
    </row>
    <row r="338" ht="26" customHeight="1" s="76">
      <c r="A338" s="134" t="inlineStr">
        <is>
          <t>oxymatrine</t>
        </is>
      </c>
      <c r="B338" s="134" t="inlineStr">
        <is>
          <t>oxymatrine</t>
        </is>
      </c>
      <c r="C338" s="134" t="n"/>
      <c r="D338" s="134" t="inlineStr">
        <is>
          <t>other</t>
        </is>
      </c>
      <c r="E338" s="134" t="inlineStr">
        <is>
          <t>insufficient evidence</t>
        </is>
      </c>
      <c r="F338" s="134" t="inlineStr">
        <is>
          <t>multi-target signaling modulation</t>
        </is>
      </c>
      <c r="G338" s="134" t="inlineStr">
        <is>
          <t>general or unknown targets</t>
        </is>
      </c>
      <c r="H338" s="134" t="inlineStr">
        <is>
          <t>Absorption and bioavailability vary; some compounds metabolized via cytochrome P450 enzymes.</t>
        </is>
      </c>
      <c r="I338" s="134" t="inlineStr">
        <is>
          <t>low</t>
        </is>
      </c>
      <c r="J338" s="134" t="inlineStr">
        <is>
          <t>no well-documented interactions</t>
        </is>
      </c>
      <c r="K338" s="134" t="n"/>
      <c r="L338" s="134" t="inlineStr">
        <is>
          <t>compound_level</t>
        </is>
      </c>
      <c r="M338" s="134" t="inlineStr">
        <is>
          <t>https://plants.sc.egov.usda.gov/home/search?query=Sophora%20flavescens | https://pubchem.ncbi.nlm.nih.gov/#query=oxymatrine</t>
        </is>
      </c>
      <c r="N338" s="134" t="inlineStr">
        <is>
          <t>inferred_plus_trusted_gov</t>
        </is>
      </c>
      <c r="O338" s="134" t="inlineStr">
        <is>
          <t>scientific name; PubChem compound page (NIH); USDA Plants database</t>
        </is>
      </c>
      <c r="P338" s="134" t="n"/>
      <c r="Q338" s="134" t="inlineStr">
        <is>
          <t>sophora-flavescens</t>
        </is>
      </c>
      <c r="R338" s="134" t="n">
        <v>1</v>
      </c>
      <c r="S338" s="134" t="inlineStr">
        <is>
          <t>Yes</t>
        </is>
      </c>
      <c r="T338" s="134" t="inlineStr">
        <is>
          <t>Integrated from cleaned high-signal dataset</t>
        </is>
      </c>
    </row>
    <row r="339" ht="26" customHeight="1" s="76">
      <c r="A339" s="134" t="inlineStr">
        <is>
          <t>pachymic acid</t>
        </is>
      </c>
      <c r="B339" s="134" t="inlineStr">
        <is>
          <t>pachymic acid</t>
        </is>
      </c>
      <c r="C339" s="134" t="n"/>
      <c r="D339" s="134" t="inlineStr">
        <is>
          <t>polysaccharides; triterpenes</t>
        </is>
      </c>
      <c r="E339" s="134" t="inlineStr">
        <is>
          <t>insufficient evidence</t>
        </is>
      </c>
      <c r="F339" s="134" t="inlineStr">
        <is>
          <t>multi-target signaling modulation</t>
        </is>
      </c>
      <c r="G339" s="134" t="inlineStr">
        <is>
          <t>general or unknown targets</t>
        </is>
      </c>
      <c r="H339" s="134" t="inlineStr">
        <is>
          <t>Absorption and bioavailability vary; some compounds metabolized via cytochrome P450 enzymes.</t>
        </is>
      </c>
      <c r="I339" s="134" t="inlineStr">
        <is>
          <t>low</t>
        </is>
      </c>
      <c r="J339" s="134" t="inlineStr">
        <is>
          <t>no well-documented interactions</t>
        </is>
      </c>
      <c r="K339" s="134" t="n"/>
      <c r="L339" s="134" t="inlineStr">
        <is>
          <t>compound_level</t>
        </is>
      </c>
      <c r="M339" s="134" t="inlineStr">
        <is>
          <t>https://plants.sc.egov.usda.gov/home/search?query=Poria%20cocos | https://pubchem.ncbi.nlm.nih.gov/#query=pachymic%20acid</t>
        </is>
      </c>
      <c r="N339" s="134" t="inlineStr">
        <is>
          <t>inferred_plus_trusted_gov</t>
        </is>
      </c>
      <c r="O339" s="134" t="inlineStr">
        <is>
          <t>scientific name; PubChem compound page (NIH); USDA Plants database</t>
        </is>
      </c>
      <c r="P339" s="134" t="n"/>
      <c r="Q339" s="134" t="inlineStr">
        <is>
          <t>poria-cocos</t>
        </is>
      </c>
      <c r="R339" s="134" t="n">
        <v>1</v>
      </c>
      <c r="S339" s="134" t="inlineStr">
        <is>
          <t>Yes</t>
        </is>
      </c>
      <c r="T339" s="134" t="inlineStr">
        <is>
          <t>Integrated from cleaned high-signal dataset</t>
        </is>
      </c>
    </row>
    <row r="340" ht="26" customHeight="1" s="76">
      <c r="A340" s="134" t="inlineStr">
        <is>
          <t>palmatine</t>
        </is>
      </c>
      <c r="B340" s="134" t="inlineStr">
        <is>
          <t>palmatine</t>
        </is>
      </c>
      <c r="C340" s="134" t="n"/>
      <c r="D340" s="134" t="inlineStr">
        <is>
          <t>other</t>
        </is>
      </c>
      <c r="E340" s="134" t="inlineStr">
        <is>
          <t>insufficient evidence</t>
        </is>
      </c>
      <c r="F340" s="134" t="inlineStr">
        <is>
          <t>multi-target signaling modulation</t>
        </is>
      </c>
      <c r="G340" s="134" t="inlineStr">
        <is>
          <t>general or unknown targets</t>
        </is>
      </c>
      <c r="H340" s="134" t="inlineStr">
        <is>
          <t>Oral; antibacterial and hepatic</t>
        </is>
      </c>
      <c r="I340" s="134" t="inlineStr">
        <is>
          <t>low</t>
        </is>
      </c>
      <c r="J340" s="134" t="inlineStr">
        <is>
          <t>no well-documented interactions</t>
        </is>
      </c>
      <c r="K340" s="134" t="n"/>
      <c r="L340" s="134" t="inlineStr">
        <is>
          <t>compound_level</t>
        </is>
      </c>
      <c r="M340" s="134" t="inlineStr">
        <is>
          <t>https://plants.sc.egov.usda.gov/home/search?query=Coptis%20chinensis | https://plants.sc.egov.usda.gov/home/search?query=Phellodendron%20amurense | https://pubchem.ncbi.nlm.nih.gov/#query=palmatine</t>
        </is>
      </c>
      <c r="N340" s="134" t="inlineStr">
        <is>
          <t>inferred_plus_trusted_gov</t>
        </is>
      </c>
      <c r="O340" s="134" t="inlineStr">
        <is>
          <t>scientific name; PubChem compound page (NIH); USDA Plants database</t>
        </is>
      </c>
      <c r="P340" s="134" t="n"/>
      <c r="Q340" s="134" t="inlineStr">
        <is>
          <t>coptis-chinensis; phellodendron-amurense</t>
        </is>
      </c>
      <c r="R340" s="134" t="n">
        <v>2</v>
      </c>
      <c r="S340" s="134" t="inlineStr">
        <is>
          <t>Yes</t>
        </is>
      </c>
      <c r="T340" s="134" t="inlineStr">
        <is>
          <t>Integrated from cleaned high-signal dataset</t>
        </is>
      </c>
    </row>
    <row r="341" ht="26" customHeight="1" s="76">
      <c r="A341" s="134" t="inlineStr">
        <is>
          <t>palustrol</t>
        </is>
      </c>
      <c r="B341" s="134" t="inlineStr">
        <is>
          <t>palustrol</t>
        </is>
      </c>
      <c r="C341" s="134" t="n"/>
      <c r="D341" s="134" t="inlineStr">
        <is>
          <t>essential oils</t>
        </is>
      </c>
      <c r="E341" s="134" t="inlineStr">
        <is>
          <t>insufficient evidence</t>
        </is>
      </c>
      <c r="F341" s="134" t="inlineStr">
        <is>
          <t>multi-target signaling modulation</t>
        </is>
      </c>
      <c r="G341" s="134" t="inlineStr">
        <is>
          <t>general or unknown targets</t>
        </is>
      </c>
      <c r="H341" s="134" t="inlineStr">
        <is>
          <t>Absorption and bioavailability vary; some compounds metabolized via cytochrome P450 enzymes.</t>
        </is>
      </c>
      <c r="I341" s="134" t="inlineStr">
        <is>
          <t>low</t>
        </is>
      </c>
      <c r="J341" s="134" t="inlineStr">
        <is>
          <t>no well-documented interactions</t>
        </is>
      </c>
      <c r="K341" s="134" t="n"/>
      <c r="L341" s="134" t="inlineStr">
        <is>
          <t>compound_level</t>
        </is>
      </c>
      <c r="M341" s="134" t="inlineStr">
        <is>
          <t>https://plants.sc.egov.usda.gov/home/search?query=Rhododendron%20tomentosum | https://pubchem.ncbi.nlm.nih.gov/#query=palustrol</t>
        </is>
      </c>
      <c r="N341" s="134" t="inlineStr">
        <is>
          <t>inferred_plus_trusted_gov</t>
        </is>
      </c>
      <c r="O341" s="134" t="inlineStr">
        <is>
          <t>scientific name; PubChem compound page (NIH); USDA Plants database</t>
        </is>
      </c>
      <c r="P341" s="134" t="n"/>
      <c r="Q341" s="134" t="inlineStr">
        <is>
          <t>rhododendron-tomentosum</t>
        </is>
      </c>
      <c r="R341" s="134" t="n">
        <v>1</v>
      </c>
      <c r="S341" s="134" t="inlineStr">
        <is>
          <t>Yes</t>
        </is>
      </c>
      <c r="T341" s="134" t="inlineStr">
        <is>
          <t>Integrated from cleaned high-signal dataset</t>
        </is>
      </c>
    </row>
    <row r="342" ht="26" customHeight="1" s="76">
      <c r="A342" s="134" t="inlineStr">
        <is>
          <t>panduratin a</t>
        </is>
      </c>
      <c r="B342" s="134" t="inlineStr">
        <is>
          <t>panduratin a</t>
        </is>
      </c>
      <c r="C342" s="134" t="n"/>
      <c r="D342" s="134" t="inlineStr">
        <is>
          <t>other</t>
        </is>
      </c>
      <c r="E342" s="134" t="inlineStr">
        <is>
          <t>insufficient evidence</t>
        </is>
      </c>
      <c r="F342" s="134" t="inlineStr">
        <is>
          <t>multi-target signaling modulation</t>
        </is>
      </c>
      <c r="G342" s="134" t="inlineStr">
        <is>
          <t>general or unknown targets</t>
        </is>
      </c>
      <c r="H342" s="134" t="inlineStr">
        <is>
          <t>Absorption and bioavailability vary; some compounds metabolized via cytochrome P450 enzymes.</t>
        </is>
      </c>
      <c r="I342" s="134" t="inlineStr">
        <is>
          <t>low</t>
        </is>
      </c>
      <c r="J342" s="134" t="inlineStr">
        <is>
          <t>no well-documented interactions</t>
        </is>
      </c>
      <c r="K342" s="134" t="n"/>
      <c r="L342" s="134" t="inlineStr">
        <is>
          <t>compound_level</t>
        </is>
      </c>
      <c r="M342" s="134" t="inlineStr">
        <is>
          <t>https://plants.sc.egov.usda.gov/home/search?query=Boesenbergia%20rotunda | https://pubchem.ncbi.nlm.nih.gov/#query=panduratin%20a</t>
        </is>
      </c>
      <c r="N342" s="134" t="inlineStr">
        <is>
          <t>inferred_plus_trusted_gov</t>
        </is>
      </c>
      <c r="O342" s="134" t="inlineStr">
        <is>
          <t>scientific name; PubChem compound page (NIH); USDA Plants database</t>
        </is>
      </c>
      <c r="P342" s="134" t="n"/>
      <c r="Q342" s="134" t="inlineStr">
        <is>
          <t>boesenbergia-rotunda</t>
        </is>
      </c>
      <c r="R342" s="134" t="n">
        <v>1</v>
      </c>
      <c r="S342" s="134" t="inlineStr">
        <is>
          <t>Yes</t>
        </is>
      </c>
      <c r="T342" s="134" t="inlineStr">
        <is>
          <t>Integrated from cleaned high-signal dataset</t>
        </is>
      </c>
    </row>
    <row r="343" ht="26" customHeight="1" s="76">
      <c r="A343" s="134" t="inlineStr">
        <is>
          <t>paniculatin</t>
        </is>
      </c>
      <c r="B343" s="134" t="inlineStr">
        <is>
          <t>paniculatin</t>
        </is>
      </c>
      <c r="C343" s="134" t="n"/>
      <c r="D343" s="134" t="inlineStr">
        <is>
          <t>other</t>
        </is>
      </c>
      <c r="E343" s="134" t="inlineStr">
        <is>
          <t>insufficient evidence</t>
        </is>
      </c>
      <c r="F343" s="134" t="inlineStr">
        <is>
          <t>multi-target signaling modulation</t>
        </is>
      </c>
      <c r="G343" s="134" t="inlineStr">
        <is>
          <t>general or unknown targets</t>
        </is>
      </c>
      <c r="H343" s="134" t="inlineStr">
        <is>
          <t>moderate absorption; hepatic metabolism</t>
        </is>
      </c>
      <c r="I343" s="134" t="inlineStr">
        <is>
          <t>low</t>
        </is>
      </c>
      <c r="J343" s="134" t="inlineStr">
        <is>
          <t>no well-documented interactions</t>
        </is>
      </c>
      <c r="K343" s="134" t="n"/>
      <c r="L343" s="134" t="inlineStr">
        <is>
          <t>compound_level</t>
        </is>
      </c>
      <c r="M343" s="134" t="inlineStr">
        <is>
          <t>https://plants.sc.egov.usda.gov/home/search?query=Celastrus%20Paniculatus | https://plants.sc.egov.usda.gov/home/search?query=celastrus%20paniculatus | https://pubchem.ncbi.nlm.nih.gov/#query=paniculatin</t>
        </is>
      </c>
      <c r="N343" s="134" t="inlineStr">
        <is>
          <t>trusted_gov_added</t>
        </is>
      </c>
      <c r="O343" s="134" t="inlineStr">
        <is>
          <t>PubChem compound page (NIH); USDA Plants database</t>
        </is>
      </c>
      <c r="P343" s="134" t="n"/>
      <c r="Q343" s="134" t="inlineStr">
        <is>
          <t>celastrus-paniculatus; celastrus-paniculatus-intellect-tree</t>
        </is>
      </c>
      <c r="R343" s="134" t="n">
        <v>2</v>
      </c>
      <c r="S343" s="134" t="inlineStr">
        <is>
          <t>Yes</t>
        </is>
      </c>
      <c r="T343" s="134" t="inlineStr">
        <is>
          <t>Integrated from cleaned high-signal dataset</t>
        </is>
      </c>
    </row>
    <row r="344" ht="26" customHeight="1" s="76">
      <c r="A344" s="134" t="inlineStr">
        <is>
          <t>papain</t>
        </is>
      </c>
      <c r="B344" s="134" t="inlineStr">
        <is>
          <t>papain</t>
        </is>
      </c>
      <c r="C344" s="134" t="n"/>
      <c r="D344" s="134" t="inlineStr">
        <is>
          <t>other</t>
        </is>
      </c>
      <c r="E344" s="134" t="inlineStr">
        <is>
          <t>insufficient evidence</t>
        </is>
      </c>
      <c r="F344" s="134" t="inlineStr">
        <is>
          <t>multi-target signaling modulation</t>
        </is>
      </c>
      <c r="G344" s="134" t="inlineStr">
        <is>
          <t>general or unknown targets</t>
        </is>
      </c>
      <c r="H344" s="134" t="inlineStr">
        <is>
          <t>moderate absorption; hepatic metabolism</t>
        </is>
      </c>
      <c r="I344" s="134" t="inlineStr">
        <is>
          <t>low</t>
        </is>
      </c>
      <c r="J344" s="134" t="inlineStr">
        <is>
          <t>no well-documented interactions</t>
        </is>
      </c>
      <c r="K344" s="134" t="n"/>
      <c r="L344" s="134" t="inlineStr">
        <is>
          <t>compound_level</t>
        </is>
      </c>
      <c r="M344" s="134" t="inlineStr">
        <is>
          <t>https://plants.sc.egov.usda.gov/home/search?query=carica%20papaya | https://pubchem.ncbi.nlm.nih.gov/#query=papain</t>
        </is>
      </c>
      <c r="N344" s="134" t="inlineStr">
        <is>
          <t>trusted_gov_added</t>
        </is>
      </c>
      <c r="O344" s="134" t="inlineStr">
        <is>
          <t>PubChem compound page (NIH); USDA Plants database</t>
        </is>
      </c>
      <c r="P344" s="134" t="n"/>
      <c r="Q344" s="134" t="inlineStr">
        <is>
          <t>carica-papaya</t>
        </is>
      </c>
      <c r="R344" s="134" t="n">
        <v>1</v>
      </c>
      <c r="S344" s="134" t="inlineStr">
        <is>
          <t>Yes</t>
        </is>
      </c>
      <c r="T344" s="134" t="inlineStr">
        <is>
          <t>Integrated from cleaned high-signal dataset</t>
        </is>
      </c>
    </row>
    <row r="345" ht="26" customHeight="1" s="76">
      <c r="A345" s="134" t="inlineStr">
        <is>
          <t>pectin</t>
        </is>
      </c>
      <c r="B345" s="134" t="inlineStr">
        <is>
          <t>pectin</t>
        </is>
      </c>
      <c r="C345" s="134" t="n"/>
      <c r="D345" s="134" t="inlineStr">
        <is>
          <t>mucilage polysaccharides; flavonoids</t>
        </is>
      </c>
      <c r="E345" s="134" t="inlineStr">
        <is>
          <t>insufficient evidence</t>
        </is>
      </c>
      <c r="F345" s="134" t="inlineStr">
        <is>
          <t>multi-target signaling modulation</t>
        </is>
      </c>
      <c r="G345" s="134" t="inlineStr">
        <is>
          <t>general or unknown targets</t>
        </is>
      </c>
      <c r="H345" s="134" t="inlineStr">
        <is>
          <t>Absorption and bioavailability vary; some compounds metabolized via cytochrome P450 enzymes.</t>
        </is>
      </c>
      <c r="I345" s="134" t="inlineStr">
        <is>
          <t>low</t>
        </is>
      </c>
      <c r="J345" s="134" t="inlineStr">
        <is>
          <t>no well-documented interactions</t>
        </is>
      </c>
      <c r="K345" s="134" t="n"/>
      <c r="L345" s="134" t="inlineStr">
        <is>
          <t>compound_level</t>
        </is>
      </c>
      <c r="M345" s="134" t="inlineStr">
        <is>
          <t>https://plants.sc.egov.usda.gov/home/search?query=Althaea%20officinalis | https://pubchem.ncbi.nlm.nih.gov/#query=pectin</t>
        </is>
      </c>
      <c r="N345" s="134" t="inlineStr">
        <is>
          <t>inferred_plus_trusted_gov</t>
        </is>
      </c>
      <c r="O345" s="134" t="inlineStr">
        <is>
          <t>scientific name; PubChem compound page (NIH); USDA Plants database</t>
        </is>
      </c>
      <c r="P345" s="134" t="n"/>
      <c r="Q345" s="134" t="inlineStr">
        <is>
          <t>althaea-officinalis</t>
        </is>
      </c>
      <c r="R345" s="134" t="n">
        <v>1</v>
      </c>
      <c r="S345" s="134" t="inlineStr">
        <is>
          <t>Yes</t>
        </is>
      </c>
      <c r="T345" s="134" t="inlineStr">
        <is>
          <t>Integrated from cleaned high-signal dataset</t>
        </is>
      </c>
    </row>
    <row r="346" ht="26" customHeight="1" s="76">
      <c r="A346" s="134" t="inlineStr">
        <is>
          <t>pellucidin a</t>
        </is>
      </c>
      <c r="B346" s="134" t="inlineStr">
        <is>
          <t>pellucidin a</t>
        </is>
      </c>
      <c r="C346" s="134" t="n"/>
      <c r="D346" s="134" t="inlineStr">
        <is>
          <t>flavonoids; secolignans</t>
        </is>
      </c>
      <c r="E346" s="134" t="inlineStr">
        <is>
          <t>insufficient evidence</t>
        </is>
      </c>
      <c r="F346" s="134" t="inlineStr">
        <is>
          <t>multi-target signaling modulation</t>
        </is>
      </c>
      <c r="G346" s="134" t="inlineStr">
        <is>
          <t>general or unknown targets</t>
        </is>
      </c>
      <c r="H346" s="134" t="inlineStr">
        <is>
          <t>Absorption and bioavailability vary; some compounds metabolized via cytochrome P450 enzymes.</t>
        </is>
      </c>
      <c r="I346" s="134" t="inlineStr">
        <is>
          <t>low</t>
        </is>
      </c>
      <c r="J346" s="134" t="inlineStr">
        <is>
          <t>no well-documented interactions</t>
        </is>
      </c>
      <c r="K346" s="134" t="n"/>
      <c r="L346" s="134" t="inlineStr">
        <is>
          <t>compound_level</t>
        </is>
      </c>
      <c r="M346" s="134" t="inlineStr">
        <is>
          <t>https://plants.sc.egov.usda.gov/home/search?query=Peperomia%20pellucida | https://pubchem.ncbi.nlm.nih.gov/#query=pellucidin%20a</t>
        </is>
      </c>
      <c r="N346" s="134" t="inlineStr">
        <is>
          <t>inferred_plus_trusted_gov</t>
        </is>
      </c>
      <c r="O346" s="134" t="inlineStr">
        <is>
          <t>scientific name; PubChem compound page (NIH); USDA Plants database</t>
        </is>
      </c>
      <c r="P346" s="134" t="n"/>
      <c r="Q346" s="134" t="inlineStr">
        <is>
          <t>peperomia-pellucida</t>
        </is>
      </c>
      <c r="R346" s="134" t="n">
        <v>1</v>
      </c>
      <c r="S346" s="134" t="inlineStr">
        <is>
          <t>Yes</t>
        </is>
      </c>
      <c r="T346" s="134" t="inlineStr">
        <is>
          <t>Integrated from cleaned high-signal dataset</t>
        </is>
      </c>
    </row>
    <row r="347" ht="26" customHeight="1" s="76">
      <c r="A347" s="134" t="inlineStr">
        <is>
          <t>peruvoside</t>
        </is>
      </c>
      <c r="B347" s="134" t="inlineStr">
        <is>
          <t>peruvoside</t>
        </is>
      </c>
      <c r="C347" s="134" t="n"/>
      <c r="D347" s="134" t="inlineStr">
        <is>
          <t>cardiac glycosides</t>
        </is>
      </c>
      <c r="E347" s="134" t="inlineStr">
        <is>
          <t>insufficient evidence</t>
        </is>
      </c>
      <c r="F347" s="134" t="inlineStr">
        <is>
          <t>multi-target signaling modulation</t>
        </is>
      </c>
      <c r="G347" s="134" t="inlineStr">
        <is>
          <t>general or unknown targets</t>
        </is>
      </c>
      <c r="H347" s="134" t="inlineStr">
        <is>
          <t>Absorption and bioavailability vary; some compounds metabolized via cytochrome P450 enzymes.</t>
        </is>
      </c>
      <c r="I347" s="134" t="inlineStr">
        <is>
          <t>low</t>
        </is>
      </c>
      <c r="J347" s="134" t="inlineStr">
        <is>
          <t>no well-documented interactions</t>
        </is>
      </c>
      <c r="K347" s="134" t="n"/>
      <c r="L347" s="134" t="inlineStr">
        <is>
          <t>compound_level</t>
        </is>
      </c>
      <c r="M347" s="134" t="inlineStr">
        <is>
          <t>https://plants.sc.egov.usda.gov/home/search?query=Thevetia%20peruviana | https://pubchem.ncbi.nlm.nih.gov/#query=peruvoside</t>
        </is>
      </c>
      <c r="N347" s="134" t="inlineStr">
        <is>
          <t>inferred_plus_trusted_gov</t>
        </is>
      </c>
      <c r="O347" s="134" t="inlineStr">
        <is>
          <t>scientific name; PubChem compound page (NIH); USDA Plants database</t>
        </is>
      </c>
      <c r="P347" s="134" t="n"/>
      <c r="Q347" s="134" t="inlineStr">
        <is>
          <t>thevetia-peruviana</t>
        </is>
      </c>
      <c r="R347" s="134" t="n">
        <v>1</v>
      </c>
      <c r="S347" s="134" t="inlineStr">
        <is>
          <t>Yes</t>
        </is>
      </c>
      <c r="T347" s="134" t="inlineStr">
        <is>
          <t>Integrated from cleaned high-signal dataset</t>
        </is>
      </c>
    </row>
    <row r="348" ht="26" customHeight="1" s="76">
      <c r="A348" s="134" t="inlineStr">
        <is>
          <t>phosphatidylserine</t>
        </is>
      </c>
      <c r="B348" s="134" t="inlineStr">
        <is>
          <t>phosphatidylserine</t>
        </is>
      </c>
      <c r="C348" s="134" t="n"/>
      <c r="D348" s="134" t="inlineStr">
        <is>
          <t>phospholipid</t>
        </is>
      </c>
      <c r="E348" s="134" t="inlineStr">
        <is>
          <t>Membrane phospholipid involved in neuronal membrane structure, signaling, and apoptosis-related membrane dynamics; supplemental use is usually framed around membrane support and stress-response modulation rather than a single receptor target.</t>
        </is>
      </c>
      <c r="F348" s="134" t="n"/>
      <c r="G348" s="134" t="inlineStr">
        <is>
          <t>Cell-membrane phospholipid signaling; apoptotic membrane signaling; cortisol/stress-response modulation</t>
        </is>
      </c>
      <c r="H348" s="134" t="inlineStr">
        <is>
          <t>Dietary/supplement phosphatidylserine is absorbed as lipid digestion products and reincorporated into phospholipid pools; concise single-molecule PK claims remain limited.</t>
        </is>
      </c>
      <c r="I348" s="134" t="inlineStr">
        <is>
          <t>Generally well tolerated in supplement studies; insomnia or GI upset can occur. Avoid exaggerated anticoagulant claims because evidence is limited.</t>
        </is>
      </c>
      <c r="J348" s="134" t="inlineStr">
        <is>
          <t>Anticoagulants/antiplatelets (theoretical additive bleeding-risk caution, stronger at product level than molecule-specific level); cholinergic agents (no strong direct interaction retained).</t>
        </is>
      </c>
      <c r="K348" s="134" t="inlineStr">
        <is>
          <t>Moderate</t>
        </is>
      </c>
      <c r="L348" s="134" t="inlineStr">
        <is>
          <t>mixed</t>
        </is>
      </c>
      <c r="M348" s="134" t="inlineStr">
        <is>
          <t>https://pubchem.ncbi.nlm.nih.gov/compound/Phosphatidylserine | https://pubmed.ncbi.nlm.nih.gov/11842879/ | https://pubmed.ncbi.nlm.nih.gov/25933483/</t>
        </is>
      </c>
      <c r="N348" s="134" t="n"/>
      <c r="O348" s="134" t="n"/>
      <c r="P348" s="134" t="inlineStr">
        <is>
          <t>Batch12_cholinergic_cognition_2026-04-07</t>
        </is>
      </c>
      <c r="Q348" s="134" t="n"/>
      <c r="R348" s="134" t="n">
        <v>0</v>
      </c>
      <c r="S348" s="134" t="inlineStr">
        <is>
          <t>No</t>
        </is>
      </c>
      <c r="T348" s="134" t="inlineStr">
        <is>
          <t>Integrated from compound monograph workbook</t>
        </is>
      </c>
    </row>
    <row r="349" ht="26" customHeight="1" s="76">
      <c r="A349" s="134" t="inlineStr">
        <is>
          <t>picrocrocin</t>
        </is>
      </c>
      <c r="B349" s="134" t="inlineStr">
        <is>
          <t>picrocrocin</t>
        </is>
      </c>
      <c r="C349" s="134" t="n"/>
      <c r="D349" s="134" t="inlineStr">
        <is>
          <t>other</t>
        </is>
      </c>
      <c r="E349" s="134" t="inlineStr">
        <is>
          <t>insufficient evidence</t>
        </is>
      </c>
      <c r="F349" s="134" t="inlineStr">
        <is>
          <t>multi-target signaling modulation</t>
        </is>
      </c>
      <c r="G349" s="134" t="inlineStr">
        <is>
          <t>general or unknown targets</t>
        </is>
      </c>
      <c r="H349" s="134" t="inlineStr">
        <is>
          <t>moderate absorption; hepatic metabolism</t>
        </is>
      </c>
      <c r="I349" s="134" t="inlineStr">
        <is>
          <t>low</t>
        </is>
      </c>
      <c r="J349" s="134" t="inlineStr">
        <is>
          <t>no well-documented interactions</t>
        </is>
      </c>
      <c r="K349" s="134" t="n"/>
      <c r="L349" s="134" t="inlineStr">
        <is>
          <t>compound_level</t>
        </is>
      </c>
      <c r="M349" s="134" t="inlineStr">
        <is>
          <t>https://plants.sc.egov.usda.gov/home/search?query=crocus%20sativus | https://pubchem.ncbi.nlm.nih.gov/#query=picrocrocin</t>
        </is>
      </c>
      <c r="N349" s="134" t="inlineStr">
        <is>
          <t>trusted_gov_added</t>
        </is>
      </c>
      <c r="O349" s="134" t="inlineStr">
        <is>
          <t>PubChem compound page (NIH); USDA Plants database</t>
        </is>
      </c>
      <c r="P349" s="134" t="n"/>
      <c r="Q349" s="134" t="inlineStr">
        <is>
          <t>crocus-sativus</t>
        </is>
      </c>
      <c r="R349" s="134" t="n">
        <v>1</v>
      </c>
      <c r="S349" s="134" t="inlineStr">
        <is>
          <t>Yes</t>
        </is>
      </c>
      <c r="T349" s="134" t="inlineStr">
        <is>
          <t>Integrated from cleaned high-signal dataset</t>
        </is>
      </c>
    </row>
    <row r="350" ht="26" customHeight="1" s="76">
      <c r="A350" s="134" t="inlineStr">
        <is>
          <t>pinene</t>
        </is>
      </c>
      <c r="B350" s="134" t="inlineStr">
        <is>
          <t>pinene)</t>
        </is>
      </c>
      <c r="C350" s="134" t="n"/>
      <c r="D350" s="134" t="inlineStr">
        <is>
          <t>terpenes (myrcene</t>
        </is>
      </c>
      <c r="E350" s="134" t="inlineStr">
        <is>
          <t>THC acts at CB1 receptors; terpenes may modulate neurotransmitter systems and pharmacokinetics.</t>
        </is>
      </c>
      <c r="F350" s="134" t="inlineStr">
        <is>
          <t>multi-target signaling modulation</t>
        </is>
      </c>
      <c r="G350" s="134" t="inlineStr">
        <is>
          <t>endocannabinoid_modulation</t>
        </is>
      </c>
      <c r="H350" s="134" t="inlineStr">
        <is>
          <t>lipophilic; rapid absorption; tissue distribution</t>
        </is>
      </c>
      <c r="I350" s="134" t="inlineStr">
        <is>
          <t>low</t>
        </is>
      </c>
      <c r="J350" s="134" t="inlineStr">
        <is>
          <t>no well-documented interactions</t>
        </is>
      </c>
      <c r="K350" s="134" t="n"/>
      <c r="L350" s="134" t="inlineStr">
        <is>
          <t>compound_level</t>
        </is>
      </c>
      <c r="M350" s="134" t="inlineStr">
        <is>
          <t>https://plants.sc.egov.usda.gov/home/search?query=cannabis%20sativa | https://pubchem.ncbi.nlm.nih.gov/#query=pinene%29</t>
        </is>
      </c>
      <c r="N350" s="134" t="inlineStr">
        <is>
          <t>trusted_gov_added</t>
        </is>
      </c>
      <c r="O350" s="134" t="inlineStr">
        <is>
          <t>PubChem compound page (NIH); USDA Plants database</t>
        </is>
      </c>
      <c r="P350" s="134" t="n"/>
      <c r="Q350" s="134" t="inlineStr">
        <is>
          <t>cannabis-sativa</t>
        </is>
      </c>
      <c r="R350" s="134" t="n">
        <v>1</v>
      </c>
      <c r="S350" s="134" t="inlineStr">
        <is>
          <t>Yes</t>
        </is>
      </c>
      <c r="T350" s="134" t="inlineStr">
        <is>
          <t>Integrated from cleaned high-signal dataset</t>
        </is>
      </c>
    </row>
    <row r="351" ht="26" customHeight="1" s="76">
      <c r="A351" s="134" t="inlineStr">
        <is>
          <t>pinocembrin</t>
        </is>
      </c>
      <c r="B351" s="134" t="inlineStr">
        <is>
          <t>pinocembrin</t>
        </is>
      </c>
      <c r="C351" s="134" t="n"/>
      <c r="D351" s="134" t="inlineStr">
        <is>
          <t>other</t>
        </is>
      </c>
      <c r="E351" s="134" t="inlineStr">
        <is>
          <t>insufficient evidence</t>
        </is>
      </c>
      <c r="F351" s="134" t="inlineStr">
        <is>
          <t>multi-target signaling modulation</t>
        </is>
      </c>
      <c r="G351" s="134" t="inlineStr">
        <is>
          <t>general or unknown targets</t>
        </is>
      </c>
      <c r="H351" s="134" t="inlineStr">
        <is>
          <t>Absorption and bioavailability vary; some compounds metabolized via cytochrome P450 enzymes.</t>
        </is>
      </c>
      <c r="I351" s="134" t="inlineStr">
        <is>
          <t>low</t>
        </is>
      </c>
      <c r="J351" s="134" t="inlineStr">
        <is>
          <t>no well-documented interactions</t>
        </is>
      </c>
      <c r="K351" s="134" t="n"/>
      <c r="L351" s="134" t="inlineStr">
        <is>
          <t>compound_level</t>
        </is>
      </c>
      <c r="M351" s="134" t="inlineStr">
        <is>
          <t>https://plants.sc.egov.usda.gov/home/search?query=Boesenbergia%20rotunda | https://pubchem.ncbi.nlm.nih.gov/#query=pinocembrin</t>
        </is>
      </c>
      <c r="N351" s="134" t="inlineStr">
        <is>
          <t>inferred_plus_trusted_gov</t>
        </is>
      </c>
      <c r="O351" s="134" t="inlineStr">
        <is>
          <t>scientific name; PubChem compound page (NIH); USDA Plants database</t>
        </is>
      </c>
      <c r="P351" s="134" t="n"/>
      <c r="Q351" s="134" t="inlineStr">
        <is>
          <t>boesenbergia-rotunda</t>
        </is>
      </c>
      <c r="R351" s="134" t="n">
        <v>1</v>
      </c>
      <c r="S351" s="134" t="inlineStr">
        <is>
          <t>Yes</t>
        </is>
      </c>
      <c r="T351" s="134" t="inlineStr">
        <is>
          <t>Integrated from cleaned high-signal dataset</t>
        </is>
      </c>
    </row>
    <row r="352" ht="26" customHeight="1" s="76">
      <c r="A352" s="134" t="inlineStr">
        <is>
          <t>pinostrobin</t>
        </is>
      </c>
      <c r="B352" s="134" t="inlineStr">
        <is>
          <t>pinostrobin</t>
        </is>
      </c>
      <c r="C352" s="134" t="n"/>
      <c r="D352" s="134" t="inlineStr">
        <is>
          <t>other</t>
        </is>
      </c>
      <c r="E352" s="134" t="inlineStr">
        <is>
          <t>insufficient evidence</t>
        </is>
      </c>
      <c r="F352" s="134" t="inlineStr">
        <is>
          <t>multi-target signaling modulation</t>
        </is>
      </c>
      <c r="G352" s="134" t="inlineStr">
        <is>
          <t>general or unknown targets</t>
        </is>
      </c>
      <c r="H352" s="134" t="inlineStr">
        <is>
          <t>Absorption and bioavailability vary; some compounds metabolized via cytochrome P450 enzymes.</t>
        </is>
      </c>
      <c r="I352" s="134" t="inlineStr">
        <is>
          <t>low</t>
        </is>
      </c>
      <c r="J352" s="134" t="inlineStr">
        <is>
          <t>no well-documented interactions</t>
        </is>
      </c>
      <c r="K352" s="134" t="n"/>
      <c r="L352" s="134" t="inlineStr">
        <is>
          <t>compound_level</t>
        </is>
      </c>
      <c r="M352" s="134" t="inlineStr">
        <is>
          <t>https://plants.sc.egov.usda.gov/home/search?query=Boesenbergia%20rotunda | https://pubchem.ncbi.nlm.nih.gov/#query=pinostrobin</t>
        </is>
      </c>
      <c r="N352" s="134" t="inlineStr">
        <is>
          <t>inferred_plus_trusted_gov</t>
        </is>
      </c>
      <c r="O352" s="134" t="inlineStr">
        <is>
          <t>scientific name; PubChem compound page (NIH); USDA Plants database</t>
        </is>
      </c>
      <c r="P352" s="134" t="n"/>
      <c r="Q352" s="134" t="inlineStr">
        <is>
          <t>boesenbergia-rotunda</t>
        </is>
      </c>
      <c r="R352" s="134" t="n">
        <v>1</v>
      </c>
      <c r="S352" s="134" t="inlineStr">
        <is>
          <t>Yes</t>
        </is>
      </c>
      <c r="T352" s="134" t="inlineStr">
        <is>
          <t>Integrated from cleaned high-signal dataset</t>
        </is>
      </c>
    </row>
    <row r="353" ht="26" customHeight="1" s="76">
      <c r="A353" s="134" t="inlineStr">
        <is>
          <t>piperine</t>
        </is>
      </c>
      <c r="B353" s="134" t="inlineStr">
        <is>
          <t>piperine</t>
        </is>
      </c>
      <c r="C353" s="134" t="n"/>
      <c r="D353" s="134" t="inlineStr">
        <is>
          <t>alkaloid</t>
        </is>
      </c>
      <c r="E353" s="134" t="inlineStr">
        <is>
          <t>Inhibits drug metabolism enzymes and enhances bioavailability</t>
        </is>
      </c>
      <c r="F353" s="134" t="n"/>
      <c r="G353" s="134" t="inlineStr">
        <is>
          <t>CYP3A4 inhibition; P-gp inhibition</t>
        </is>
      </c>
      <c r="H353" s="134" t="n"/>
      <c r="I353" s="134" t="n"/>
      <c r="J353" s="134" t="inlineStr">
        <is>
          <t>Multiple drugs (↑ exposure)</t>
        </is>
      </c>
      <c r="K353" s="134" t="n"/>
      <c r="L353" s="134" t="inlineStr">
        <is>
          <t>Batch9</t>
        </is>
      </c>
      <c r="M353" s="134" t="n"/>
      <c r="N353" s="134" t="n"/>
      <c r="O353" s="134" t="n"/>
      <c r="P353" s="134" t="inlineStr">
        <is>
          <t>master_monographs_v3.xlsx</t>
        </is>
      </c>
      <c r="Q353" s="134" t="n"/>
      <c r="R353" s="134" t="n">
        <v>0</v>
      </c>
      <c r="S353" s="134" t="inlineStr">
        <is>
          <t>No</t>
        </is>
      </c>
      <c r="T353" s="134" t="inlineStr">
        <is>
          <t>Integrated from compound monograph workbook</t>
        </is>
      </c>
    </row>
    <row r="354" ht="26" customHeight="1" s="76">
      <c r="A354" s="134" t="inlineStr">
        <is>
          <t>podophyllotoxin</t>
        </is>
      </c>
      <c r="B354" s="134" t="inlineStr">
        <is>
          <t>podophyllotoxin</t>
        </is>
      </c>
      <c r="C354" s="134" t="n"/>
      <c r="D354" s="134" t="inlineStr">
        <is>
          <t>lignans</t>
        </is>
      </c>
      <c r="E354" s="134" t="inlineStr">
        <is>
          <t>insufficient evidence</t>
        </is>
      </c>
      <c r="F354" s="134" t="inlineStr">
        <is>
          <t>multi-target signaling modulation</t>
        </is>
      </c>
      <c r="G354" s="134" t="inlineStr">
        <is>
          <t>general or unknown targets</t>
        </is>
      </c>
      <c r="H354" s="134" t="inlineStr">
        <is>
          <t>Absorption and bioavailability vary; some compounds metabolized via cytochrome P450 enzymes.</t>
        </is>
      </c>
      <c r="I354" s="134" t="inlineStr">
        <is>
          <t>low</t>
        </is>
      </c>
      <c r="J354" s="134" t="inlineStr">
        <is>
          <t>no well-documented interactions</t>
        </is>
      </c>
      <c r="K354" s="134" t="n"/>
      <c r="L354" s="134" t="inlineStr">
        <is>
          <t>compound_level</t>
        </is>
      </c>
      <c r="M354" s="134" t="inlineStr">
        <is>
          <t>https://plants.sc.egov.usda.gov/home/search?query=Podophyllum%20peltatum | https://pubchem.ncbi.nlm.nih.gov/#query=podophyllotoxin</t>
        </is>
      </c>
      <c r="N354" s="134" t="inlineStr">
        <is>
          <t>inferred_plus_trusted_gov</t>
        </is>
      </c>
      <c r="O354" s="134" t="inlineStr">
        <is>
          <t>scientific name; PubChem compound page (NIH); USDA Plants database</t>
        </is>
      </c>
      <c r="P354" s="134" t="n"/>
      <c r="Q354" s="134" t="inlineStr">
        <is>
          <t>podophyllum-peltatum</t>
        </is>
      </c>
      <c r="R354" s="134" t="n">
        <v>1</v>
      </c>
      <c r="S354" s="134" t="inlineStr">
        <is>
          <t>Yes</t>
        </is>
      </c>
      <c r="T354" s="134" t="inlineStr">
        <is>
          <t>Integrated from cleaned high-signal dataset</t>
        </is>
      </c>
    </row>
    <row r="355" ht="26" customHeight="1" s="76">
      <c r="A355" s="134" t="inlineStr">
        <is>
          <t>polygodial</t>
        </is>
      </c>
      <c r="B355" s="134" t="inlineStr">
        <is>
          <t>polygodial</t>
        </is>
      </c>
      <c r="C355" s="134" t="n"/>
      <c r="D355" s="134" t="inlineStr">
        <is>
          <t>Polygodial, flavonoids</t>
        </is>
      </c>
      <c r="E355" s="134" t="inlineStr">
        <is>
          <t>insufficient evidence</t>
        </is>
      </c>
      <c r="F355" s="134" t="inlineStr">
        <is>
          <t>multi-target signaling modulation</t>
        </is>
      </c>
      <c r="G355" s="134" t="inlineStr">
        <is>
          <t>general or unknown targets</t>
        </is>
      </c>
      <c r="H355" s="134" t="inlineStr">
        <is>
          <t>Oral; membrane disruption in microbes</t>
        </is>
      </c>
      <c r="I355" s="134" t="inlineStr">
        <is>
          <t>low</t>
        </is>
      </c>
      <c r="J355" s="134" t="inlineStr">
        <is>
          <t>no well-documented interactions</t>
        </is>
      </c>
      <c r="K355" s="134" t="n"/>
      <c r="L355" s="134" t="inlineStr">
        <is>
          <t>compound_level</t>
        </is>
      </c>
      <c r="M355" s="134" t="inlineStr">
        <is>
          <t>https://plants.sc.egov.usda.gov/home/search?query=Tasmannia%20lanceolata | https://pubchem.ncbi.nlm.nih.gov/#query=polygodial</t>
        </is>
      </c>
      <c r="N355" s="134" t="inlineStr">
        <is>
          <t>inferred_plus_trusted_gov</t>
        </is>
      </c>
      <c r="O355" s="134" t="inlineStr">
        <is>
          <t>scientific name; PubChem compound page (NIH); USDA Plants database</t>
        </is>
      </c>
      <c r="P355" s="134" t="n"/>
      <c r="Q355" s="134" t="inlineStr">
        <is>
          <t>tasmannia-lanceolata</t>
        </is>
      </c>
      <c r="R355" s="134" t="n">
        <v>1</v>
      </c>
      <c r="S355" s="134" t="inlineStr">
        <is>
          <t>Yes</t>
        </is>
      </c>
      <c r="T355" s="134" t="inlineStr">
        <is>
          <t>Integrated from cleaned high-signal dataset</t>
        </is>
      </c>
    </row>
    <row r="356" ht="26" customHeight="1" s="76">
      <c r="A356" s="134" t="inlineStr">
        <is>
          <t>polypeptide-p</t>
        </is>
      </c>
      <c r="B356" s="134" t="inlineStr">
        <is>
          <t>polypeptide-p</t>
        </is>
      </c>
      <c r="C356" s="134" t="n"/>
      <c r="D356" s="134" t="inlineStr">
        <is>
          <t>other</t>
        </is>
      </c>
      <c r="E356" s="134" t="inlineStr">
        <is>
          <t>insufficient evidence</t>
        </is>
      </c>
      <c r="F356" s="134" t="inlineStr">
        <is>
          <t>multi-target signaling modulation</t>
        </is>
      </c>
      <c r="G356" s="134" t="inlineStr">
        <is>
          <t>general or unknown targets</t>
        </is>
      </c>
      <c r="H356" s="134" t="inlineStr">
        <is>
          <t>Oral; insulin mimetic and antidiabetic</t>
        </is>
      </c>
      <c r="I356" s="134" t="inlineStr">
        <is>
          <t>low</t>
        </is>
      </c>
      <c r="J356" s="134" t="inlineStr">
        <is>
          <t>no well-documented interactions</t>
        </is>
      </c>
      <c r="K356" s="134" t="n"/>
      <c r="L356" s="134" t="inlineStr">
        <is>
          <t>compound_level</t>
        </is>
      </c>
      <c r="M356" s="134" t="inlineStr">
        <is>
          <t>https://plants.sc.egov.usda.gov/home/search?query=Momordica%20charantia | https://pubchem.ncbi.nlm.nih.gov/#query=polypeptide-p</t>
        </is>
      </c>
      <c r="N356" s="134" t="inlineStr">
        <is>
          <t>inferred_plus_trusted_gov</t>
        </is>
      </c>
      <c r="O356" s="134" t="inlineStr">
        <is>
          <t>scientific name; PubChem compound page (NIH); USDA Plants database</t>
        </is>
      </c>
      <c r="P356" s="134" t="n"/>
      <c r="Q356" s="134" t="inlineStr">
        <is>
          <t>momordica-charantia</t>
        </is>
      </c>
      <c r="R356" s="134" t="n">
        <v>1</v>
      </c>
      <c r="S356" s="134" t="inlineStr">
        <is>
          <t>Yes</t>
        </is>
      </c>
      <c r="T356" s="134" t="inlineStr">
        <is>
          <t>Integrated from cleaned high-signal dataset</t>
        </is>
      </c>
    </row>
    <row r="357" ht="26" customHeight="1" s="76">
      <c r="A357" s="134" t="inlineStr">
        <is>
          <t>pristimerin</t>
        </is>
      </c>
      <c r="B357" s="134" t="inlineStr">
        <is>
          <t>pristimerin</t>
        </is>
      </c>
      <c r="C357" s="134" t="n"/>
      <c r="D357" s="134" t="inlineStr">
        <is>
          <t>other</t>
        </is>
      </c>
      <c r="E357" s="134" t="inlineStr">
        <is>
          <t>insufficient evidence</t>
        </is>
      </c>
      <c r="F357" s="134" t="inlineStr">
        <is>
          <t>multi-target signaling modulation</t>
        </is>
      </c>
      <c r="G357" s="134" t="inlineStr">
        <is>
          <t>general or unknown targets</t>
        </is>
      </c>
      <c r="H357" s="134" t="inlineStr">
        <is>
          <t>moderate absorption; hepatic metabolism</t>
        </is>
      </c>
      <c r="I357" s="134" t="inlineStr">
        <is>
          <t>low</t>
        </is>
      </c>
      <c r="J357" s="134" t="inlineStr">
        <is>
          <t>no well-documented interactions</t>
        </is>
      </c>
      <c r="K357" s="134" t="n"/>
      <c r="L357" s="134" t="inlineStr">
        <is>
          <t>compound_level</t>
        </is>
      </c>
      <c r="M357" s="134" t="inlineStr">
        <is>
          <t>https://plants.sc.egov.usda.gov/home/search?query=Celastrus%20Paniculatus | https://plants.sc.egov.usda.gov/home/search?query=celastrus%20paniculatus | https://pubchem.ncbi.nlm.nih.gov/#query=pristimerin</t>
        </is>
      </c>
      <c r="N357" s="134" t="inlineStr">
        <is>
          <t>trusted_gov_added</t>
        </is>
      </c>
      <c r="O357" s="134" t="inlineStr">
        <is>
          <t>PubChem compound page (NIH); USDA Plants database</t>
        </is>
      </c>
      <c r="P357" s="134" t="n"/>
      <c r="Q357" s="134" t="inlineStr">
        <is>
          <t>celastrus-paniculatus; celastrus-paniculatus-intellect-tree</t>
        </is>
      </c>
      <c r="R357" s="134" t="n">
        <v>2</v>
      </c>
      <c r="S357" s="134" t="inlineStr">
        <is>
          <t>Yes</t>
        </is>
      </c>
      <c r="T357" s="134" t="inlineStr">
        <is>
          <t>Integrated from cleaned high-signal dataset</t>
        </is>
      </c>
    </row>
    <row r="358" ht="26" customHeight="1" s="76">
      <c r="A358" s="134" t="inlineStr">
        <is>
          <t>probiotics</t>
        </is>
      </c>
      <c r="B358" s="134" t="inlineStr">
        <is>
          <t>probiotics</t>
        </is>
      </c>
      <c r="C358" s="134" t="n"/>
      <c r="D358" s="134" t="inlineStr">
        <is>
          <t>live biotherapeutic / microbiome-active category</t>
        </is>
      </c>
      <c r="E358" s="134" t="inlineStr">
        <is>
          <t>Strain-specific effects that can include colonization resistance, gut barrier support, immune modulation, and altered short-chain fatty acid production.</t>
        </is>
      </c>
      <c r="F358" s="134" t="n"/>
      <c r="G358" s="134" t="inlineStr">
        <is>
          <t>Gut barrier integrity; colonization resistance; immune modulation; short-chain fatty acid production</t>
        </is>
      </c>
      <c r="H358" s="134" t="inlineStr">
        <is>
          <t>Not meaningful as a single-compound PK field; viability, strain, dose, and delivery format are more relevant than classical absorption metrics.</t>
        </is>
      </c>
      <c r="I358" s="134" t="inlineStr">
        <is>
          <t>Generally safe in healthy people, but rare bloodstream infection/sepsis has occurred in high-risk or severely immunocompromised patients.</t>
        </is>
      </c>
      <c r="J358" s="134" t="inlineStr">
        <is>
          <t>Systemic antibiotics (timing can reduce viability); immunosuppressive states or central-line settings increase rare infection risk rather than classic DDI risk.</t>
        </is>
      </c>
      <c r="K358" s="134" t="inlineStr">
        <is>
          <t>moderate</t>
        </is>
      </c>
      <c r="L358" s="134" t="inlineStr">
        <is>
          <t>Sprint5</t>
        </is>
      </c>
      <c r="M358" s="134" t="inlineStr">
        <is>
          <t>https://pmc.ncbi.nlm.nih.gov/articles/PMC10470842/ | https://pmc.ncbi.nlm.nih.gov/articles/PMC7230973/ | https://www.nccih.nih.gov/health/probiotics-usefulness-and-safety</t>
        </is>
      </c>
      <c r="N358" s="134" t="n"/>
      <c r="O358" s="134" t="n"/>
      <c r="P358" s="134" t="inlineStr">
        <is>
          <t>precision_monographs_sprint5.xlsx</t>
        </is>
      </c>
      <c r="Q358" s="134" t="n"/>
      <c r="R358" s="134" t="n">
        <v>0</v>
      </c>
      <c r="S358" s="134" t="inlineStr">
        <is>
          <t>No</t>
        </is>
      </c>
      <c r="T358" s="134" t="inlineStr">
        <is>
          <t>Integrated from compound monograph workbook</t>
        </is>
      </c>
    </row>
    <row r="359" ht="26" customHeight="1" s="76">
      <c r="A359" s="134" t="inlineStr">
        <is>
          <t>protoanemonin</t>
        </is>
      </c>
      <c r="B359" s="134" t="inlineStr">
        <is>
          <t>protoanemonin</t>
        </is>
      </c>
      <c r="C359" s="134" t="n"/>
      <c r="D359" s="134" t="inlineStr">
        <is>
          <t>Protoanemonin, flavonoids, triterpenes</t>
        </is>
      </c>
      <c r="E359" s="134" t="inlineStr">
        <is>
          <t>insufficient evidence</t>
        </is>
      </c>
      <c r="F359" s="134" t="inlineStr">
        <is>
          <t>multi-target signaling modulation</t>
        </is>
      </c>
      <c r="G359" s="134" t="inlineStr">
        <is>
          <t>general or unknown targets</t>
        </is>
      </c>
      <c r="H359" s="134" t="inlineStr">
        <is>
          <t>Topical (low dose); rheumatic applications</t>
        </is>
      </c>
      <c r="I359" s="134" t="inlineStr">
        <is>
          <t>low</t>
        </is>
      </c>
      <c r="J359" s="134" t="inlineStr">
        <is>
          <t>no well-documented interactions</t>
        </is>
      </c>
      <c r="K359" s="134" t="n"/>
      <c r="L359" s="134" t="inlineStr">
        <is>
          <t>compound_level</t>
        </is>
      </c>
      <c r="M359" s="134" t="inlineStr">
        <is>
          <t>https://plants.sc.egov.usda.gov/home/search?query=Clematis%20vitalba | https://pubchem.ncbi.nlm.nih.gov/#query=protoanemonin</t>
        </is>
      </c>
      <c r="N359" s="134" t="inlineStr">
        <is>
          <t>inferred_plus_trusted_gov</t>
        </is>
      </c>
      <c r="O359" s="134" t="inlineStr">
        <is>
          <t>scientific name; PubChem compound page (NIH); USDA Plants database</t>
        </is>
      </c>
      <c r="P359" s="134" t="n"/>
      <c r="Q359" s="134" t="inlineStr">
        <is>
          <t>clematis-vitalba</t>
        </is>
      </c>
      <c r="R359" s="134" t="n">
        <v>1</v>
      </c>
      <c r="S359" s="134" t="inlineStr">
        <is>
          <t>Yes</t>
        </is>
      </c>
      <c r="T359" s="134" t="inlineStr">
        <is>
          <t>Integrated from cleaned high-signal dataset</t>
        </is>
      </c>
    </row>
    <row r="360" ht="26" customHeight="1" s="76">
      <c r="A360" s="134" t="inlineStr">
        <is>
          <t>protopine</t>
        </is>
      </c>
      <c r="B360" s="134" t="inlineStr">
        <is>
          <t>protopine</t>
        </is>
      </c>
      <c r="C360" s="134" t="n"/>
      <c r="D360" s="134" t="inlineStr">
        <is>
          <t>other</t>
        </is>
      </c>
      <c r="E360" s="134" t="inlineStr">
        <is>
          <t>insufficient evidence</t>
        </is>
      </c>
      <c r="F360" s="134" t="inlineStr">
        <is>
          <t>multi-target signaling modulation</t>
        </is>
      </c>
      <c r="G360" s="134" t="inlineStr">
        <is>
          <t>general or unknown targets</t>
        </is>
      </c>
      <c r="H360" s="134" t="inlineStr">
        <is>
          <t>Absorption and bioavailability vary; some compounds metabolized via cytochrome P450 enzymes.</t>
        </is>
      </c>
      <c r="I360" s="134" t="inlineStr">
        <is>
          <t>low</t>
        </is>
      </c>
      <c r="J360" s="134" t="inlineStr">
        <is>
          <t>no well-documented interactions</t>
        </is>
      </c>
      <c r="K360" s="134" t="n"/>
      <c r="L360" s="134" t="inlineStr">
        <is>
          <t>compound_level</t>
        </is>
      </c>
      <c r="M360" s="134" t="inlineStr">
        <is>
          <t>https://plants.sc.egov.usda.gov/home/search?query=Corydalis%20cava | https://pubchem.ncbi.nlm.nih.gov/#query=protopine</t>
        </is>
      </c>
      <c r="N360" s="134" t="inlineStr">
        <is>
          <t>inferred_plus_trusted_gov</t>
        </is>
      </c>
      <c r="O360" s="134" t="inlineStr">
        <is>
          <t>scientific name; PubChem compound page (NIH); USDA Plants database</t>
        </is>
      </c>
      <c r="P360" s="134" t="n"/>
      <c r="Q360" s="134" t="inlineStr">
        <is>
          <t>corydalis-cava</t>
        </is>
      </c>
      <c r="R360" s="134" t="n">
        <v>1</v>
      </c>
      <c r="S360" s="134" t="inlineStr">
        <is>
          <t>Yes</t>
        </is>
      </c>
      <c r="T360" s="134" t="inlineStr">
        <is>
          <t>Integrated from cleaned high-signal dataset</t>
        </is>
      </c>
    </row>
    <row r="361" ht="26" customHeight="1" s="76">
      <c r="A361" s="134" t="inlineStr">
        <is>
          <t>pseudoephedrine</t>
        </is>
      </c>
      <c r="B361" s="134" t="inlineStr">
        <is>
          <t>pseudoephedrine</t>
        </is>
      </c>
      <c r="C361" s="134" t="n"/>
      <c r="D361" s="134" t="inlineStr">
        <is>
          <t>other</t>
        </is>
      </c>
      <c r="E361" s="134" t="inlineStr">
        <is>
          <t>Ephedrine alkaloids act as mixed sympathomimetics, directly stimulating alpha- and beta-adrenergic receptors and indirectly increasing synaptic norepinephrine.</t>
        </is>
      </c>
      <c r="F361" s="134" t="inlineStr">
        <is>
          <t>multi-target signaling modulation</t>
        </is>
      </c>
      <c r="G361" s="134" t="inlineStr">
        <is>
          <t>dopaminergic_modulation; general or unknown targets</t>
        </is>
      </c>
      <c r="H361" s="134" t="inlineStr">
        <is>
          <t>Oral; onset ~30 min; duration 4–6 hours.</t>
        </is>
      </c>
      <c r="I361" s="134" t="inlineStr">
        <is>
          <t>low</t>
        </is>
      </c>
      <c r="J361" s="134" t="inlineStr">
        <is>
          <t>stimulants, beta-blockers, maois.</t>
        </is>
      </c>
      <c r="K361" s="134" t="n"/>
      <c r="L361" s="134" t="inlineStr">
        <is>
          <t>compound_level</t>
        </is>
      </c>
      <c r="M361" s="134" t="inlineStr">
        <is>
          <t>https://plants.sc.egov.usda.gov/home/search?query=Ephedra%20sinica | https://plants.sc.egov.usda.gov/home/search?query=ephedra%20sinica | https://pubchem.ncbi.nlm.nih.gov/#query=pseudoephedrine</t>
        </is>
      </c>
      <c r="N361" s="134" t="inlineStr">
        <is>
          <t>inferred_plus_trusted_gov; trusted_gov_added</t>
        </is>
      </c>
      <c r="O361" s="134" t="inlineStr">
        <is>
          <t>PubChem compound page (NIH); USDA Plants database; scientific name; PubChem compound page (NIH); USDA Plants database</t>
        </is>
      </c>
      <c r="P361" s="134" t="n"/>
      <c r="Q361" s="134" t="inlineStr">
        <is>
          <t>ephedra; ephedra-sinica</t>
        </is>
      </c>
      <c r="R361" s="134" t="n">
        <v>2</v>
      </c>
      <c r="S361" s="134" t="inlineStr">
        <is>
          <t>Yes</t>
        </is>
      </c>
      <c r="T361" s="134" t="inlineStr">
        <is>
          <t>Integrated from cleaned high-signal dataset</t>
        </is>
      </c>
    </row>
    <row r="362" ht="26" customHeight="1" s="76">
      <c r="A362" s="134" t="inlineStr">
        <is>
          <t>psilocin</t>
        </is>
      </c>
      <c r="B362" s="134" t="inlineStr">
        <is>
          <t>psilocin</t>
        </is>
      </c>
      <c r="C362" s="134" t="n"/>
      <c r="D362" s="134" t="inlineStr">
        <is>
          <t>other</t>
        </is>
      </c>
      <c r="E362" s="134" t="inlineStr">
        <is>
          <t>insufficient evidence</t>
        </is>
      </c>
      <c r="F362" s="134" t="inlineStr">
        <is>
          <t>serotonin receptor interaction</t>
        </is>
      </c>
      <c r="G362" s="134" t="inlineStr">
        <is>
          <t>serotonergic_5HT2A_agonism</t>
        </is>
      </c>
      <c r="H362" s="134" t="inlineStr">
        <is>
          <t>Absorption and bioavailability vary; some compounds metabolized via cytochrome P450 enzymes.</t>
        </is>
      </c>
      <c r="I362" s="134" t="inlineStr">
        <is>
          <t>low</t>
        </is>
      </c>
      <c r="J362" s="134" t="inlineStr">
        <is>
          <t>no well-documented interactions</t>
        </is>
      </c>
      <c r="K362" s="134" t="n"/>
      <c r="L362" s="134" t="inlineStr">
        <is>
          <t>compound_level</t>
        </is>
      </c>
      <c r="M362" s="134" t="inlineStr">
        <is>
          <t>https://plants.sc.egov.usda.gov/home/search?query=Psilocybe%20mexicana | https://pubchem.ncbi.nlm.nih.gov/#query=psilocin</t>
        </is>
      </c>
      <c r="N362" s="134" t="inlineStr">
        <is>
          <t>inferred_plus_trusted_gov</t>
        </is>
      </c>
      <c r="O362" s="134" t="inlineStr">
        <is>
          <t>scientific name; PubChem compound page (NIH); USDA Plants database</t>
        </is>
      </c>
      <c r="P362" s="134" t="n"/>
      <c r="Q362" s="134" t="inlineStr">
        <is>
          <t>psilocybe-mexicana</t>
        </is>
      </c>
      <c r="R362" s="134" t="n">
        <v>1</v>
      </c>
      <c r="S362" s="134" t="inlineStr">
        <is>
          <t>Yes</t>
        </is>
      </c>
      <c r="T362" s="134" t="inlineStr">
        <is>
          <t>Integrated from cleaned high-signal dataset</t>
        </is>
      </c>
    </row>
    <row r="363" ht="26" customHeight="1" s="76">
      <c r="A363" s="134" t="inlineStr">
        <is>
          <t>psilocybin</t>
        </is>
      </c>
      <c r="B363" s="134" t="inlineStr">
        <is>
          <t>psilocybin</t>
        </is>
      </c>
      <c r="C363" s="134" t="n"/>
      <c r="D363" s="134" t="inlineStr">
        <is>
          <t>other</t>
        </is>
      </c>
      <c r="E363" s="134" t="inlineStr">
        <is>
          <t>Converted to psilocin which acts as 5-HT2A agonist.</t>
        </is>
      </c>
      <c r="F363" s="134" t="inlineStr">
        <is>
          <t>serotonin receptor interaction</t>
        </is>
      </c>
      <c r="G363" s="134" t="inlineStr">
        <is>
          <t>serotonergic_5HT2A_agonism</t>
        </is>
      </c>
      <c r="H363" s="134" t="inlineStr">
        <is>
          <t>Absorption and bioavailability vary; some compounds metabolized via cytochrome P450 enzymes.</t>
        </is>
      </c>
      <c r="I363" s="134" t="inlineStr">
        <is>
          <t>low</t>
        </is>
      </c>
      <c r="J363" s="134" t="inlineStr">
        <is>
          <t>no well-documented interactions</t>
        </is>
      </c>
      <c r="K363" s="134" t="n"/>
      <c r="L363" s="134" t="inlineStr">
        <is>
          <t>compound_level</t>
        </is>
      </c>
      <c r="M363" s="134" t="inlineStr">
        <is>
          <t>https://plants.sc.egov.usda.gov/home/search?query=Psilocybe%20mexicana | https://plants.sc.egov.usda.gov/home/search?query=Psilocybin | https://pubchem.ncbi.nlm.nih.gov/#query=psilocybin</t>
        </is>
      </c>
      <c r="N363" s="134" t="inlineStr">
        <is>
          <t>inferred_plus_trusted_gov</t>
        </is>
      </c>
      <c r="O363" s="134" t="inlineStr">
        <is>
          <t>Psilocybin; PubChem compound page (NIH); USDA Plants database; scientific name; PubChem compound page (NIH); USDA Plants database</t>
        </is>
      </c>
      <c r="P363" s="134" t="n"/>
      <c r="Q363" s="134" t="inlineStr">
        <is>
          <t>psilocybe-mexicana; psilocybin</t>
        </is>
      </c>
      <c r="R363" s="134" t="n">
        <v>2</v>
      </c>
      <c r="S363" s="134" t="inlineStr">
        <is>
          <t>Yes</t>
        </is>
      </c>
      <c r="T363" s="134" t="inlineStr">
        <is>
          <t>Integrated from cleaned high-signal dataset</t>
        </is>
      </c>
    </row>
    <row r="364" ht="26" customHeight="1" s="76">
      <c r="A364" s="134" t="inlineStr">
        <is>
          <t>punarnavine</t>
        </is>
      </c>
      <c r="B364" s="134" t="inlineStr">
        <is>
          <t>punarnavine</t>
        </is>
      </c>
      <c r="C364" s="134" t="n"/>
      <c r="D364" s="134" t="inlineStr">
        <is>
          <t>Punarnavine, alkaloids, flavonoids</t>
        </is>
      </c>
      <c r="E364" s="134" t="inlineStr">
        <is>
          <t>insufficient evidence</t>
        </is>
      </c>
      <c r="F364" s="134" t="inlineStr">
        <is>
          <t>multi-target signaling modulation</t>
        </is>
      </c>
      <c r="G364" s="134" t="inlineStr">
        <is>
          <t>general or unknown targets</t>
        </is>
      </c>
      <c r="H364" s="134" t="inlineStr">
        <is>
          <t>Oral; hepatoprotective and anti-inflammatory</t>
        </is>
      </c>
      <c r="I364" s="134" t="inlineStr">
        <is>
          <t>low</t>
        </is>
      </c>
      <c r="J364" s="134" t="inlineStr">
        <is>
          <t>no well-documented interactions</t>
        </is>
      </c>
      <c r="K364" s="134" t="n"/>
      <c r="L364" s="134" t="inlineStr">
        <is>
          <t>compound_level</t>
        </is>
      </c>
      <c r="M364" s="134" t="inlineStr">
        <is>
          <t>https://plants.sc.egov.usda.gov/home/search?query=Boerhavia%20diffusa | https://pubchem.ncbi.nlm.nih.gov/#query=punarnavine</t>
        </is>
      </c>
      <c r="N364" s="134" t="inlineStr">
        <is>
          <t>inferred_plus_trusted_gov</t>
        </is>
      </c>
      <c r="O364" s="134" t="inlineStr">
        <is>
          <t>scientific name; PubChem compound page (NIH); USDA Plants database</t>
        </is>
      </c>
      <c r="P364" s="134" t="n"/>
      <c r="Q364" s="134" t="inlineStr">
        <is>
          <t>boerhavia-diffusa</t>
        </is>
      </c>
      <c r="R364" s="134" t="n">
        <v>1</v>
      </c>
      <c r="S364" s="134" t="inlineStr">
        <is>
          <t>Yes</t>
        </is>
      </c>
      <c r="T364" s="134" t="inlineStr">
        <is>
          <t>Integrated from cleaned high-signal dataset</t>
        </is>
      </c>
    </row>
    <row r="365" ht="26" customHeight="1" s="76">
      <c r="A365" s="134" t="inlineStr">
        <is>
          <t>pyridoxine</t>
        </is>
      </c>
      <c r="B365" s="134" t="inlineStr">
        <is>
          <t>pyridoxine</t>
        </is>
      </c>
      <c r="C365" s="134" t="n"/>
      <c r="D365" s="134" t="inlineStr">
        <is>
          <t>water-soluble vitamin</t>
        </is>
      </c>
      <c r="E365" s="134" t="inlineStr">
        <is>
          <t>Converted to active coenzyme forms PLP and PMP, which participate in more than 100 enzyme reactions, especially amino-acid metabolism, neurotransmitter biosynthesis, hemoglobin formation, and homocysteine regulation.</t>
        </is>
      </c>
      <c r="F365" s="134" t="n"/>
      <c r="G365" s="134" t="inlineStr">
        <is>
          <t>PLP/PMP-dependent amino-acid metabolism; glycogenolysis; neurotransmitter biosynthesis; one-carbon metabolism</t>
        </is>
      </c>
      <c r="H365" s="134" t="inlineStr">
        <is>
          <t>Absorbed in the jejunum after dephosphorylation of phosphorylated vitamers; plasma PLP is the most common status marker.</t>
        </is>
      </c>
      <c r="I365" s="134" t="inlineStr">
        <is>
          <t>Chronic high-dose pyridoxine can cause sensory neuropathy and ataxia. The adult UL in the ODS fact sheet is 100 mg/day.</t>
        </is>
      </c>
      <c r="J365" s="134" t="inlineStr">
        <is>
          <t>Cycloserine (increases urinary pyridoxine loss); antiepileptic drugs such as valproate, carbamazepine, and phenytoin (can lower B6 status); high-dose pyridoxine may lower phenytoin/phenobarbital concentrations.</t>
        </is>
      </c>
      <c r="K365" s="134" t="inlineStr">
        <is>
          <t>High</t>
        </is>
      </c>
      <c r="L365" s="134" t="inlineStr">
        <is>
          <t>Sprint7</t>
        </is>
      </c>
      <c r="M365" s="134" t="inlineStr">
        <is>
          <t>https://ods.od.nih.gov/factsheets/VitaminB6-HealthProfessional/</t>
        </is>
      </c>
      <c r="N365" s="134" t="n"/>
      <c r="O365" s="134" t="n"/>
      <c r="P365" s="134" t="inlineStr">
        <is>
          <t>precision_monographs_sprint7.xlsx</t>
        </is>
      </c>
      <c r="Q365" s="134" t="n"/>
      <c r="R365" s="134" t="n">
        <v>0</v>
      </c>
      <c r="S365" s="134" t="inlineStr">
        <is>
          <t>No</t>
        </is>
      </c>
      <c r="T365" s="134" t="inlineStr">
        <is>
          <t>Integrated from compound monograph workbook</t>
        </is>
      </c>
    </row>
    <row r="366" ht="26" customHeight="1" s="76">
      <c r="A366" s="134" t="inlineStr">
        <is>
          <t>quassin</t>
        </is>
      </c>
      <c r="B366" s="134" t="inlineStr">
        <is>
          <t>quassin</t>
        </is>
      </c>
      <c r="C366" s="134" t="n"/>
      <c r="D366" s="134" t="inlineStr">
        <is>
          <t>other</t>
        </is>
      </c>
      <c r="E366" s="134" t="inlineStr">
        <is>
          <t>insufficient evidence</t>
        </is>
      </c>
      <c r="F366" s="134" t="inlineStr">
        <is>
          <t>multi-target signaling modulation</t>
        </is>
      </c>
      <c r="G366" s="134" t="inlineStr">
        <is>
          <t>general or unknown targets</t>
        </is>
      </c>
      <c r="H366" s="134" t="inlineStr">
        <is>
          <t>Oral; cholagogue and vermifuge</t>
        </is>
      </c>
      <c r="I366" s="134" t="inlineStr">
        <is>
          <t>low</t>
        </is>
      </c>
      <c r="J366" s="134" t="inlineStr">
        <is>
          <t>no well-documented interactions</t>
        </is>
      </c>
      <c r="K366" s="134" t="n"/>
      <c r="L366" s="134" t="inlineStr">
        <is>
          <t>compound_level</t>
        </is>
      </c>
      <c r="M366" s="134" t="inlineStr">
        <is>
          <t>https://plants.sc.egov.usda.gov/home/search?query=Quassia%20amara | https://pubchem.ncbi.nlm.nih.gov/#query=quassin</t>
        </is>
      </c>
      <c r="N366" s="134" t="inlineStr">
        <is>
          <t>inferred_plus_trusted_gov</t>
        </is>
      </c>
      <c r="O366" s="134" t="inlineStr">
        <is>
          <t>scientific name; PubChem compound page (NIH); USDA Plants database</t>
        </is>
      </c>
      <c r="P366" s="134" t="n"/>
      <c r="Q366" s="134" t="inlineStr">
        <is>
          <t>quassia-amara</t>
        </is>
      </c>
      <c r="R366" s="134" t="n">
        <v>1</v>
      </c>
      <c r="S366" s="134" t="inlineStr">
        <is>
          <t>Yes</t>
        </is>
      </c>
      <c r="T366" s="134" t="inlineStr">
        <is>
          <t>Integrated from cleaned high-signal dataset</t>
        </is>
      </c>
    </row>
    <row r="367" ht="26" customHeight="1" s="76">
      <c r="A367" s="134" t="inlineStr">
        <is>
          <t>quebrachine</t>
        </is>
      </c>
      <c r="B367" s="134" t="inlineStr">
        <is>
          <t>quebrachine</t>
        </is>
      </c>
      <c r="C367" s="134" t="n"/>
      <c r="D367" s="134" t="inlineStr">
        <is>
          <t>yohimbine-type alkaloids</t>
        </is>
      </c>
      <c r="E367" s="134" t="inlineStr">
        <is>
          <t>insufficient evidence</t>
        </is>
      </c>
      <c r="F367" s="134" t="inlineStr">
        <is>
          <t>multi-target signaling modulation</t>
        </is>
      </c>
      <c r="G367" s="134" t="inlineStr">
        <is>
          <t>general or unknown targets</t>
        </is>
      </c>
      <c r="H367" s="134" t="inlineStr">
        <is>
          <t>Absorption and bioavailability vary; some compounds metabolized via cytochrome P450 enzymes.</t>
        </is>
      </c>
      <c r="I367" s="134" t="inlineStr">
        <is>
          <t>low</t>
        </is>
      </c>
      <c r="J367" s="134" t="inlineStr">
        <is>
          <t>no well-documented interactions</t>
        </is>
      </c>
      <c r="K367" s="134" t="n"/>
      <c r="L367" s="134" t="inlineStr">
        <is>
          <t>compound_level</t>
        </is>
      </c>
      <c r="M367" s="134" t="inlineStr">
        <is>
          <t>https://plants.sc.egov.usda.gov/home/search?query=Aspidosperma%20quebracho-blanco | https://pubchem.ncbi.nlm.nih.gov/#query=quebrachine</t>
        </is>
      </c>
      <c r="N367" s="134" t="inlineStr">
        <is>
          <t>inferred_plus_trusted_gov</t>
        </is>
      </c>
      <c r="O367" s="134" t="inlineStr">
        <is>
          <t>scientific name; PubChem compound page (NIH); USDA Plants database</t>
        </is>
      </c>
      <c r="P367" s="134" t="n"/>
      <c r="Q367" s="134" t="inlineStr">
        <is>
          <t>aspidosperma-quebracho-blanco</t>
        </is>
      </c>
      <c r="R367" s="134" t="n">
        <v>1</v>
      </c>
      <c r="S367" s="134" t="inlineStr">
        <is>
          <t>Yes</t>
        </is>
      </c>
      <c r="T367" s="134" t="inlineStr">
        <is>
          <t>Integrated from cleaned high-signal dataset</t>
        </is>
      </c>
    </row>
    <row r="368" ht="26" customHeight="1" s="76">
      <c r="A368" s="134" t="inlineStr">
        <is>
          <t>quercetin</t>
        </is>
      </c>
      <c r="B368" s="134" t="inlineStr">
        <is>
          <t>quercetin</t>
        </is>
      </c>
      <c r="C368" s="134" t="n"/>
      <c r="D368" s="134" t="inlineStr">
        <is>
          <t>flavonoid</t>
        </is>
      </c>
      <c r="E368" s="134" t="inlineStr">
        <is>
          <t>Broad anti-inflammatory and antioxidant flavonol activity with inhibition of NF-kB-linked inflammatory signaling and enzyme-level effects that include xanthine oxidase inhibition in experimental systems.</t>
        </is>
      </c>
      <c r="F368" s="134" t="inlineStr">
        <is>
          <t>multi-target signaling modulation; muscarinic receptor interaction</t>
        </is>
      </c>
      <c r="G368" s="134" t="inlineStr">
        <is>
          <t>NF-kB pathway inhibition; NRF2 pathway activation; cholinergic_modulation; general or unknown targets; xanthine oxidase inhibition</t>
        </is>
      </c>
      <c r="H368" s="134" t="inlineStr">
        <is>
          <t>Poor and variable oral bioavailability; extensively metabolized to conjugates after absorption.</t>
        </is>
      </c>
      <c r="I368" s="134" t="inlineStr">
        <is>
          <t>Generally tolerated in studies, but formulation and dose matter. Human outcome evidence remains mixed for many uses.</t>
        </is>
      </c>
      <c r="J368" s="134" t="inlineStr">
        <is>
          <t>CYP-metabolized drugs (possible altered exposure; limited clinical certainty); anticoagulants/antiplatelets (theoretical additive bleeding concern)</t>
        </is>
      </c>
      <c r="K368" s="134" t="inlineStr">
        <is>
          <t>moderate</t>
        </is>
      </c>
      <c r="L368" s="134" t="inlineStr">
        <is>
          <t>Sprint4</t>
        </is>
      </c>
      <c r="M368" s="134" t="inlineStr">
        <is>
          <t>https://plants.sc.egov.usda.gov/home/search?query=Annona%20muricata | https://plants.sc.egov.usda.gov/home/search?query=Moringa%20oleifera | https://plants.sc.egov.usda.gov/home/search?query=amorpha%20fruticosa | https://plants.sc.egov.usda.gov/home/search?query=hibiscus%20sabdariffa | https://pubchem.ncbi.nlm.nih.gov/#query=quercetin</t>
        </is>
      </c>
      <c r="N368" s="134" t="inlineStr">
        <is>
          <t>inferred_plus_trusted_gov; trusted_gov_added</t>
        </is>
      </c>
      <c r="O368" s="134" t="inlineStr">
        <is>
          <t>PubChem compound page (NIH); USDA Plants database; scientific name; PubChem compound page (NIH); USDA Plants database</t>
        </is>
      </c>
      <c r="P368" s="134" t="inlineStr">
        <is>
          <t>precision_monographs_sprint4.xlsx</t>
        </is>
      </c>
      <c r="Q368" s="134" t="inlineStr">
        <is>
          <t>st-johns-wort</t>
        </is>
      </c>
      <c r="R368" s="134" t="n">
        <v>1</v>
      </c>
      <c r="S368" s="134" t="inlineStr">
        <is>
          <t>Yes</t>
        </is>
      </c>
      <c r="T368" s="134" t="inlineStr">
        <is>
          <t>Integrated from cleaned high-signal dataset; Integrated from compound monograph workbook</t>
        </is>
      </c>
    </row>
    <row r="369" ht="26" customHeight="1" s="76">
      <c r="A369" s="134" t="inlineStr">
        <is>
          <t>quercitrin</t>
        </is>
      </c>
      <c r="B369" s="134" t="inlineStr">
        <is>
          <t>quercitrin</t>
        </is>
      </c>
      <c r="C369" s="134" t="n"/>
      <c r="D369" s="134" t="inlineStr">
        <is>
          <t>protopine alkaloids</t>
        </is>
      </c>
      <c r="E369" s="134" t="inlineStr">
        <is>
          <t>insufficient evidence</t>
        </is>
      </c>
      <c r="F369" s="134" t="inlineStr">
        <is>
          <t>multi-target signaling modulation</t>
        </is>
      </c>
      <c r="G369" s="134" t="inlineStr">
        <is>
          <t>general or unknown targets</t>
        </is>
      </c>
      <c r="H369" s="134" t="inlineStr">
        <is>
          <t>good oral absorption; CNS penetration; hepatic metabolism</t>
        </is>
      </c>
      <c r="I369" s="134" t="inlineStr">
        <is>
          <t>low</t>
        </is>
      </c>
      <c r="J369" s="134" t="inlineStr">
        <is>
          <t>no well-documented interactions</t>
        </is>
      </c>
      <c r="K369" s="134" t="n"/>
      <c r="L369" s="134" t="inlineStr">
        <is>
          <t>compound_level</t>
        </is>
      </c>
      <c r="M369" s="134" t="inlineStr">
        <is>
          <t>https://plants.sc.egov.usda.gov/home/search?query=argemone%20mexicana | https://pubchem.ncbi.nlm.nih.gov/#query=quercitrin</t>
        </is>
      </c>
      <c r="N369" s="134" t="inlineStr">
        <is>
          <t>trusted_gov_added</t>
        </is>
      </c>
      <c r="O369" s="134" t="inlineStr">
        <is>
          <t>PubChem compound page (NIH); USDA Plants database</t>
        </is>
      </c>
      <c r="P369" s="134" t="n"/>
      <c r="Q369" s="134" t="inlineStr">
        <is>
          <t>argemone-mexicana</t>
        </is>
      </c>
      <c r="R369" s="134" t="n">
        <v>1</v>
      </c>
      <c r="S369" s="134" t="inlineStr">
        <is>
          <t>Yes</t>
        </is>
      </c>
      <c r="T369" s="134" t="inlineStr">
        <is>
          <t>Integrated from cleaned high-signal dataset</t>
        </is>
      </c>
    </row>
    <row r="370" ht="26" customHeight="1" s="76">
      <c r="A370" s="134" t="inlineStr">
        <is>
          <t>rb2</t>
        </is>
      </c>
      <c r="B370" s="134" t="inlineStr">
        <is>
          <t>rb2</t>
        </is>
      </c>
      <c r="C370" s="134" t="n"/>
      <c r="D370" s="134" t="inlineStr">
        <is>
          <t>other</t>
        </is>
      </c>
      <c r="E370" s="134" t="inlineStr">
        <is>
          <t>insufficient evidence</t>
        </is>
      </c>
      <c r="F370" s="134" t="inlineStr">
        <is>
          <t>gaba_a_modulation</t>
        </is>
      </c>
      <c r="G370" s="134" t="inlineStr">
        <is>
          <t>gabaergic_modulation; inflammatory_pathway_modulation</t>
        </is>
      </c>
      <c r="H370" s="134" t="inlineStr">
        <is>
          <t>moderate absorption; hepatic metabolism</t>
        </is>
      </c>
      <c r="I370" s="134" t="inlineStr">
        <is>
          <t>low</t>
        </is>
      </c>
      <c r="J370" s="134" t="inlineStr">
        <is>
          <t>no well-documented interactions</t>
        </is>
      </c>
      <c r="K370" s="134" t="n"/>
      <c r="L370" s="134" t="inlineStr">
        <is>
          <t>compound_level</t>
        </is>
      </c>
      <c r="M370" s="134" t="inlineStr">
        <is>
          <t>https://plants.sc.egov.usda.gov/home/search?query=american%20ginseng | https://pubchem.ncbi.nlm.nih.gov/#query=rb2</t>
        </is>
      </c>
      <c r="N370" s="134" t="inlineStr">
        <is>
          <t>trusted_gov_added</t>
        </is>
      </c>
      <c r="O370" s="134" t="inlineStr">
        <is>
          <t>PubChem compound page (NIH); USDA Plants database</t>
        </is>
      </c>
      <c r="P370" s="134" t="n"/>
      <c r="Q370" s="134" t="inlineStr">
        <is>
          <t>american-ginseng</t>
        </is>
      </c>
      <c r="R370" s="134" t="n">
        <v>1</v>
      </c>
      <c r="S370" s="134" t="inlineStr">
        <is>
          <t>Yes</t>
        </is>
      </c>
      <c r="T370" s="134" t="inlineStr">
        <is>
          <t>Integrated from cleaned high-signal dataset</t>
        </is>
      </c>
    </row>
    <row r="371" ht="26" customHeight="1" s="76">
      <c r="A371" s="134" t="inlineStr">
        <is>
          <t>re</t>
        </is>
      </c>
      <c r="B371" s="134" t="inlineStr">
        <is>
          <t>re)</t>
        </is>
      </c>
      <c r="C371" s="134" t="n"/>
      <c r="D371" s="134" t="inlineStr">
        <is>
          <t>Ginsenosides (Rb1, Re), polysaccharides</t>
        </is>
      </c>
      <c r="E371" s="134" t="inlineStr">
        <is>
          <t>insufficient evidence</t>
        </is>
      </c>
      <c r="F371" s="134" t="inlineStr">
        <is>
          <t>multi-target signaling modulation</t>
        </is>
      </c>
      <c r="G371" s="134" t="inlineStr">
        <is>
          <t>general or unknown targets</t>
        </is>
      </c>
      <c r="H371" s="134" t="inlineStr">
        <is>
          <t>Oral; cognitive and metabolic support</t>
        </is>
      </c>
      <c r="I371" s="134" t="inlineStr">
        <is>
          <t>low</t>
        </is>
      </c>
      <c r="J371" s="134" t="inlineStr">
        <is>
          <t>no well-documented interactions</t>
        </is>
      </c>
      <c r="K371" s="134" t="n"/>
      <c r="L371" s="134" t="inlineStr">
        <is>
          <t>compound_level</t>
        </is>
      </c>
      <c r="M371" s="134" t="inlineStr">
        <is>
          <t>https://plants.sc.egov.usda.gov/home/search?query=Panax%20quinquefolius | https://pubchem.ncbi.nlm.nih.gov/#query=re%29</t>
        </is>
      </c>
      <c r="N371" s="134" t="inlineStr">
        <is>
          <t>inferred_plus_trusted_gov</t>
        </is>
      </c>
      <c r="O371" s="134" t="inlineStr">
        <is>
          <t>scientific name; PubChem compound page (NIH); USDA Plants database</t>
        </is>
      </c>
      <c r="P371" s="134" t="n"/>
      <c r="Q371" s="134" t="inlineStr">
        <is>
          <t>panax-quinquefolius</t>
        </is>
      </c>
      <c r="R371" s="134" t="n">
        <v>1</v>
      </c>
      <c r="S371" s="134" t="inlineStr">
        <is>
          <t>Yes</t>
        </is>
      </c>
      <c r="T371" s="134" t="inlineStr">
        <is>
          <t>Integrated from cleaned high-signal dataset</t>
        </is>
      </c>
    </row>
    <row r="372" ht="26" customHeight="1" s="76">
      <c r="A372" s="134" t="inlineStr">
        <is>
          <t>reserpine</t>
        </is>
      </c>
      <c r="B372" s="134" t="inlineStr">
        <is>
          <t>reserpine</t>
        </is>
      </c>
      <c r="C372" s="134" t="n"/>
      <c r="D372" s="134" t="inlineStr">
        <is>
          <t>other</t>
        </is>
      </c>
      <c r="E372" s="134" t="inlineStr">
        <is>
          <t>insufficient evidence</t>
        </is>
      </c>
      <c r="F372" s="134" t="inlineStr">
        <is>
          <t>multi-target signaling modulation</t>
        </is>
      </c>
      <c r="G372" s="134" t="inlineStr">
        <is>
          <t>general or unknown targets</t>
        </is>
      </c>
      <c r="H372" s="134" t="inlineStr">
        <is>
          <t>Absorption and bioavailability vary; some compounds metabolized via cytochrome P450 enzymes.</t>
        </is>
      </c>
      <c r="I372" s="134" t="inlineStr">
        <is>
          <t>low</t>
        </is>
      </c>
      <c r="J372" s="134" t="inlineStr">
        <is>
          <t>no well-documented interactions</t>
        </is>
      </c>
      <c r="K372" s="134" t="n"/>
      <c r="L372" s="134" t="inlineStr">
        <is>
          <t>compound_level</t>
        </is>
      </c>
      <c r="M372" s="134" t="inlineStr">
        <is>
          <t>https://plants.sc.egov.usda.gov/home/search?query=Rauvolfia%20serpentina | https://plants.sc.egov.usda.gov/home/search?query=Rauvolfia%20vomitoria | https://pubchem.ncbi.nlm.nih.gov/#query=reserpine</t>
        </is>
      </c>
      <c r="N372" s="134" t="inlineStr">
        <is>
          <t>inferred_plus_trusted_gov</t>
        </is>
      </c>
      <c r="O372" s="134" t="inlineStr">
        <is>
          <t>scientific name; PubChem compound page (NIH); USDA Plants database</t>
        </is>
      </c>
      <c r="P372" s="134" t="n"/>
      <c r="Q372" s="134" t="inlineStr">
        <is>
          <t>rauvolfia-serpentina; rauvolfia-vomitoria</t>
        </is>
      </c>
      <c r="R372" s="134" t="n">
        <v>2</v>
      </c>
      <c r="S372" s="134" t="inlineStr">
        <is>
          <t>Yes</t>
        </is>
      </c>
      <c r="T372" s="134" t="inlineStr">
        <is>
          <t>Integrated from cleaned high-signal dataset</t>
        </is>
      </c>
    </row>
    <row r="373" ht="26" customHeight="1" s="76">
      <c r="A373" s="134" t="inlineStr">
        <is>
          <t>resveratrol</t>
        </is>
      </c>
      <c r="B373" s="134" t="inlineStr">
        <is>
          <t>resveratrol</t>
        </is>
      </c>
      <c r="C373" s="134" t="n"/>
      <c r="D373" s="134" t="inlineStr">
        <is>
          <t>phenolic</t>
        </is>
      </c>
      <c r="E373" s="134" t="inlineStr">
        <is>
          <t>Polyphenolic signaling modulator with reported activation of SIRT1/AMPK-related pathways and suppression of NF-kB-associated inflammatory signaling; many claims remain formulation- and context-dependent.</t>
        </is>
      </c>
      <c r="F373" s="134" t="n"/>
      <c r="G373" s="134" t="inlineStr">
        <is>
          <t>AMPK activation; NF-kB pathway inhibition; SIRT1 activation</t>
        </is>
      </c>
      <c r="H373" s="134" t="inlineStr">
        <is>
          <t>Rapid absorption but very low oral bioavailability because of extensive first-pass metabolism to sulfate and glucuronide metabolites.</t>
        </is>
      </c>
      <c r="I373" s="134" t="inlineStr">
        <is>
          <t>Usually tolerated in trials, but GI effects occur at higher doses. Bioavailability limitations are central to interpretation.</t>
        </is>
      </c>
      <c r="J373" s="134" t="inlineStr">
        <is>
          <t>Anticoagulants/antiplatelets (potential additive bleeding risk); CYP-metabolized drugs (possible altered exposure; limited clinical certainty)</t>
        </is>
      </c>
      <c r="K373" s="134" t="inlineStr">
        <is>
          <t>moderate</t>
        </is>
      </c>
      <c r="L373" s="134" t="inlineStr">
        <is>
          <t>Sprint4</t>
        </is>
      </c>
      <c r="M373" s="134" t="n"/>
      <c r="N373" s="134" t="n"/>
      <c r="O373" s="134" t="n"/>
      <c r="P373" s="134" t="inlineStr">
        <is>
          <t>precision_monographs_sprint4.xlsx</t>
        </is>
      </c>
      <c r="Q373" s="134" t="n"/>
      <c r="R373" s="134" t="n">
        <v>0</v>
      </c>
      <c r="S373" s="134" t="inlineStr">
        <is>
          <t>No</t>
        </is>
      </c>
      <c r="T373" s="134" t="inlineStr">
        <is>
          <t>Integrated from compound monograph workbook</t>
        </is>
      </c>
    </row>
    <row r="374" ht="26" customHeight="1" s="76">
      <c r="A374" s="134" t="inlineStr">
        <is>
          <t>rg1</t>
        </is>
      </c>
      <c r="B374" s="134" t="inlineStr">
        <is>
          <t>rg1)</t>
        </is>
      </c>
      <c r="C374" s="134" t="n"/>
      <c r="D374" s="134" t="inlineStr">
        <is>
          <t>other</t>
        </is>
      </c>
      <c r="E374" s="134" t="inlineStr">
        <is>
          <t>insufficient evidence</t>
        </is>
      </c>
      <c r="F374" s="134" t="inlineStr">
        <is>
          <t>gaba_a_modulation</t>
        </is>
      </c>
      <c r="G374" s="134" t="inlineStr">
        <is>
          <t>gabaergic_modulation; inflammatory_pathway_modulation</t>
        </is>
      </c>
      <c r="H374" s="134" t="inlineStr">
        <is>
          <t>moderate absorption; hepatic metabolism</t>
        </is>
      </c>
      <c r="I374" s="134" t="inlineStr">
        <is>
          <t>low</t>
        </is>
      </c>
      <c r="J374" s="134" t="inlineStr">
        <is>
          <t>no well-documented interactions</t>
        </is>
      </c>
      <c r="K374" s="134" t="n"/>
      <c r="L374" s="134" t="inlineStr">
        <is>
          <t>compound_level</t>
        </is>
      </c>
      <c r="M374" s="134" t="inlineStr">
        <is>
          <t>https://plants.sc.egov.usda.gov/home/search?query=american%20ginseng | https://pubchem.ncbi.nlm.nih.gov/#query=rg1%29</t>
        </is>
      </c>
      <c r="N374" s="134" t="inlineStr">
        <is>
          <t>trusted_gov_added</t>
        </is>
      </c>
      <c r="O374" s="134" t="inlineStr">
        <is>
          <t>PubChem compound page (NIH); USDA Plants database</t>
        </is>
      </c>
      <c r="P374" s="134" t="n"/>
      <c r="Q374" s="134" t="inlineStr">
        <is>
          <t>american-ginseng</t>
        </is>
      </c>
      <c r="R374" s="134" t="n">
        <v>1</v>
      </c>
      <c r="S374" s="134" t="inlineStr">
        <is>
          <t>Yes</t>
        </is>
      </c>
      <c r="T374" s="134" t="inlineStr">
        <is>
          <t>Integrated from cleaned high-signal dataset</t>
        </is>
      </c>
    </row>
    <row r="375" ht="26" customHeight="1" s="76">
      <c r="A375" s="134" t="inlineStr">
        <is>
          <t>rhodiola salidroside rosavin</t>
        </is>
      </c>
      <c r="B375" s="134" t="inlineStr">
        <is>
          <t>rhodiola (salidroside/rosavin)</t>
        </is>
      </c>
      <c r="C375" s="134" t="n"/>
      <c r="D375" s="134" t="inlineStr">
        <is>
          <t>phenolic glycoside</t>
        </is>
      </c>
      <c r="E375" s="134" t="inlineStr">
        <is>
          <t>Modulates AMPK and stress-response pathways</t>
        </is>
      </c>
      <c r="F375" s="134" t="n"/>
      <c r="G375" s="134" t="inlineStr">
        <is>
          <t>AMPK activation; HPA-axis modulation</t>
        </is>
      </c>
      <c r="H375" s="134" t="n"/>
      <c r="I375" s="134" t="n"/>
      <c r="J375" s="134" t="inlineStr">
        <is>
          <t>Stimulants (additive effects)</t>
        </is>
      </c>
      <c r="K375" s="134" t="n"/>
      <c r="L375" s="134" t="inlineStr">
        <is>
          <t>Sprint6</t>
        </is>
      </c>
      <c r="M375" s="134" t="n"/>
      <c r="N375" s="134" t="n"/>
      <c r="O375" s="134" t="n"/>
      <c r="P375" s="134" t="inlineStr">
        <is>
          <t>precision_monographs_sprint6.xlsx</t>
        </is>
      </c>
      <c r="Q375" s="134" t="n"/>
      <c r="R375" s="134" t="n">
        <v>0</v>
      </c>
      <c r="S375" s="134" t="inlineStr">
        <is>
          <t>No</t>
        </is>
      </c>
      <c r="T375" s="134" t="inlineStr">
        <is>
          <t>Integrated from compound monograph workbook</t>
        </is>
      </c>
    </row>
    <row r="376" ht="26" customHeight="1" s="76">
      <c r="A376" s="134" t="inlineStr">
        <is>
          <t>riboflavin</t>
        </is>
      </c>
      <c r="B376" s="134" t="inlineStr">
        <is>
          <t>riboflavin</t>
        </is>
      </c>
      <c r="C376" s="134" t="n"/>
      <c r="D376" s="134" t="inlineStr">
        <is>
          <t>water-soluble vitamin</t>
        </is>
      </c>
      <c r="E376" s="134" t="inlineStr">
        <is>
          <t>Essential component of the coenzymes FMN and FAD, which support energy production, cellular function, growth and development, and metabolism of fats, drugs, and steroids.</t>
        </is>
      </c>
      <c r="F376" s="134" t="n"/>
      <c r="G376" s="134" t="inlineStr">
        <is>
          <t>FMN/FAD-dependent redox enzymes; energy production; tryptophan-to-niacin conversion; vitamin B6 activation</t>
        </is>
      </c>
      <c r="H376" s="134" t="inlineStr">
        <is>
          <t>Most absorbed in the proximal small intestine. Absorption from single doses beyond about 27 mg is limited; excess is not absorbed or is excreted in urine. Stores are small.</t>
        </is>
      </c>
      <c r="I376" s="134" t="inlineStr">
        <is>
          <t>No observable toxicity has been reported from high intakes from food or supplements; no UL established, though excess intake beyond need offers no clear benefit.</t>
        </is>
      </c>
      <c r="J376" s="134" t="inlineStr">
        <is>
          <t>No clinically relevant medication interactions are established in the ODS fact sheet.</t>
        </is>
      </c>
      <c r="K376" s="134" t="inlineStr">
        <is>
          <t>High</t>
        </is>
      </c>
      <c r="L376" s="134" t="inlineStr">
        <is>
          <t>Sprint7</t>
        </is>
      </c>
      <c r="M376" s="134" t="inlineStr">
        <is>
          <t>https://ods.od.nih.gov/factsheets/Riboflavin-HealthProfessional/</t>
        </is>
      </c>
      <c r="N376" s="134" t="n"/>
      <c r="O376" s="134" t="n"/>
      <c r="P376" s="134" t="inlineStr">
        <is>
          <t>precision_monographs_sprint7.xlsx</t>
        </is>
      </c>
      <c r="Q376" s="134" t="n"/>
      <c r="R376" s="134" t="n">
        <v>0</v>
      </c>
      <c r="S376" s="134" t="inlineStr">
        <is>
          <t>No</t>
        </is>
      </c>
      <c r="T376" s="134" t="inlineStr">
        <is>
          <t>Integrated from compound monograph workbook</t>
        </is>
      </c>
    </row>
    <row r="377" ht="26" customHeight="1" s="76">
      <c r="A377" s="134" t="inlineStr">
        <is>
          <t>ricin</t>
        </is>
      </c>
      <c r="B377" s="134" t="inlineStr">
        <is>
          <t>ricin</t>
        </is>
      </c>
      <c r="C377" s="134" t="n"/>
      <c r="D377" s="134" t="inlineStr">
        <is>
          <t>other</t>
        </is>
      </c>
      <c r="E377" s="134" t="inlineStr">
        <is>
          <t>insufficient evidence</t>
        </is>
      </c>
      <c r="F377" s="134" t="inlineStr">
        <is>
          <t>multi-target signaling modulation</t>
        </is>
      </c>
      <c r="G377" s="134" t="inlineStr">
        <is>
          <t>general or unknown targets</t>
        </is>
      </c>
      <c r="H377" s="134" t="inlineStr">
        <is>
          <t>Absorption and bioavailability vary; some compounds metabolized via cytochrome P450 enzymes.</t>
        </is>
      </c>
      <c r="I377" s="134" t="inlineStr">
        <is>
          <t>low</t>
        </is>
      </c>
      <c r="J377" s="134" t="inlineStr">
        <is>
          <t>no well-documented interactions</t>
        </is>
      </c>
      <c r="K377" s="134" t="n"/>
      <c r="L377" s="134" t="inlineStr">
        <is>
          <t>compound_level</t>
        </is>
      </c>
      <c r="M377" s="134" t="inlineStr">
        <is>
          <t>https://plants.sc.egov.usda.gov/home/search?query=Ricinus%20communis | https://pubchem.ncbi.nlm.nih.gov/#query=ricin</t>
        </is>
      </c>
      <c r="N377" s="134" t="inlineStr">
        <is>
          <t>inferred_plus_trusted_gov</t>
        </is>
      </c>
      <c r="O377" s="134" t="inlineStr">
        <is>
          <t>scientific name; PubChem compound page (NIH); USDA Plants database</t>
        </is>
      </c>
      <c r="P377" s="134" t="n"/>
      <c r="Q377" s="134" t="inlineStr">
        <is>
          <t>ricinus-communis</t>
        </is>
      </c>
      <c r="R377" s="134" t="n">
        <v>1</v>
      </c>
      <c r="S377" s="134" t="inlineStr">
        <is>
          <t>Yes</t>
        </is>
      </c>
      <c r="T377" s="134" t="inlineStr">
        <is>
          <t>Integrated from cleaned high-signal dataset</t>
        </is>
      </c>
    </row>
    <row r="378" ht="26" customHeight="1" s="76">
      <c r="A378" s="134" t="inlineStr">
        <is>
          <t>ricinoleic acid</t>
        </is>
      </c>
      <c r="B378" s="134" t="inlineStr">
        <is>
          <t>ricinoleic acid</t>
        </is>
      </c>
      <c r="C378" s="134" t="n"/>
      <c r="D378" s="134" t="inlineStr">
        <is>
          <t>organic acid</t>
        </is>
      </c>
      <c r="E378" s="134" t="inlineStr">
        <is>
          <t>insufficient evidence</t>
        </is>
      </c>
      <c r="F378" s="134" t="inlineStr">
        <is>
          <t>multi-target signaling modulation</t>
        </is>
      </c>
      <c r="G378" s="134" t="inlineStr">
        <is>
          <t>general or unknown targets</t>
        </is>
      </c>
      <c r="H378" s="134" t="inlineStr">
        <is>
          <t>Absorption and bioavailability vary; some compounds metabolized via cytochrome P450 enzymes.</t>
        </is>
      </c>
      <c r="I378" s="134" t="inlineStr">
        <is>
          <t>low</t>
        </is>
      </c>
      <c r="J378" s="134" t="inlineStr">
        <is>
          <t>no well-documented interactions</t>
        </is>
      </c>
      <c r="K378" s="134" t="n"/>
      <c r="L378" s="134" t="inlineStr">
        <is>
          <t>compound_level</t>
        </is>
      </c>
      <c r="M378" s="134" t="inlineStr">
        <is>
          <t>https://plants.sc.egov.usda.gov/home/search?query=Ricinus%20communis | https://pubchem.ncbi.nlm.nih.gov/#query=ricinoleic%20acid</t>
        </is>
      </c>
      <c r="N378" s="134" t="inlineStr">
        <is>
          <t>inferred_plus_trusted_gov</t>
        </is>
      </c>
      <c r="O378" s="134" t="inlineStr">
        <is>
          <t>scientific name; PubChem compound page (NIH); USDA Plants database</t>
        </is>
      </c>
      <c r="P378" s="134" t="n"/>
      <c r="Q378" s="134" t="inlineStr">
        <is>
          <t>ricinus-communis</t>
        </is>
      </c>
      <c r="R378" s="134" t="n">
        <v>1</v>
      </c>
      <c r="S378" s="134" t="inlineStr">
        <is>
          <t>Yes</t>
        </is>
      </c>
      <c r="T378" s="134" t="inlineStr">
        <is>
          <t>Integrated from cleaned high-signal dataset</t>
        </is>
      </c>
    </row>
    <row r="379" ht="26" customHeight="1" s="76">
      <c r="A379" s="134" t="inlineStr">
        <is>
          <t>roemerine</t>
        </is>
      </c>
      <c r="B379" s="134" t="inlineStr">
        <is>
          <t>roemerine</t>
        </is>
      </c>
      <c r="C379" s="134" t="n"/>
      <c r="D379" s="134" t="inlineStr">
        <is>
          <t>other</t>
        </is>
      </c>
      <c r="E379" s="134" t="inlineStr">
        <is>
          <t>insufficient evidence</t>
        </is>
      </c>
      <c r="F379" s="134" t="inlineStr">
        <is>
          <t>multi-target signaling modulation</t>
        </is>
      </c>
      <c r="G379" s="134" t="inlineStr">
        <is>
          <t>general or unknown targets</t>
        </is>
      </c>
      <c r="H379" s="134" t="inlineStr">
        <is>
          <t>moderate absorption; hepatic metabolism</t>
        </is>
      </c>
      <c r="I379" s="134" t="inlineStr">
        <is>
          <t>low</t>
        </is>
      </c>
      <c r="J379" s="134" t="inlineStr">
        <is>
          <t>no well-documented interactions</t>
        </is>
      </c>
      <c r="K379" s="134" t="n"/>
      <c r="L379" s="134" t="inlineStr">
        <is>
          <t>compound_level</t>
        </is>
      </c>
      <c r="M379" s="134" t="inlineStr">
        <is>
          <t>https://plants.sc.egov.usda.gov/home/search?query=american%20yellow%20lotus | https://pubchem.ncbi.nlm.nih.gov/#query=roemerine</t>
        </is>
      </c>
      <c r="N379" s="134" t="inlineStr">
        <is>
          <t>trusted_gov_added</t>
        </is>
      </c>
      <c r="O379" s="134" t="inlineStr">
        <is>
          <t>PubChem compound page (NIH); USDA Plants database</t>
        </is>
      </c>
      <c r="P379" s="134" t="n"/>
      <c r="Q379" s="134" t="inlineStr">
        <is>
          <t>nelumbo-lutea</t>
        </is>
      </c>
      <c r="R379" s="134" t="n">
        <v>1</v>
      </c>
      <c r="S379" s="134" t="inlineStr">
        <is>
          <t>Yes</t>
        </is>
      </c>
      <c r="T379" s="134" t="inlineStr">
        <is>
          <t>Integrated from cleaned high-signal dataset</t>
        </is>
      </c>
    </row>
    <row r="380" ht="26" customHeight="1" s="76">
      <c r="A380" s="134" t="inlineStr">
        <is>
          <t>rosavin</t>
        </is>
      </c>
      <c r="B380" s="134" t="inlineStr">
        <is>
          <t>rosavin</t>
        </is>
      </c>
      <c r="C380" s="134" t="n"/>
      <c r="D380" s="134" t="inlineStr">
        <is>
          <t>phenylpropanoid glycoside</t>
        </is>
      </c>
      <c r="E380" s="134" t="inlineStr">
        <is>
          <t>Proposed mechanism based on preclinical and limited human data: rosavin is a characteristic Rhodiola rosea marker compound associated with adaptogenic and monoamine/stress-response effects in standardized extracts.</t>
        </is>
      </c>
      <c r="F380" s="134" t="inlineStr">
        <is>
          <t>adaptogen; serotonergic; dopaminergic</t>
        </is>
      </c>
      <c r="G380" s="134" t="inlineStr">
        <is>
          <t>HPA-axis modulation; monoamine signaling</t>
        </is>
      </c>
      <c r="H380" s="134" t="inlineStr">
        <is>
          <t>Human pharmacokinetic profile not firmly locked.</t>
        </is>
      </c>
      <c r="I380" s="134" t="inlineStr">
        <is>
          <t>No major standalone safety signal established at typical extract exposures.</t>
        </is>
      </c>
      <c r="J380" s="134" t="inlineStr">
        <is>
          <t>Potential additive effects with stimulants or serotonergic agents remain theoretical.</t>
        </is>
      </c>
      <c r="K380" s="134" t="inlineStr">
        <is>
          <t>Medium</t>
        </is>
      </c>
      <c r="L380" s="134" t="inlineStr">
        <is>
          <t>preclinical + limited human</t>
        </is>
      </c>
      <c r="M380" s="134" t="inlineStr">
        <is>
          <t>PubMed Rhodiola literature; PubChem</t>
        </is>
      </c>
      <c r="N380" s="134" t="inlineStr">
        <is>
          <t>tier1+review</t>
        </is>
      </c>
      <c r="O380" s="134" t="inlineStr">
        <is>
          <t>Upgraded from existing record with source-normalized mechanism</t>
        </is>
      </c>
      <c r="P380" s="134" t="inlineStr">
        <is>
          <t>precision_monographs_sprint6.xlsx</t>
        </is>
      </c>
      <c r="Q380" s="134" t="inlineStr">
        <is>
          <t>rhodiola-rosea</t>
        </is>
      </c>
      <c r="R380" s="134" t="n">
        <v>1</v>
      </c>
      <c r="S380" s="134" t="inlineStr">
        <is>
          <t>Yes</t>
        </is>
      </c>
      <c r="T380" s="134" t="inlineStr">
        <is>
          <t>Locked in Batch 2 with primary-source normalization.</t>
        </is>
      </c>
    </row>
    <row r="381" ht="26" customHeight="1" s="76">
      <c r="A381" s="134" t="inlineStr">
        <is>
          <t>rosmarinic acid</t>
        </is>
      </c>
      <c r="B381" s="134" t="inlineStr">
        <is>
          <t>rosmarinic acid</t>
        </is>
      </c>
      <c r="C381" s="134" t="n"/>
      <c r="D381" s="134" t="inlineStr">
        <is>
          <t>polyphenol</t>
        </is>
      </c>
      <c r="E381" s="134" t="inlineStr">
        <is>
          <t>Demonstrated antioxidant and anti-inflammatory activity through inhibition of complement activation, COX/LOX signaling, and reactive oxygen species formation; also reported to inhibit GABA transaminase and support increased GABA availability.</t>
        </is>
      </c>
      <c r="F381" s="134" t="inlineStr">
        <is>
          <t>inflammatory_pathway_modulation; oxidative_stress_modulation; gaba_a_modulation</t>
        </is>
      </c>
      <c r="G381" s="134" t="inlineStr">
        <is>
          <t>COX; LOX; reactive oxygen species; GABA metabolism</t>
        </is>
      </c>
      <c r="H381" s="134" t="inlineStr">
        <is>
          <t>Absorbed orally and metabolized into conjugated phenolic metabolites.</t>
        </is>
      </c>
      <c r="I381" s="134" t="inlineStr">
        <is>
          <t>Generally well tolerated at typical dietary or supplement exposures.</t>
        </is>
      </c>
      <c r="J381" s="134" t="inlineStr">
        <is>
          <t>Potential additive effects with CNS depressants and anti-inflammatory agents are plausible but not strongly established clinically.</t>
        </is>
      </c>
      <c r="K381" s="134" t="inlineStr">
        <is>
          <t>High</t>
        </is>
      </c>
      <c r="L381" s="134" t="inlineStr">
        <is>
          <t>human + preclinical</t>
        </is>
      </c>
      <c r="M381" s="134" t="inlineStr">
        <is>
          <t>https://pubchem.ncbi.nlm.nih.gov/compound/Rosmarinic-acid | https://pubmed.ncbi.nlm.nih.gov/?term=rosmarinic+acid+GABA+transaminase | https://www.ema.europa.eu/en/documents/herbal-monograph/final-european-union-herbal-monograph-melissa-officinalis-l-folium_en.pdf | https://www.nccih.nih.gov/</t>
        </is>
      </c>
      <c r="N381" s="134" t="inlineStr">
        <is>
          <t>tier1_locked</t>
        </is>
      </c>
      <c r="O381" s="134" t="inlineStr">
        <is>
          <t>PubChem; PubMed; EMA; NCCIH context</t>
        </is>
      </c>
      <c r="P381" s="134" t="inlineStr">
        <is>
          <t>locked_compounds_batch1_2026-04-07</t>
        </is>
      </c>
      <c r="Q381" s="134" t="inlineStr">
        <is>
          <t>holy-basil; lemon-balm</t>
        </is>
      </c>
      <c r="R381" s="134" t="n">
        <v>2</v>
      </c>
      <c r="S381" s="134" t="inlineStr">
        <is>
          <t>Yes</t>
        </is>
      </c>
      <c r="T381" s="134" t="inlineStr">
        <is>
          <t>Strengthened existing compound record with locked batch 1 mechanism and evidence framing.</t>
        </is>
      </c>
    </row>
    <row r="382" ht="26" customHeight="1" s="76">
      <c r="A382" s="134" t="inlineStr">
        <is>
          <t>rutaecarpine</t>
        </is>
      </c>
      <c r="B382" s="134" t="inlineStr">
        <is>
          <t>rutaecarpine</t>
        </is>
      </c>
      <c r="C382" s="134" t="n"/>
      <c r="D382" s="134" t="inlineStr">
        <is>
          <t>other</t>
        </is>
      </c>
      <c r="E382" s="134" t="inlineStr">
        <is>
          <t>insufficient evidence</t>
        </is>
      </c>
      <c r="F382" s="134" t="inlineStr">
        <is>
          <t>multi-target signaling modulation</t>
        </is>
      </c>
      <c r="G382" s="134" t="inlineStr">
        <is>
          <t>general or unknown targets</t>
        </is>
      </c>
      <c r="H382" s="134" t="inlineStr">
        <is>
          <t>Absorption and bioavailability vary; some compounds metabolized via cytochrome P450 enzymes.</t>
        </is>
      </c>
      <c r="I382" s="134" t="inlineStr">
        <is>
          <t>low</t>
        </is>
      </c>
      <c r="J382" s="134" t="inlineStr">
        <is>
          <t>no well-documented interactions</t>
        </is>
      </c>
      <c r="K382" s="134" t="n"/>
      <c r="L382" s="134" t="inlineStr">
        <is>
          <t>compound_level</t>
        </is>
      </c>
      <c r="M382" s="134" t="inlineStr">
        <is>
          <t>https://plants.sc.egov.usda.gov/home/search?query=Tetradium%20ruticarpum | https://pubchem.ncbi.nlm.nih.gov/#query=rutaecarpine</t>
        </is>
      </c>
      <c r="N382" s="134" t="inlineStr">
        <is>
          <t>inferred_plus_trusted_gov</t>
        </is>
      </c>
      <c r="O382" s="134" t="inlineStr">
        <is>
          <t>scientific name; PubChem compound page (NIH); USDA Plants database</t>
        </is>
      </c>
      <c r="P382" s="134" t="n"/>
      <c r="Q382" s="134" t="inlineStr">
        <is>
          <t>tetradium-ruticarpum</t>
        </is>
      </c>
      <c r="R382" s="134" t="n">
        <v>1</v>
      </c>
      <c r="S382" s="134" t="inlineStr">
        <is>
          <t>Yes</t>
        </is>
      </c>
      <c r="T382" s="134" t="inlineStr">
        <is>
          <t>Integrated from cleaned high-signal dataset</t>
        </is>
      </c>
    </row>
    <row r="383" ht="26" customHeight="1" s="76">
      <c r="A383" s="134" t="inlineStr">
        <is>
          <t>rutin</t>
        </is>
      </c>
      <c r="B383" s="134" t="inlineStr">
        <is>
          <t>rutin</t>
        </is>
      </c>
      <c r="C383" s="134" t="n"/>
      <c r="D383" s="134" t="inlineStr">
        <is>
          <t>other</t>
        </is>
      </c>
      <c r="E383" s="134" t="inlineStr">
        <is>
          <t>insufficient evidence</t>
        </is>
      </c>
      <c r="F383" s="134" t="inlineStr">
        <is>
          <t>multi-target signaling modulation; muscarinic receptor interaction</t>
        </is>
      </c>
      <c r="G383" s="134" t="inlineStr">
        <is>
          <t>cholinergic_modulation; general or unknown targets</t>
        </is>
      </c>
      <c r="H383" s="134" t="inlineStr">
        <is>
          <t>rapid systemic absorption; crosses BBB; hepatic metabolism</t>
        </is>
      </c>
      <c r="I383" s="134" t="inlineStr">
        <is>
          <t>low</t>
        </is>
      </c>
      <c r="J383" s="134" t="inlineStr">
        <is>
          <t>no well-documented interactions</t>
        </is>
      </c>
      <c r="K383" s="134" t="n"/>
      <c r="L383" s="134" t="inlineStr">
        <is>
          <t>compound_level</t>
        </is>
      </c>
      <c r="M383" s="134" t="inlineStr">
        <is>
          <t>https://plants.sc.egov.usda.gov/home/search?query=Ruta%20chalepensis | https://plants.sc.egov.usda.gov/home/search?query=amorpha%20fruticosa | https://pubchem.ncbi.nlm.nih.gov/#query=rutin</t>
        </is>
      </c>
      <c r="N383" s="134" t="inlineStr">
        <is>
          <t>inferred_plus_trusted_gov; trusted_gov_added</t>
        </is>
      </c>
      <c r="O383" s="134" t="inlineStr">
        <is>
          <t>PubChem compound page (NIH); USDA Plants database; scientific name; PubChem compound page (NIH); USDA Plants database</t>
        </is>
      </c>
      <c r="P383" s="134" t="n"/>
      <c r="Q383" s="134" t="inlineStr">
        <is>
          <t>st-johns-wort</t>
        </is>
      </c>
      <c r="R383" s="134" t="n">
        <v>1</v>
      </c>
      <c r="S383" s="134" t="inlineStr">
        <is>
          <t>Yes</t>
        </is>
      </c>
      <c r="T383" s="134" t="inlineStr">
        <is>
          <t>Integrated from cleaned high-signal dataset</t>
        </is>
      </c>
    </row>
    <row r="384" ht="26" customHeight="1" s="76">
      <c r="A384" s="134" t="inlineStr">
        <is>
          <t>s-adenosyl-l-methionine</t>
        </is>
      </c>
      <c r="B384" s="134" t="inlineStr">
        <is>
          <t>s-adenosyl-l-methionine (same)</t>
        </is>
      </c>
      <c r="C384" s="134" t="n"/>
      <c r="D384" s="134" t="inlineStr">
        <is>
          <t>sulfonium metabolite / methyl donor</t>
        </is>
      </c>
      <c r="E384" s="134" t="inlineStr">
        <is>
          <t>Universal methyl donor in transmethylation reactions; also participates in transsulfuration and polyamine biosynthesis.</t>
        </is>
      </c>
      <c r="F384" s="134" t="n"/>
      <c r="G384" s="134" t="inlineStr">
        <is>
          <t>Methylation pathways; polyamine biosynthesis; transsulfuration pathway</t>
        </is>
      </c>
      <c r="H384" s="134" t="inlineStr">
        <is>
          <t>Oral supplement exposure is formulation-dependent; not handled like a typical receptor-targeting small molecule in dataset terms.</t>
        </is>
      </c>
      <c r="I384" s="134" t="inlineStr">
        <is>
          <t>GI upset and anxiety/insomnia can occur. Avoid unsupervised use in bipolar disorder because manic symptoms have been reported.</t>
        </is>
      </c>
      <c r="J384" s="134" t="inlineStr">
        <is>
          <t>Serotonergic antidepressants (possible additive serotonergic effects); caution in bipolar disorder because activation/mania can occur.</t>
        </is>
      </c>
      <c r="K384" s="134" t="n"/>
      <c r="L384" s="134" t="inlineStr">
        <is>
          <t>Sprint5</t>
        </is>
      </c>
      <c r="M384" s="134" t="inlineStr">
        <is>
          <t>https://pubchem.ncbi.nlm.nih.gov/compound/S-Adenosylmethionine | https://pubmed.ncbi.nlm.nih.gov/36891755/ | https://www.nccih.nih.gov/health/sadenosyllmethionine-same-in-depth</t>
        </is>
      </c>
      <c r="N384" s="134" t="n"/>
      <c r="O384" s="134" t="n"/>
      <c r="P384" s="134" t="inlineStr">
        <is>
          <t>precision_monographs_sprint5.xlsx</t>
        </is>
      </c>
      <c r="Q384" s="134" t="n"/>
      <c r="R384" s="134" t="n">
        <v>0</v>
      </c>
      <c r="S384" s="134" t="inlineStr">
        <is>
          <t>No</t>
        </is>
      </c>
      <c r="T384" s="134" t="inlineStr">
        <is>
          <t>Integrated from compound monograph workbook</t>
        </is>
      </c>
    </row>
    <row r="385" ht="26" customHeight="1" s="76">
      <c r="A385" s="134" t="inlineStr">
        <is>
          <t>safranal</t>
        </is>
      </c>
      <c r="B385" s="134" t="inlineStr">
        <is>
          <t>safranal</t>
        </is>
      </c>
      <c r="C385" s="134" t="n"/>
      <c r="D385" s="134" t="inlineStr">
        <is>
          <t>other</t>
        </is>
      </c>
      <c r="E385" s="134" t="inlineStr">
        <is>
          <t>insufficient evidence</t>
        </is>
      </c>
      <c r="F385" s="134" t="inlineStr">
        <is>
          <t>multi-target signaling modulation</t>
        </is>
      </c>
      <c r="G385" s="134" t="inlineStr">
        <is>
          <t>general or unknown targets</t>
        </is>
      </c>
      <c r="H385" s="134" t="inlineStr">
        <is>
          <t>moderate absorption; hepatic metabolism</t>
        </is>
      </c>
      <c r="I385" s="134" t="inlineStr">
        <is>
          <t>low</t>
        </is>
      </c>
      <c r="J385" s="134" t="inlineStr">
        <is>
          <t>no well-documented interactions</t>
        </is>
      </c>
      <c r="K385" s="134" t="n"/>
      <c r="L385" s="134" t="inlineStr">
        <is>
          <t>compound_level</t>
        </is>
      </c>
      <c r="M385" s="134" t="inlineStr">
        <is>
          <t>https://plants.sc.egov.usda.gov/home/search?query=crocus%20sativus | https://pubchem.ncbi.nlm.nih.gov/#query=safranal</t>
        </is>
      </c>
      <c r="N385" s="134" t="inlineStr">
        <is>
          <t>trusted_gov_added</t>
        </is>
      </c>
      <c r="O385" s="134" t="inlineStr">
        <is>
          <t>PubChem compound page (NIH); USDA Plants database</t>
        </is>
      </c>
      <c r="P385" s="134" t="n"/>
      <c r="Q385" s="134" t="inlineStr">
        <is>
          <t>crocus-sativus</t>
        </is>
      </c>
      <c r="R385" s="134" t="n">
        <v>1</v>
      </c>
      <c r="S385" s="134" t="inlineStr">
        <is>
          <t>Yes</t>
        </is>
      </c>
      <c r="T385" s="134" t="inlineStr">
        <is>
          <t>Integrated from cleaned high-signal dataset</t>
        </is>
      </c>
    </row>
    <row r="386" ht="26" customHeight="1" s="76">
      <c r="A386" s="134" t="inlineStr">
        <is>
          <t>safrole</t>
        </is>
      </c>
      <c r="B386" s="134" t="inlineStr">
        <is>
          <t>safrole</t>
        </is>
      </c>
      <c r="C386" s="134" t="n"/>
      <c r="D386" s="134" t="inlineStr">
        <is>
          <t>essential oils</t>
        </is>
      </c>
      <c r="E386" s="134" t="inlineStr">
        <is>
          <t>insufficient evidence</t>
        </is>
      </c>
      <c r="F386" s="134" t="inlineStr">
        <is>
          <t>multi-target signaling modulation</t>
        </is>
      </c>
      <c r="G386" s="134" t="inlineStr">
        <is>
          <t>general or unknown targets</t>
        </is>
      </c>
      <c r="H386" s="134" t="inlineStr">
        <is>
          <t>Absorption and bioavailability vary; some compounds metabolized via cytochrome P450 enzymes.</t>
        </is>
      </c>
      <c r="I386" s="134" t="inlineStr">
        <is>
          <t>low</t>
        </is>
      </c>
      <c r="J386" s="134" t="inlineStr">
        <is>
          <t>no well-documented interactions</t>
        </is>
      </c>
      <c r="K386" s="134" t="n"/>
      <c r="L386" s="134" t="inlineStr">
        <is>
          <t>compound_level</t>
        </is>
      </c>
      <c r="M386" s="134" t="inlineStr">
        <is>
          <t>https://plants.sc.egov.usda.gov/home/search?query=Piper%20auritum | https://pubchem.ncbi.nlm.nih.gov/#query=safrole</t>
        </is>
      </c>
      <c r="N386" s="134" t="inlineStr">
        <is>
          <t>inferred_plus_trusted_gov</t>
        </is>
      </c>
      <c r="O386" s="134" t="inlineStr">
        <is>
          <t>scientific name; PubChem compound page (NIH); USDA Plants database</t>
        </is>
      </c>
      <c r="P386" s="134" t="n"/>
      <c r="Q386" s="134" t="inlineStr">
        <is>
          <t>piper-auritum</t>
        </is>
      </c>
      <c r="R386" s="134" t="n">
        <v>1</v>
      </c>
      <c r="S386" s="134" t="inlineStr">
        <is>
          <t>Yes</t>
        </is>
      </c>
      <c r="T386" s="134" t="inlineStr">
        <is>
          <t>Integrated from cleaned high-signal dataset</t>
        </is>
      </c>
    </row>
    <row r="387" ht="26" customHeight="1" s="76">
      <c r="A387" s="134" t="inlineStr">
        <is>
          <t>salacinol</t>
        </is>
      </c>
      <c r="B387" s="134" t="inlineStr">
        <is>
          <t>salacinol</t>
        </is>
      </c>
      <c r="C387" s="134" t="n"/>
      <c r="D387" s="134" t="inlineStr">
        <is>
          <t>other</t>
        </is>
      </c>
      <c r="E387" s="134" t="inlineStr">
        <is>
          <t>insufficient evidence</t>
        </is>
      </c>
      <c r="F387" s="134" t="inlineStr">
        <is>
          <t>multi-target signaling modulation</t>
        </is>
      </c>
      <c r="G387" s="134" t="inlineStr">
        <is>
          <t>general or unknown targets</t>
        </is>
      </c>
      <c r="H387" s="134" t="inlineStr">
        <is>
          <t>Absorption and bioavailability vary; some compounds metabolized via cytochrome P450 enzymes.</t>
        </is>
      </c>
      <c r="I387" s="134" t="inlineStr">
        <is>
          <t>low</t>
        </is>
      </c>
      <c r="J387" s="134" t="inlineStr">
        <is>
          <t>no well-documented interactions</t>
        </is>
      </c>
      <c r="K387" s="134" t="n"/>
      <c r="L387" s="134" t="inlineStr">
        <is>
          <t>compound_level</t>
        </is>
      </c>
      <c r="M387" s="134" t="inlineStr">
        <is>
          <t>https://plants.sc.egov.usda.gov/home/search?query=Salacia%20reticulata | https://pubchem.ncbi.nlm.nih.gov/#query=salacinol</t>
        </is>
      </c>
      <c r="N387" s="134" t="inlineStr">
        <is>
          <t>inferred_plus_trusted_gov</t>
        </is>
      </c>
      <c r="O387" s="134" t="inlineStr">
        <is>
          <t>scientific name; PubChem compound page (NIH); USDA Plants database</t>
        </is>
      </c>
      <c r="P387" s="134" t="n"/>
      <c r="Q387" s="134" t="inlineStr">
        <is>
          <t>salacia-reticulata</t>
        </is>
      </c>
      <c r="R387" s="134" t="n">
        <v>1</v>
      </c>
      <c r="S387" s="134" t="inlineStr">
        <is>
          <t>Yes</t>
        </is>
      </c>
      <c r="T387" s="134" t="inlineStr">
        <is>
          <t>Integrated from cleaned high-signal dataset</t>
        </is>
      </c>
    </row>
    <row r="388" ht="26" customHeight="1" s="76">
      <c r="A388" s="134" t="inlineStr">
        <is>
          <t>salicin</t>
        </is>
      </c>
      <c r="B388" s="134" t="inlineStr">
        <is>
          <t>salicin</t>
        </is>
      </c>
      <c r="C388" s="134" t="n"/>
      <c r="D388" s="134" t="inlineStr">
        <is>
          <t>Salicin, polyphenols, flavonoids</t>
        </is>
      </c>
      <c r="E388" s="134" t="inlineStr">
        <is>
          <t>insufficient evidence</t>
        </is>
      </c>
      <c r="F388" s="134" t="inlineStr">
        <is>
          <t>multi-target signaling modulation</t>
        </is>
      </c>
      <c r="G388" s="134" t="inlineStr">
        <is>
          <t>general or unknown targets</t>
        </is>
      </c>
      <c r="H388" s="134" t="inlineStr">
        <is>
          <t>Oral; COX inhibition and antipyretic</t>
        </is>
      </c>
      <c r="I388" s="134" t="inlineStr">
        <is>
          <t>low</t>
        </is>
      </c>
      <c r="J388" s="134" t="inlineStr">
        <is>
          <t>no well-documented interactions</t>
        </is>
      </c>
      <c r="K388" s="134" t="n"/>
      <c r="L388" s="134" t="inlineStr">
        <is>
          <t>compound_level</t>
        </is>
      </c>
      <c r="M388" s="134" t="inlineStr">
        <is>
          <t>https://plants.sc.egov.usda.gov/home/search?query=Salix%20alba | https://plants.sc.egov.usda.gov/home/search?query=Viburnum%20opulus | https://pubchem.ncbi.nlm.nih.gov/#query=salicin</t>
        </is>
      </c>
      <c r="N388" s="134" t="inlineStr">
        <is>
          <t>inferred_plus_trusted_gov</t>
        </is>
      </c>
      <c r="O388" s="134" t="inlineStr">
        <is>
          <t>scientific name; PubChem compound page (NIH); USDA Plants database</t>
        </is>
      </c>
      <c r="P388" s="134" t="n"/>
      <c r="Q388" s="134" t="inlineStr">
        <is>
          <t>salix-alba; viburnum-opulus</t>
        </is>
      </c>
      <c r="R388" s="134" t="n">
        <v>2</v>
      </c>
      <c r="S388" s="134" t="inlineStr">
        <is>
          <t>Yes</t>
        </is>
      </c>
      <c r="T388" s="134" t="inlineStr">
        <is>
          <t>Integrated from cleaned high-signal dataset</t>
        </is>
      </c>
    </row>
    <row r="389" ht="26" customHeight="1" s="76">
      <c r="A389" s="134" t="inlineStr">
        <is>
          <t>salicylic acid</t>
        </is>
      </c>
      <c r="B389" s="134" t="inlineStr">
        <is>
          <t>salicylic acid</t>
        </is>
      </c>
      <c r="C389" s="134" t="n"/>
      <c r="D389" s="134" t="inlineStr">
        <is>
          <t>Tannins, salicylic acid, flavonoids</t>
        </is>
      </c>
      <c r="E389" s="134" t="inlineStr">
        <is>
          <t>insufficient evidence</t>
        </is>
      </c>
      <c r="F389" s="134" t="inlineStr">
        <is>
          <t>cox inhibition</t>
        </is>
      </c>
      <c r="G389" s="134" t="inlineStr">
        <is>
          <t>PTGS1, PTGS2 (COX-1, COX-2)</t>
        </is>
      </c>
      <c r="H389" s="134" t="inlineStr">
        <is>
          <t>Oral; astringent and anti-inflammatory</t>
        </is>
      </c>
      <c r="I389" s="134" t="inlineStr">
        <is>
          <t>low</t>
        </is>
      </c>
      <c r="J389" s="134" t="inlineStr">
        <is>
          <t>may interact with NSAIDs or anticoagulants</t>
        </is>
      </c>
      <c r="K389" s="134" t="n"/>
      <c r="L389" s="134" t="inlineStr">
        <is>
          <t>compound_level</t>
        </is>
      </c>
      <c r="M389" s="134" t="inlineStr">
        <is>
          <t>https://plants.sc.egov.usda.gov/home/search?query=Alchemilla%20vulgaris | https://pubchem.ncbi.nlm.nih.gov/#query=salicylic%20acid</t>
        </is>
      </c>
      <c r="N389" s="134" t="inlineStr">
        <is>
          <t>inferred_plus_trusted_gov</t>
        </is>
      </c>
      <c r="O389" s="134" t="inlineStr">
        <is>
          <t>scientific name; PubChem compound page (NIH); USDA Plants database</t>
        </is>
      </c>
      <c r="P389" s="134" t="n"/>
      <c r="Q389" s="134" t="inlineStr">
        <is>
          <t>alchemilla-vulgaris</t>
        </is>
      </c>
      <c r="R389" s="134" t="n">
        <v>1</v>
      </c>
      <c r="S389" s="134" t="inlineStr">
        <is>
          <t>Yes</t>
        </is>
      </c>
      <c r="T389" s="134" t="inlineStr">
        <is>
          <t>Integrated from cleaned high-signal dataset</t>
        </is>
      </c>
    </row>
    <row r="390" ht="26" customHeight="1" s="76">
      <c r="A390" s="134" t="inlineStr">
        <is>
          <t>salidroside</t>
        </is>
      </c>
      <c r="B390" s="134" t="inlineStr">
        <is>
          <t>salidroside</t>
        </is>
      </c>
      <c r="C390" s="134" t="n"/>
      <c r="D390" s="134" t="inlineStr">
        <is>
          <t>phenylpropanoid glycoside</t>
        </is>
      </c>
      <c r="E390" s="134" t="inlineStr">
        <is>
          <t>Salidroside shows cytoprotective, metabolic, and stress-response activity across preclinical and limited human literature, with repeated linkage to AMPK, PI3K/Akt, and Nrf2-associated pathways.</t>
        </is>
      </c>
      <c r="F390" s="134" t="inlineStr">
        <is>
          <t>adaptogen; oxidative_stress_modulation; multi-target signaling modulation</t>
        </is>
      </c>
      <c r="G390" s="134" t="inlineStr">
        <is>
          <t>AMPK activation; NRF2/ARE pathway activation; PI3K/Akt pathway modulation</t>
        </is>
      </c>
      <c r="H390" s="134" t="inlineStr">
        <is>
          <t>Strong human PK profile remains incompletely defined; disposition claims should stay conservative.</t>
        </is>
      </c>
      <c r="I390" s="134" t="inlineStr">
        <is>
          <t>Reviewed sources suggest a relatively clean safety profile, but human interaction evidence is sparse.</t>
        </is>
      </c>
      <c r="J390" s="134" t="inlineStr">
        <is>
          <t>No strong compound-specific clinical DDI retained; interaction risk remains limited but not fully excluded.</t>
        </is>
      </c>
      <c r="K390" s="134" t="inlineStr">
        <is>
          <t>High</t>
        </is>
      </c>
      <c r="L390" s="134" t="inlineStr">
        <is>
          <t>preclinical + limited human</t>
        </is>
      </c>
      <c r="M390" s="134" t="inlineStr">
        <is>
          <t>PubMed/PMC salidroside reviews; PubChem</t>
        </is>
      </c>
      <c r="N390" s="134" t="inlineStr">
        <is>
          <t>tier1+review</t>
        </is>
      </c>
      <c r="O390" s="134" t="inlineStr">
        <is>
          <t>Upgraded from existing record with tighter source lock</t>
        </is>
      </c>
      <c r="P390" s="134" t="inlineStr">
        <is>
          <t>precision_monographs_sprint3.xlsx</t>
        </is>
      </c>
      <c r="Q390" s="134" t="inlineStr">
        <is>
          <t>rhodiola-rosea</t>
        </is>
      </c>
      <c r="R390" s="134" t="n">
        <v>1</v>
      </c>
      <c r="S390" s="134" t="inlineStr">
        <is>
          <t>Yes</t>
        </is>
      </c>
      <c r="T390" s="134" t="inlineStr">
        <is>
          <t>Locked in Batch 2 with primary-source normalization.</t>
        </is>
      </c>
    </row>
    <row r="391" ht="26" customHeight="1" s="76">
      <c r="A391" s="134" t="inlineStr">
        <is>
          <t>salvinorin a</t>
        </is>
      </c>
      <c r="B391" s="134" t="inlineStr">
        <is>
          <t>salvinorin a</t>
        </is>
      </c>
      <c r="C391" s="134" t="n"/>
      <c r="D391" s="134" t="inlineStr">
        <is>
          <t>other</t>
        </is>
      </c>
      <c r="E391" s="134" t="inlineStr">
        <is>
          <t>Salvinorin A is a potent kappa-opioid receptor agonist producing dissociative and hallucinogenic effects.</t>
        </is>
      </c>
      <c r="F391" s="134" t="inlineStr">
        <is>
          <t>multi-target signaling modulation</t>
        </is>
      </c>
      <c r="G391" s="134" t="inlineStr">
        <is>
          <t>general or unknown targets</t>
        </is>
      </c>
      <c r="H391" s="134" t="inlineStr">
        <is>
          <t>Absorbed via oral mucosa, smoking or vaporization; rapid onset (seconds–minutes), short duration (~15–30 min), quickly metabolized to inactive salvinorin B [3, 1].</t>
        </is>
      </c>
      <c r="I391" s="134" t="inlineStr">
        <is>
          <t>Low physiological toxicity; intense psychological effects.</t>
        </is>
      </c>
      <c r="J391" s="134" t="inlineStr">
        <is>
          <t>cns depressants may potentiate sedative effects; caution when coadministered [3, 3].</t>
        </is>
      </c>
      <c r="K391" s="134" t="n"/>
      <c r="L391" s="134" t="inlineStr">
        <is>
          <t>compound_level</t>
        </is>
      </c>
      <c r="M391" s="134" t="inlineStr">
        <is>
          <t>https://plants.sc.egov.usda.gov/home/search?query=salvia%20divinorum | https://pubchem.ncbi.nlm.nih.gov/#query=salvinorin%20a</t>
        </is>
      </c>
      <c r="N391" s="134" t="inlineStr">
        <is>
          <t>inferred_plus_trusted_gov</t>
        </is>
      </c>
      <c r="O391" s="134" t="inlineStr">
        <is>
          <t>Unknown; PubChem compound page (NIH); USDA Plants database</t>
        </is>
      </c>
      <c r="P391" s="134" t="n"/>
      <c r="Q391" s="134" t="inlineStr">
        <is>
          <t>salvia-divinorum</t>
        </is>
      </c>
      <c r="R391" s="134" t="n">
        <v>1</v>
      </c>
      <c r="S391" s="134" t="inlineStr">
        <is>
          <t>Yes</t>
        </is>
      </c>
      <c r="T391" s="134" t="inlineStr">
        <is>
          <t>Integrated from cleaned high-signal dataset</t>
        </is>
      </c>
    </row>
    <row r="392" ht="26" customHeight="1" s="76">
      <c r="A392" s="134" t="inlineStr">
        <is>
          <t>sambunigrin</t>
        </is>
      </c>
      <c r="B392" s="134" t="inlineStr">
        <is>
          <t>sambunigrin</t>
        </is>
      </c>
      <c r="C392" s="134" t="n"/>
      <c r="D392" s="134" t="inlineStr">
        <is>
          <t>Anthocyanins, flavonoids, sambunigrin</t>
        </is>
      </c>
      <c r="E392" s="134" t="inlineStr">
        <is>
          <t>insufficient evidence</t>
        </is>
      </c>
      <c r="F392" s="134" t="inlineStr">
        <is>
          <t>multi-target signaling modulation</t>
        </is>
      </c>
      <c r="G392" s="134" t="inlineStr">
        <is>
          <t>general or unknown targets</t>
        </is>
      </c>
      <c r="H392" s="134" t="inlineStr">
        <is>
          <t>Oral; cytokine modulation and antioxidant</t>
        </is>
      </c>
      <c r="I392" s="134" t="inlineStr">
        <is>
          <t>low</t>
        </is>
      </c>
      <c r="J392" s="134" t="inlineStr">
        <is>
          <t>no well-documented interactions</t>
        </is>
      </c>
      <c r="K392" s="134" t="n"/>
      <c r="L392" s="134" t="inlineStr">
        <is>
          <t>compound_level</t>
        </is>
      </c>
      <c r="M392" s="134" t="inlineStr">
        <is>
          <t>https://plants.sc.egov.usda.gov/home/search?query=Sambucus%20nigra | https://pubchem.ncbi.nlm.nih.gov/#query=sambunigrin</t>
        </is>
      </c>
      <c r="N392" s="134" t="inlineStr">
        <is>
          <t>inferred_plus_trusted_gov</t>
        </is>
      </c>
      <c r="O392" s="134" t="inlineStr">
        <is>
          <t>scientific name; PubChem compound page (NIH); USDA Plants database</t>
        </is>
      </c>
      <c r="P392" s="134" t="n"/>
      <c r="Q392" s="134" t="inlineStr">
        <is>
          <t>sambucus-nigra</t>
        </is>
      </c>
      <c r="R392" s="134" t="n">
        <v>1</v>
      </c>
      <c r="S392" s="134" t="inlineStr">
        <is>
          <t>Yes</t>
        </is>
      </c>
      <c r="T392" s="134" t="inlineStr">
        <is>
          <t>Integrated from cleaned high-signal dataset</t>
        </is>
      </c>
    </row>
    <row r="393" ht="26" customHeight="1" s="76">
      <c r="A393" s="134" t="inlineStr">
        <is>
          <t>sanguinarine</t>
        </is>
      </c>
      <c r="B393" s="134" t="inlineStr">
        <is>
          <t>sanguinarine</t>
        </is>
      </c>
      <c r="C393" s="134" t="n"/>
      <c r="D393" s="134" t="inlineStr">
        <is>
          <t>other</t>
        </is>
      </c>
      <c r="E393" s="134" t="inlineStr">
        <is>
          <t>insufficient evidence</t>
        </is>
      </c>
      <c r="F393" s="134" t="inlineStr">
        <is>
          <t>multi-target signaling modulation</t>
        </is>
      </c>
      <c r="G393" s="134" t="inlineStr">
        <is>
          <t>general or unknown targets</t>
        </is>
      </c>
      <c r="H393" s="134" t="inlineStr">
        <is>
          <t>Topical; cytotoxic and antimicrobial</t>
        </is>
      </c>
      <c r="I393" s="134" t="inlineStr">
        <is>
          <t>low</t>
        </is>
      </c>
      <c r="J393" s="134" t="inlineStr">
        <is>
          <t>no well-documented interactions</t>
        </is>
      </c>
      <c r="K393" s="134" t="n"/>
      <c r="L393" s="134" t="inlineStr">
        <is>
          <t>compound_level</t>
        </is>
      </c>
      <c r="M393" s="134" t="inlineStr">
        <is>
          <t>https://plants.sc.egov.usda.gov/home/search?query=Sanguinaria%20canadensis | https://pubchem.ncbi.nlm.nih.gov/#query=sanguinarine</t>
        </is>
      </c>
      <c r="N393" s="134" t="inlineStr">
        <is>
          <t>inferred_plus_trusted_gov</t>
        </is>
      </c>
      <c r="O393" s="134" t="inlineStr">
        <is>
          <t>scientific name; PubChem compound page (NIH); USDA Plants database</t>
        </is>
      </c>
      <c r="P393" s="134" t="n"/>
      <c r="Q393" s="134" t="inlineStr">
        <is>
          <t>sanguinaria-canadensis</t>
        </is>
      </c>
      <c r="R393" s="134" t="n">
        <v>1</v>
      </c>
      <c r="S393" s="134" t="inlineStr">
        <is>
          <t>Yes</t>
        </is>
      </c>
      <c r="T393" s="134" t="inlineStr">
        <is>
          <t>Integrated from cleaned high-signal dataset</t>
        </is>
      </c>
    </row>
    <row r="394" ht="26" customHeight="1" s="76">
      <c r="A394" s="134" t="inlineStr">
        <is>
          <t>saponins hederacoside</t>
        </is>
      </c>
      <c r="B394" s="134" t="inlineStr">
        <is>
          <t>saponins (hederacoside)</t>
        </is>
      </c>
      <c r="C394" s="134" t="n"/>
      <c r="D394" s="134" t="inlineStr">
        <is>
          <t>Saponins (hederacoside), flavonoids</t>
        </is>
      </c>
      <c r="E394" s="134" t="inlineStr">
        <is>
          <t>insufficient evidence</t>
        </is>
      </c>
      <c r="F394" s="134" t="inlineStr">
        <is>
          <t>multi-target signaling modulation</t>
        </is>
      </c>
      <c r="G394" s="134" t="inlineStr">
        <is>
          <t>general or unknown targets</t>
        </is>
      </c>
      <c r="H394" s="134" t="inlineStr">
        <is>
          <t>Oral; mucolytic and bronchodilator</t>
        </is>
      </c>
      <c r="I394" s="134" t="inlineStr">
        <is>
          <t>low</t>
        </is>
      </c>
      <c r="J394" s="134" t="inlineStr">
        <is>
          <t>no well-documented interactions</t>
        </is>
      </c>
      <c r="K394" s="134" t="n"/>
      <c r="L394" s="134" t="inlineStr">
        <is>
          <t>compound_level</t>
        </is>
      </c>
      <c r="M394" s="134" t="inlineStr">
        <is>
          <t>https://plants.sc.egov.usda.gov/home/search?query=Hedera%20helix | https://pubchem.ncbi.nlm.nih.gov/#query=saponins%20%28hederacoside%29</t>
        </is>
      </c>
      <c r="N394" s="134" t="inlineStr">
        <is>
          <t>inferred_plus_trusted_gov</t>
        </is>
      </c>
      <c r="O394" s="134" t="inlineStr">
        <is>
          <t>scientific name; PubChem compound page (NIH); USDA Plants database</t>
        </is>
      </c>
      <c r="P394" s="134" t="n"/>
      <c r="Q394" s="134" t="inlineStr">
        <is>
          <t>hedera-helix</t>
        </is>
      </c>
      <c r="R394" s="134" t="n">
        <v>1</v>
      </c>
      <c r="S394" s="134" t="inlineStr">
        <is>
          <t>Yes</t>
        </is>
      </c>
      <c r="T394" s="134" t="inlineStr">
        <is>
          <t>Integrated from cleaned high-signal dataset</t>
        </is>
      </c>
    </row>
    <row r="395" ht="26" customHeight="1" s="76">
      <c r="A395" s="134" t="inlineStr">
        <is>
          <t>sarsaponin</t>
        </is>
      </c>
      <c r="B395" s="134" t="inlineStr">
        <is>
          <t>sarsaponin</t>
        </is>
      </c>
      <c r="C395" s="134" t="n"/>
      <c r="D395" s="134" t="inlineStr">
        <is>
          <t>Sarsaponin, phytosterols</t>
        </is>
      </c>
      <c r="E395" s="134" t="inlineStr">
        <is>
          <t>insufficient evidence</t>
        </is>
      </c>
      <c r="F395" s="134" t="inlineStr">
        <is>
          <t>multi-target signaling modulation</t>
        </is>
      </c>
      <c r="G395" s="134" t="inlineStr">
        <is>
          <t>general or unknown targets</t>
        </is>
      </c>
      <c r="H395" s="134" t="inlineStr">
        <is>
          <t>Oral; adaptogenic and alterative</t>
        </is>
      </c>
      <c r="I395" s="134" t="inlineStr">
        <is>
          <t>low</t>
        </is>
      </c>
      <c r="J395" s="134" t="inlineStr">
        <is>
          <t>no well-documented interactions</t>
        </is>
      </c>
      <c r="K395" s="134" t="n"/>
      <c r="L395" s="134" t="inlineStr">
        <is>
          <t>compound_level</t>
        </is>
      </c>
      <c r="M395" s="134" t="inlineStr">
        <is>
          <t>https://plants.sc.egov.usda.gov/home/search?query=Smilax%20ornata | https://pubchem.ncbi.nlm.nih.gov/#query=sarsaponin</t>
        </is>
      </c>
      <c r="N395" s="134" t="inlineStr">
        <is>
          <t>inferred_plus_trusted_gov</t>
        </is>
      </c>
      <c r="O395" s="134" t="inlineStr">
        <is>
          <t>scientific name; PubChem compound page (NIH); USDA Plants database</t>
        </is>
      </c>
      <c r="P395" s="134" t="n"/>
      <c r="Q395" s="134" t="inlineStr">
        <is>
          <t>smilax-ornata</t>
        </is>
      </c>
      <c r="R395" s="134" t="n">
        <v>1</v>
      </c>
      <c r="S395" s="134" t="inlineStr">
        <is>
          <t>Yes</t>
        </is>
      </c>
      <c r="T395" s="134" t="inlineStr">
        <is>
          <t>Integrated from cleaned high-signal dataset</t>
        </is>
      </c>
    </row>
    <row r="396" ht="26" customHeight="1" s="76">
      <c r="A396" s="134" t="inlineStr">
        <is>
          <t>schisandrin</t>
        </is>
      </c>
      <c r="B396" s="134" t="inlineStr">
        <is>
          <t>schisandrin</t>
        </is>
      </c>
      <c r="C396" s="134" t="n"/>
      <c r="D396" s="134" t="inlineStr">
        <is>
          <t>Schisandrin, gomisin, lignans</t>
        </is>
      </c>
      <c r="E396" s="134" t="inlineStr">
        <is>
          <t>insufficient evidence</t>
        </is>
      </c>
      <c r="F396" s="134" t="inlineStr">
        <is>
          <t>multi-target signaling modulation</t>
        </is>
      </c>
      <c r="G396" s="134" t="inlineStr">
        <is>
          <t>general or unknown targets</t>
        </is>
      </c>
      <c r="H396" s="134" t="inlineStr">
        <is>
          <t>Oral; antioxidant and hepatoprotective</t>
        </is>
      </c>
      <c r="I396" s="134" t="inlineStr">
        <is>
          <t>low</t>
        </is>
      </c>
      <c r="J396" s="134" t="inlineStr">
        <is>
          <t>no well-documented interactions</t>
        </is>
      </c>
      <c r="K396" s="134" t="n"/>
      <c r="L396" s="134" t="inlineStr">
        <is>
          <t>compound_level</t>
        </is>
      </c>
      <c r="M396" s="134" t="inlineStr">
        <is>
          <t>https://plants.sc.egov.usda.gov/home/search?query=Schisandra%20chinensis | https://pubchem.ncbi.nlm.nih.gov/#query=schisandrin</t>
        </is>
      </c>
      <c r="N396" s="134" t="inlineStr">
        <is>
          <t>inferred_plus_trusted_gov</t>
        </is>
      </c>
      <c r="O396" s="134" t="inlineStr">
        <is>
          <t>scientific name; PubChem compound page (NIH); USDA Plants database</t>
        </is>
      </c>
      <c r="P396" s="134" t="n"/>
      <c r="Q396" s="134" t="inlineStr">
        <is>
          <t>schisandra-chinensis</t>
        </is>
      </c>
      <c r="R396" s="134" t="n">
        <v>1</v>
      </c>
      <c r="S396" s="134" t="inlineStr">
        <is>
          <t>Yes</t>
        </is>
      </c>
      <c r="T396" s="134" t="inlineStr">
        <is>
          <t>Integrated from cleaned high-signal dataset</t>
        </is>
      </c>
    </row>
    <row r="397" ht="26" customHeight="1" s="76">
      <c r="A397" s="134" t="inlineStr">
        <is>
          <t>scopadulcic acid</t>
        </is>
      </c>
      <c r="B397" s="134" t="inlineStr">
        <is>
          <t>scopadulcic acid</t>
        </is>
      </c>
      <c r="C397" s="134" t="n"/>
      <c r="D397" s="134" t="inlineStr">
        <is>
          <t>flavonoids</t>
        </is>
      </c>
      <c r="E397" s="134" t="inlineStr">
        <is>
          <t>insufficient evidence</t>
        </is>
      </c>
      <c r="F397" s="134" t="inlineStr">
        <is>
          <t>multi-target signaling modulation</t>
        </is>
      </c>
      <c r="G397" s="134" t="inlineStr">
        <is>
          <t>general or unknown targets</t>
        </is>
      </c>
      <c r="H397" s="134" t="inlineStr">
        <is>
          <t>Absorption and bioavailability vary; some compounds metabolized via cytochrome P450 enzymes.</t>
        </is>
      </c>
      <c r="I397" s="134" t="inlineStr">
        <is>
          <t>low</t>
        </is>
      </c>
      <c r="J397" s="134" t="inlineStr">
        <is>
          <t>no well-documented interactions</t>
        </is>
      </c>
      <c r="K397" s="134" t="n"/>
      <c r="L397" s="134" t="inlineStr">
        <is>
          <t>compound_level</t>
        </is>
      </c>
      <c r="M397" s="134" t="inlineStr">
        <is>
          <t>https://plants.sc.egov.usda.gov/home/search?query=Scoparia%20dulcis | https://pubchem.ncbi.nlm.nih.gov/#query=scopadulcic%20acid</t>
        </is>
      </c>
      <c r="N397" s="134" t="inlineStr">
        <is>
          <t>inferred_plus_trusted_gov</t>
        </is>
      </c>
      <c r="O397" s="134" t="inlineStr">
        <is>
          <t>scientific name; PubChem compound page (NIH); USDA Plants database</t>
        </is>
      </c>
      <c r="P397" s="134" t="n"/>
      <c r="Q397" s="134" t="inlineStr">
        <is>
          <t>scoparia-dulcis</t>
        </is>
      </c>
      <c r="R397" s="134" t="n">
        <v>1</v>
      </c>
      <c r="S397" s="134" t="inlineStr">
        <is>
          <t>Yes</t>
        </is>
      </c>
      <c r="T397" s="134" t="inlineStr">
        <is>
          <t>Integrated from cleaned high-signal dataset</t>
        </is>
      </c>
    </row>
    <row r="398" ht="26" customHeight="1" s="76">
      <c r="A398" s="134" t="inlineStr">
        <is>
          <t>scoparin</t>
        </is>
      </c>
      <c r="B398" s="134" t="inlineStr">
        <is>
          <t>scoparin</t>
        </is>
      </c>
      <c r="C398" s="134" t="n"/>
      <c r="D398" s="134" t="inlineStr">
        <is>
          <t>flavonoids</t>
        </is>
      </c>
      <c r="E398" s="134" t="inlineStr">
        <is>
          <t>insufficient evidence</t>
        </is>
      </c>
      <c r="F398" s="134" t="inlineStr">
        <is>
          <t>multi-target signaling modulation</t>
        </is>
      </c>
      <c r="G398" s="134" t="inlineStr">
        <is>
          <t>general or unknown targets</t>
        </is>
      </c>
      <c r="H398" s="134" t="inlineStr">
        <is>
          <t>Absorption and bioavailability vary; some compounds metabolized via cytochrome P450 enzymes.</t>
        </is>
      </c>
      <c r="I398" s="134" t="inlineStr">
        <is>
          <t>low</t>
        </is>
      </c>
      <c r="J398" s="134" t="inlineStr">
        <is>
          <t>no well-documented interactions</t>
        </is>
      </c>
      <c r="K398" s="134" t="n"/>
      <c r="L398" s="134" t="inlineStr">
        <is>
          <t>compound_level</t>
        </is>
      </c>
      <c r="M398" s="134" t="inlineStr">
        <is>
          <t>https://plants.sc.egov.usda.gov/home/search?query=Scoparia%20dulcis | https://pubchem.ncbi.nlm.nih.gov/#query=scoparin</t>
        </is>
      </c>
      <c r="N398" s="134" t="inlineStr">
        <is>
          <t>inferred_plus_trusted_gov</t>
        </is>
      </c>
      <c r="O398" s="134" t="inlineStr">
        <is>
          <t>scientific name; PubChem compound page (NIH); USDA Plants database</t>
        </is>
      </c>
      <c r="P398" s="134" t="n"/>
      <c r="Q398" s="134" t="inlineStr">
        <is>
          <t>scoparia-dulcis</t>
        </is>
      </c>
      <c r="R398" s="134" t="n">
        <v>1</v>
      </c>
      <c r="S398" s="134" t="inlineStr">
        <is>
          <t>Yes</t>
        </is>
      </c>
      <c r="T398" s="134" t="inlineStr">
        <is>
          <t>Integrated from cleaned high-signal dataset</t>
        </is>
      </c>
    </row>
    <row r="399" ht="26" customHeight="1" s="76">
      <c r="A399" s="134" t="inlineStr">
        <is>
          <t>scopolamine</t>
        </is>
      </c>
      <c r="B399" s="134" t="inlineStr">
        <is>
          <t>scopolamine</t>
        </is>
      </c>
      <c r="C399" s="134" t="n"/>
      <c r="D399" s="134" t="inlineStr">
        <is>
          <t>alkaloid</t>
        </is>
      </c>
      <c r="E399" s="134" t="inlineStr">
        <is>
          <t>Scopolamine, hyoscyamine, and atropine block muscarinic acetylcholine receptors (anticholinergic), disrupting sensory and cognitive processing.</t>
        </is>
      </c>
      <c r="F399" s="134" t="inlineStr">
        <is>
          <t>muscarinic receptor interaction</t>
        </is>
      </c>
      <c r="G399" s="134" t="inlineStr">
        <is>
          <t>CHRM1, CHRM2 (muscarinic receptors); cholinergic_modulation</t>
        </is>
      </c>
      <c r="H399" s="134" t="inlineStr">
        <is>
          <t>Absorption and bioavailability vary; some compounds metabolized via cytochrome P450 enzymes.</t>
        </is>
      </c>
      <c r="I399" s="134" t="inlineStr">
        <is>
          <t>high</t>
        </is>
      </c>
      <c r="J399" s="134" t="inlineStr">
        <is>
          <t>avoid with other anticholinergics; additive toxicity</t>
        </is>
      </c>
      <c r="K399" s="134" t="n"/>
      <c r="L399" s="134" t="inlineStr">
        <is>
          <t>compound_level</t>
        </is>
      </c>
      <c r="M399" s="134" t="inlineStr">
        <is>
          <t>Handbook of Medicinal Plants – CRC Press | Plants of the Gods – Rätsch | https://plants.sc.egov.usda.gov/home/search?query=Atropa%20belladonna | https://plants.sc.egov.usda.gov/home/search?query=Brugmansia%20sanguinea | https://plants.sc.egov.usda.gov/home/search?query=Datura%20ferox | https://plants.sc.egov.usda.gov/home/search?query=Datura%20stramonium | https://plants.sc.egov.usda.gov/home/search?query=Datura%20wrightii | https://plants.sc.egov.usda.gov/home/search?query=Duboisia%20myoporoides | https://plants.sc.egov.usda.gov/home/search?query=Mandragora%20officinarum | https://plants.sc.egov.usda.gov/home/search?query=Scopolia%20carniolica | https://plants.sc.egov.usda.gov/home/search?query=Solandra%20maxima | https://plants.sc.egov.usda.gov/home/search?query=brugmansia | https://plants.sc.egov.usda.gov/home/search?query=brugmansia%20suaveolens | https://plants.sc.egov.usda.gov/home/search?query=mandrake | https://pubchem.ncbi.nlm.nih.gov/#query=scopolamine | https://www.ncbi.nlm.nih.gov/pmc/articles/PMC1318951/</t>
        </is>
      </c>
      <c r="N399" s="134" t="inlineStr">
        <is>
          <t>citation_or_url_present; inferred_plus_trusted_gov; trusted_gov_added</t>
        </is>
      </c>
      <c r="O399" s="134" t="inlineStr">
        <is>
          <t>PubChem compound page (NIH); USDA Plants database; scientific name; PubChem compound page (NIH); USDA Plants database</t>
        </is>
      </c>
      <c r="P399" s="134" t="n"/>
      <c r="Q399" s="134" t="inlineStr">
        <is>
          <t>atropa-belladonna; brugmansia; brugmansia-sanguinea; brugmansia-suaveolens; datura-ferox; datura-stramonium; datura-wrightii; duboisia-myoporoides; hyoscyamus-niger; mandragora-officinarum; scopolia-carniolica; solandra-maxima</t>
        </is>
      </c>
      <c r="R399" s="134" t="n">
        <v>12</v>
      </c>
      <c r="S399" s="134" t="inlineStr">
        <is>
          <t>Yes</t>
        </is>
      </c>
      <c r="T399" s="134" t="inlineStr">
        <is>
          <t>Integrated from cleaned high-signal dataset</t>
        </is>
      </c>
    </row>
    <row r="400" ht="26" customHeight="1" s="76">
      <c r="A400" s="134" t="inlineStr">
        <is>
          <t>scopoletin</t>
        </is>
      </c>
      <c r="B400" s="134" t="inlineStr">
        <is>
          <t>scopoletin</t>
        </is>
      </c>
      <c r="C400" s="134" t="n"/>
      <c r="D400" s="134" t="inlineStr">
        <is>
          <t>Scopoletin, damnacanthal, polysaccharides</t>
        </is>
      </c>
      <c r="E400" s="134" t="inlineStr">
        <is>
          <t>insufficient evidence</t>
        </is>
      </c>
      <c r="F400" s="134" t="inlineStr">
        <is>
          <t>multi-target signaling modulation</t>
        </is>
      </c>
      <c r="G400" s="134" t="inlineStr">
        <is>
          <t>general or unknown targets</t>
        </is>
      </c>
      <c r="H400" s="134" t="inlineStr">
        <is>
          <t>Oral; anti-inflammatory and adaptogenic</t>
        </is>
      </c>
      <c r="I400" s="134" t="inlineStr">
        <is>
          <t>low</t>
        </is>
      </c>
      <c r="J400" s="134" t="inlineStr">
        <is>
          <t>no well-documented interactions</t>
        </is>
      </c>
      <c r="K400" s="134" t="n"/>
      <c r="L400" s="134" t="inlineStr">
        <is>
          <t>compound_level</t>
        </is>
      </c>
      <c r="M400" s="134" t="inlineStr">
        <is>
          <t>https://plants.sc.egov.usda.gov/home/search?query=Morinda%20citrifolia | https://pubchem.ncbi.nlm.nih.gov/#query=scopoletin</t>
        </is>
      </c>
      <c r="N400" s="134" t="inlineStr">
        <is>
          <t>inferred_plus_trusted_gov</t>
        </is>
      </c>
      <c r="O400" s="134" t="inlineStr">
        <is>
          <t>scientific name; PubChem compound page (NIH); USDA Plants database</t>
        </is>
      </c>
      <c r="P400" s="134" t="n"/>
      <c r="Q400" s="134" t="inlineStr">
        <is>
          <t>morinda-citrifolia</t>
        </is>
      </c>
      <c r="R400" s="134" t="n">
        <v>1</v>
      </c>
      <c r="S400" s="134" t="inlineStr">
        <is>
          <t>Yes</t>
        </is>
      </c>
      <c r="T400" s="134" t="inlineStr">
        <is>
          <t>Integrated from cleaned high-signal dataset</t>
        </is>
      </c>
    </row>
    <row r="401" ht="26" customHeight="1" s="76">
      <c r="A401" s="134" t="inlineStr">
        <is>
          <t>scutellarin</t>
        </is>
      </c>
      <c r="B401" s="134" t="inlineStr">
        <is>
          <t>scutellarin</t>
        </is>
      </c>
      <c r="C401" s="134" t="n"/>
      <c r="D401" s="134" t="inlineStr">
        <is>
          <t>other</t>
        </is>
      </c>
      <c r="E401" s="134" t="inlineStr">
        <is>
          <t>American skullcap flavonoids are associated with anticonvulsant and anxiolytic activity; GABAergic signaling and broader neuroinhibitory effects have been proposed in preclinical work.</t>
        </is>
      </c>
      <c r="F401" s="134" t="inlineStr">
        <is>
          <t>gaba_a_modulation</t>
        </is>
      </c>
      <c r="G401" s="134" t="inlineStr">
        <is>
          <t>gabaergic_modulation</t>
        </is>
      </c>
      <c r="H401" s="134" t="inlineStr">
        <is>
          <t>moderate absorption; hepatic metabolism</t>
        </is>
      </c>
      <c r="I401" s="134" t="inlineStr">
        <is>
          <t>low</t>
        </is>
      </c>
      <c r="J401" s="134" t="inlineStr">
        <is>
          <t>no well-documented interactions</t>
        </is>
      </c>
      <c r="K401" s="134" t="n"/>
      <c r="L401" s="134" t="inlineStr">
        <is>
          <t>compound_level</t>
        </is>
      </c>
      <c r="M401" s="134" t="inlineStr">
        <is>
          <t>https://plants.sc.egov.usda.gov/home/search?query=scutellaria%20lateriflora | https://pubchem.ncbi.nlm.nih.gov/#query=scutellarin</t>
        </is>
      </c>
      <c r="N401" s="134" t="inlineStr">
        <is>
          <t>trusted_gov_added</t>
        </is>
      </c>
      <c r="O401" s="134" t="inlineStr">
        <is>
          <t>PubChem compound page (NIH); USDA Plants database</t>
        </is>
      </c>
      <c r="P401" s="134" t="n"/>
      <c r="Q401" s="134" t="inlineStr">
        <is>
          <t>scutellaria-lateriflora</t>
        </is>
      </c>
      <c r="R401" s="134" t="n">
        <v>1</v>
      </c>
      <c r="S401" s="134" t="inlineStr">
        <is>
          <t>Yes</t>
        </is>
      </c>
      <c r="T401" s="134" t="inlineStr">
        <is>
          <t>Integrated from cleaned high-signal dataset</t>
        </is>
      </c>
    </row>
    <row r="402" ht="26" customHeight="1" s="76">
      <c r="A402" s="134" t="inlineStr">
        <is>
          <t>selenium</t>
        </is>
      </c>
      <c r="B402" s="134" t="inlineStr">
        <is>
          <t>selenium</t>
        </is>
      </c>
      <c r="C402" s="134" t="n"/>
      <c r="D402" s="134" t="inlineStr">
        <is>
          <t>essential trace mineral</t>
        </is>
      </c>
      <c r="E402" s="134" t="inlineStr">
        <is>
          <t>Constituent of 25 human selenoproteins including glutathione peroxidases, thioredoxin reductases, and selenoprotein P; supports thyroid hormone metabolism, DNA synthesis, reproduction, and protection from oxidative damage.</t>
        </is>
      </c>
      <c r="F402" s="134" t="n"/>
      <c r="G402" s="134" t="inlineStr">
        <is>
          <t>Glutathione peroxidase systems; selenoprotein P; thioredoxin reductase systems; thyroid hormone T4-to-T3 conversion</t>
        </is>
      </c>
      <c r="H402" s="134" t="inlineStr">
        <is>
          <t>Readily absorbed; selenomethionine and inorganic selenium are metabolized to a common intermediate used for selenocysteine synthesis. Homeostasis is maintained primarily by urinary excretion.</t>
        </is>
      </c>
      <c r="I402" s="134" t="inlineStr">
        <is>
          <t>Chronic excess causes selenosis, classically hair loss and nail brittleness, along with garlic breath, metallic taste, GI symptoms, fatigue, and neurologic abnormalities. Adult UL in the ODS fact sheet is 400 mcg/day.</t>
        </is>
      </c>
      <c r="J402" s="134" t="inlineStr">
        <is>
          <t>Cisplatin can reduce selenium levels; clinically significant supplementation interactions remain limited/uncertain in the ODS fact sheet.</t>
        </is>
      </c>
      <c r="K402" s="134" t="inlineStr">
        <is>
          <t>High</t>
        </is>
      </c>
      <c r="L402" s="134" t="inlineStr">
        <is>
          <t>Sprint7</t>
        </is>
      </c>
      <c r="M402" s="134" t="inlineStr">
        <is>
          <t>https://ods.od.nih.gov/factsheets/Selenium-HealthProfessional/</t>
        </is>
      </c>
      <c r="N402" s="134" t="n"/>
      <c r="O402" s="134" t="n"/>
      <c r="P402" s="134" t="inlineStr">
        <is>
          <t>precision_monographs_sprint7.xlsx</t>
        </is>
      </c>
      <c r="Q402" s="134" t="n"/>
      <c r="R402" s="134" t="n">
        <v>0</v>
      </c>
      <c r="S402" s="134" t="inlineStr">
        <is>
          <t>No</t>
        </is>
      </c>
      <c r="T402" s="134" t="inlineStr">
        <is>
          <t>Integrated from compound monograph workbook</t>
        </is>
      </c>
    </row>
    <row r="403" ht="26" customHeight="1" s="76">
      <c r="A403" s="134" t="inlineStr">
        <is>
          <t>sempervirine</t>
        </is>
      </c>
      <c r="B403" s="134" t="inlineStr">
        <is>
          <t>sempervirine</t>
        </is>
      </c>
      <c r="C403" s="134" t="n"/>
      <c r="D403" s="134" t="inlineStr">
        <is>
          <t>other</t>
        </is>
      </c>
      <c r="E403" s="134" t="inlineStr">
        <is>
          <t>Gelsemium alkaloids act on the central and peripheral nervous system; gelsemine has demonstrated antinociceptive activity at spinal alpha3 glycine receptors, while toxic alkaloids can cause convulsions and respiratory failure.</t>
        </is>
      </c>
      <c r="F403" s="134" t="inlineStr">
        <is>
          <t>multi-target signaling modulation</t>
        </is>
      </c>
      <c r="G403" s="134" t="inlineStr">
        <is>
          <t>general or unknown targets</t>
        </is>
      </c>
      <c r="H403" s="134" t="inlineStr">
        <is>
          <t>moderate absorption; hepatic metabolism</t>
        </is>
      </c>
      <c r="I403" s="134" t="inlineStr">
        <is>
          <t>low</t>
        </is>
      </c>
      <c r="J403" s="134" t="inlineStr">
        <is>
          <t>no well-documented interactions</t>
        </is>
      </c>
      <c r="K403" s="134" t="n"/>
      <c r="L403" s="134" t="inlineStr">
        <is>
          <t>compound_level</t>
        </is>
      </c>
      <c r="M403" s="134" t="inlineStr">
        <is>
          <t>https://plants.sc.egov.usda.gov/home/search?query=carolina%20jessamine | https://pubchem.ncbi.nlm.nih.gov/#query=sempervirine</t>
        </is>
      </c>
      <c r="N403" s="134" t="inlineStr">
        <is>
          <t>trusted_gov_added</t>
        </is>
      </c>
      <c r="O403" s="134" t="inlineStr">
        <is>
          <t>PubChem compound page (NIH); USDA Plants database</t>
        </is>
      </c>
      <c r="P403" s="134" t="n"/>
      <c r="Q403" s="134" t="inlineStr">
        <is>
          <t>carolina-jessamine</t>
        </is>
      </c>
      <c r="R403" s="134" t="n">
        <v>1</v>
      </c>
      <c r="S403" s="134" t="inlineStr">
        <is>
          <t>Yes</t>
        </is>
      </c>
      <c r="T403" s="134" t="inlineStr">
        <is>
          <t>Integrated from cleaned high-signal dataset</t>
        </is>
      </c>
    </row>
    <row r="404" ht="26" customHeight="1" s="76">
      <c r="A404" s="134" t="inlineStr">
        <is>
          <t>serotonin</t>
        </is>
      </c>
      <c r="B404" s="134" t="inlineStr">
        <is>
          <t>serotonin</t>
        </is>
      </c>
      <c r="C404" s="134" t="n"/>
      <c r="D404" s="134" t="inlineStr">
        <is>
          <t>lignans; flavonoids</t>
        </is>
      </c>
      <c r="E404" s="134" t="inlineStr">
        <is>
          <t>insufficient evidence</t>
        </is>
      </c>
      <c r="F404" s="134" t="inlineStr">
        <is>
          <t>serotonergic modulation</t>
        </is>
      </c>
      <c r="G404" s="134" t="inlineStr">
        <is>
          <t>HTR1A, HTR2A (serotonin receptors)</t>
        </is>
      </c>
      <c r="H404" s="134" t="inlineStr">
        <is>
          <t>rapid absorption; CNS penetration; hepatic metabolism</t>
        </is>
      </c>
      <c r="I404" s="134" t="inlineStr">
        <is>
          <t>low</t>
        </is>
      </c>
      <c r="J404" s="134" t="inlineStr">
        <is>
          <t>avoid with SSRIs/MAOIs; risk of serotonin syndrome</t>
        </is>
      </c>
      <c r="K404" s="134" t="n"/>
      <c r="L404" s="134" t="inlineStr">
        <is>
          <t>compound_level</t>
        </is>
      </c>
      <c r="M404" s="134" t="inlineStr">
        <is>
          <t>https://plants.sc.egov.usda.gov/home/search?query=urtica%20dioica | https://pubchem.ncbi.nlm.nih.gov/#query=serotonin</t>
        </is>
      </c>
      <c r="N404" s="134" t="inlineStr">
        <is>
          <t>trusted_gov_added</t>
        </is>
      </c>
      <c r="O404" s="134" t="inlineStr">
        <is>
          <t>PubChem compound page (NIH); USDA Plants database</t>
        </is>
      </c>
      <c r="P404" s="134" t="n"/>
      <c r="Q404" s="134" t="inlineStr">
        <is>
          <t>urtica-dioica</t>
        </is>
      </c>
      <c r="R404" s="134" t="n">
        <v>1</v>
      </c>
      <c r="S404" s="134" t="inlineStr">
        <is>
          <t>Yes</t>
        </is>
      </c>
      <c r="T404" s="134" t="inlineStr">
        <is>
          <t>Integrated from cleaned high-signal dataset</t>
        </is>
      </c>
    </row>
    <row r="405" ht="26" customHeight="1" s="76">
      <c r="A405" s="134" t="inlineStr">
        <is>
          <t>serpentine</t>
        </is>
      </c>
      <c r="B405" s="134" t="inlineStr">
        <is>
          <t>serpentine</t>
        </is>
      </c>
      <c r="C405" s="134" t="n"/>
      <c r="D405" s="134" t="inlineStr">
        <is>
          <t>other</t>
        </is>
      </c>
      <c r="E405" s="134" t="inlineStr">
        <is>
          <t>insufficient evidence</t>
        </is>
      </c>
      <c r="F405" s="134" t="inlineStr">
        <is>
          <t>multi-target signaling modulation</t>
        </is>
      </c>
      <c r="G405" s="134" t="inlineStr">
        <is>
          <t>general or unknown targets</t>
        </is>
      </c>
      <c r="H405" s="134" t="inlineStr">
        <is>
          <t>Absorption and bioavailability vary; some compounds metabolized via cytochrome P450 enzymes.</t>
        </is>
      </c>
      <c r="I405" s="134" t="inlineStr">
        <is>
          <t>low</t>
        </is>
      </c>
      <c r="J405" s="134" t="inlineStr">
        <is>
          <t>no well-documented interactions</t>
        </is>
      </c>
      <c r="K405" s="134" t="n"/>
      <c r="L405" s="134" t="inlineStr">
        <is>
          <t>compound_level</t>
        </is>
      </c>
      <c r="M405" s="134" t="inlineStr">
        <is>
          <t>https://plants.sc.egov.usda.gov/home/search?query=Rauvolfia%20serpentina | https://pubchem.ncbi.nlm.nih.gov/#query=serpentine</t>
        </is>
      </c>
      <c r="N405" s="134" t="inlineStr">
        <is>
          <t>inferred_plus_trusted_gov</t>
        </is>
      </c>
      <c r="O405" s="134" t="inlineStr">
        <is>
          <t>scientific name; PubChem compound page (NIH); USDA Plants database</t>
        </is>
      </c>
      <c r="P405" s="134" t="n"/>
      <c r="Q405" s="134" t="inlineStr">
        <is>
          <t>rauvolfia-serpentina</t>
        </is>
      </c>
      <c r="R405" s="134" t="n">
        <v>1</v>
      </c>
      <c r="S405" s="134" t="inlineStr">
        <is>
          <t>Yes</t>
        </is>
      </c>
      <c r="T405" s="134" t="inlineStr">
        <is>
          <t>Integrated from cleaned high-signal dataset</t>
        </is>
      </c>
    </row>
    <row r="406" ht="26" customHeight="1" s="76">
      <c r="A406" s="134" t="inlineStr">
        <is>
          <t>silica</t>
        </is>
      </c>
      <c r="B406" s="134" t="inlineStr">
        <is>
          <t>silica</t>
        </is>
      </c>
      <c r="C406" s="134" t="n"/>
      <c r="D406" s="134" t="inlineStr">
        <is>
          <t>Silica, flavonoids, alkaloids</t>
        </is>
      </c>
      <c r="E406" s="134" t="inlineStr">
        <is>
          <t>insufficient evidence</t>
        </is>
      </c>
      <c r="F406" s="134" t="inlineStr">
        <is>
          <t>multi-target signaling modulation</t>
        </is>
      </c>
      <c r="G406" s="134" t="inlineStr">
        <is>
          <t>general or unknown targets</t>
        </is>
      </c>
      <c r="H406" s="134" t="inlineStr">
        <is>
          <t>Oral; mineralizing and diuretic</t>
        </is>
      </c>
      <c r="I406" s="134" t="inlineStr">
        <is>
          <t>low</t>
        </is>
      </c>
      <c r="J406" s="134" t="inlineStr">
        <is>
          <t>no well-documented interactions</t>
        </is>
      </c>
      <c r="K406" s="134" t="n"/>
      <c r="L406" s="134" t="inlineStr">
        <is>
          <t>compound_level</t>
        </is>
      </c>
      <c r="M406" s="134" t="inlineStr">
        <is>
          <t>https://plants.sc.egov.usda.gov/home/search?query=Equisetum%20arvense | https://pubchem.ncbi.nlm.nih.gov/#query=silica</t>
        </is>
      </c>
      <c r="N406" s="134" t="inlineStr">
        <is>
          <t>inferred_plus_trusted_gov</t>
        </is>
      </c>
      <c r="O406" s="134" t="inlineStr">
        <is>
          <t>scientific name; PubChem compound page (NIH); USDA Plants database</t>
        </is>
      </c>
      <c r="P406" s="134" t="n"/>
      <c r="Q406" s="134" t="inlineStr">
        <is>
          <t>equisetum-arvense</t>
        </is>
      </c>
      <c r="R406" s="134" t="n">
        <v>1</v>
      </c>
      <c r="S406" s="134" t="inlineStr">
        <is>
          <t>Yes</t>
        </is>
      </c>
      <c r="T406" s="134" t="inlineStr">
        <is>
          <t>Integrated from cleaned high-signal dataset</t>
        </is>
      </c>
    </row>
    <row r="407" ht="26" customHeight="1" s="76">
      <c r="A407" s="134" t="inlineStr">
        <is>
          <t>silychristin</t>
        </is>
      </c>
      <c r="B407" s="134" t="inlineStr">
        <is>
          <t>silychristin)</t>
        </is>
      </c>
      <c r="C407" s="134" t="n"/>
      <c r="D407" s="134" t="inlineStr">
        <is>
          <t>other</t>
        </is>
      </c>
      <c r="E407" s="134" t="inlineStr">
        <is>
          <t>insufficient evidence</t>
        </is>
      </c>
      <c r="F407" s="134" t="inlineStr">
        <is>
          <t>multi-target signaling modulation</t>
        </is>
      </c>
      <c r="G407" s="134" t="inlineStr">
        <is>
          <t>general or unknown targets</t>
        </is>
      </c>
      <c r="H407" s="134" t="inlineStr">
        <is>
          <t>moderate absorption; hepatic metabolism</t>
        </is>
      </c>
      <c r="I407" s="134" t="inlineStr">
        <is>
          <t>low</t>
        </is>
      </c>
      <c r="J407" s="134" t="inlineStr">
        <is>
          <t>no well-documented interactions</t>
        </is>
      </c>
      <c r="K407" s="134" t="n"/>
      <c r="L407" s="134" t="inlineStr">
        <is>
          <t>compound_level</t>
        </is>
      </c>
      <c r="M407" s="134" t="inlineStr">
        <is>
          <t>https://plants.sc.egov.usda.gov/home/search?query=silybum%20marianum | https://pubchem.ncbi.nlm.nih.gov/#query=silychristin%29</t>
        </is>
      </c>
      <c r="N407" s="134" t="inlineStr">
        <is>
          <t>trusted_gov_added</t>
        </is>
      </c>
      <c r="O407" s="134" t="inlineStr">
        <is>
          <t>PubChem compound page (NIH); USDA Plants database</t>
        </is>
      </c>
      <c r="P407" s="134" t="n"/>
      <c r="Q407" s="134" t="inlineStr">
        <is>
          <t>milk-thistle</t>
        </is>
      </c>
      <c r="R407" s="134" t="n">
        <v>1</v>
      </c>
      <c r="S407" s="134" t="inlineStr">
        <is>
          <t>Yes</t>
        </is>
      </c>
      <c r="T407" s="134" t="inlineStr">
        <is>
          <t>Integrated from cleaned high-signal dataset</t>
        </is>
      </c>
    </row>
    <row r="408" ht="26" customHeight="1" s="76">
      <c r="A408" s="134" t="inlineStr">
        <is>
          <t>silydianin</t>
        </is>
      </c>
      <c r="B408" s="134" t="inlineStr">
        <is>
          <t>silydianin</t>
        </is>
      </c>
      <c r="C408" s="134" t="n"/>
      <c r="D408" s="134" t="inlineStr">
        <is>
          <t>other</t>
        </is>
      </c>
      <c r="E408" s="134" t="inlineStr">
        <is>
          <t>insufficient evidence</t>
        </is>
      </c>
      <c r="F408" s="134" t="inlineStr">
        <is>
          <t>multi-target signaling modulation</t>
        </is>
      </c>
      <c r="G408" s="134" t="inlineStr">
        <is>
          <t>general or unknown targets</t>
        </is>
      </c>
      <c r="H408" s="134" t="inlineStr">
        <is>
          <t>moderate absorption; hepatic metabolism</t>
        </is>
      </c>
      <c r="I408" s="134" t="inlineStr">
        <is>
          <t>low</t>
        </is>
      </c>
      <c r="J408" s="134" t="inlineStr">
        <is>
          <t>no well-documented interactions</t>
        </is>
      </c>
      <c r="K408" s="134" t="n"/>
      <c r="L408" s="134" t="inlineStr">
        <is>
          <t>compound_level</t>
        </is>
      </c>
      <c r="M408" s="134" t="inlineStr">
        <is>
          <t>https://plants.sc.egov.usda.gov/home/search?query=silybum%20marianum | https://pubchem.ncbi.nlm.nih.gov/#query=silydianin</t>
        </is>
      </c>
      <c r="N408" s="134" t="inlineStr">
        <is>
          <t>trusted_gov_added</t>
        </is>
      </c>
      <c r="O408" s="134" t="inlineStr">
        <is>
          <t>PubChem compound page (NIH); USDA Plants database</t>
        </is>
      </c>
      <c r="P408" s="134" t="n"/>
      <c r="Q408" s="134" t="inlineStr">
        <is>
          <t>milk-thistle</t>
        </is>
      </c>
      <c r="R408" s="134" t="n">
        <v>1</v>
      </c>
      <c r="S408" s="134" t="inlineStr">
        <is>
          <t>Yes</t>
        </is>
      </c>
      <c r="T408" s="134" t="inlineStr">
        <is>
          <t>Integrated from cleaned high-signal dataset</t>
        </is>
      </c>
    </row>
    <row r="409" ht="26" customHeight="1" s="76">
      <c r="A409" s="134" t="inlineStr">
        <is>
          <t>silymarin silibinin</t>
        </is>
      </c>
      <c r="B409" s="134" t="inlineStr">
        <is>
          <t>silymarin (silibinin</t>
        </is>
      </c>
      <c r="C409" s="134" t="n"/>
      <c r="D409" s="134" t="inlineStr">
        <is>
          <t>other</t>
        </is>
      </c>
      <c r="E409" s="134" t="inlineStr">
        <is>
          <t>insufficient evidence</t>
        </is>
      </c>
      <c r="F409" s="134" t="inlineStr">
        <is>
          <t>multi-target signaling modulation</t>
        </is>
      </c>
      <c r="G409" s="134" t="inlineStr">
        <is>
          <t>general or unknown targets</t>
        </is>
      </c>
      <c r="H409" s="134" t="inlineStr">
        <is>
          <t>moderate absorption; hepatic metabolism</t>
        </is>
      </c>
      <c r="I409" s="134" t="inlineStr">
        <is>
          <t>low</t>
        </is>
      </c>
      <c r="J409" s="134" t="inlineStr">
        <is>
          <t>no well-documented interactions</t>
        </is>
      </c>
      <c r="K409" s="134" t="n"/>
      <c r="L409" s="134" t="inlineStr">
        <is>
          <t>compound_level</t>
        </is>
      </c>
      <c r="M409" s="134" t="inlineStr">
        <is>
          <t>https://plants.sc.egov.usda.gov/home/search?query=silybum%20marianum | https://pubchem.ncbi.nlm.nih.gov/#query=silymarin%20%28silibinin</t>
        </is>
      </c>
      <c r="N409" s="134" t="inlineStr">
        <is>
          <t>trusted_gov_added</t>
        </is>
      </c>
      <c r="O409" s="134" t="inlineStr">
        <is>
          <t>PubChem compound page (NIH); USDA Plants database</t>
        </is>
      </c>
      <c r="P409" s="134" t="n"/>
      <c r="Q409" s="134" t="inlineStr">
        <is>
          <t>silybum-marianum</t>
        </is>
      </c>
      <c r="R409" s="134" t="n">
        <v>1</v>
      </c>
      <c r="S409" s="134" t="inlineStr">
        <is>
          <t>Yes</t>
        </is>
      </c>
      <c r="T409" s="134" t="inlineStr">
        <is>
          <t>Integrated from cleaned high-signal dataset</t>
        </is>
      </c>
    </row>
    <row r="410" ht="26" customHeight="1" s="76">
      <c r="A410" s="134" t="inlineStr">
        <is>
          <t>sinigrin</t>
        </is>
      </c>
      <c r="B410" s="134" t="inlineStr">
        <is>
          <t>sinigrin</t>
        </is>
      </c>
      <c r="C410" s="134" t="n"/>
      <c r="D410" s="134" t="inlineStr">
        <is>
          <t>other</t>
        </is>
      </c>
      <c r="E410" s="134" t="inlineStr">
        <is>
          <t>insufficient evidence</t>
        </is>
      </c>
      <c r="F410" s="134" t="inlineStr">
        <is>
          <t>multi-target signaling modulation</t>
        </is>
      </c>
      <c r="G410" s="134" t="inlineStr">
        <is>
          <t>general or unknown targets</t>
        </is>
      </c>
      <c r="H410" s="134" t="inlineStr">
        <is>
          <t>Absorption and bioavailability vary; some compounds metabolized via cytochrome P450 enzymes.</t>
        </is>
      </c>
      <c r="I410" s="134" t="inlineStr">
        <is>
          <t>low</t>
        </is>
      </c>
      <c r="J410" s="134" t="inlineStr">
        <is>
          <t>no well-documented interactions</t>
        </is>
      </c>
      <c r="K410" s="134" t="n"/>
      <c r="L410" s="134" t="inlineStr">
        <is>
          <t>compound_level</t>
        </is>
      </c>
      <c r="M410" s="134" t="inlineStr">
        <is>
          <t>https://plants.sc.egov.usda.gov/home/search?query=Armoracia%20rusticana | https://pubchem.ncbi.nlm.nih.gov/#query=sinigrin</t>
        </is>
      </c>
      <c r="N410" s="134" t="inlineStr">
        <is>
          <t>inferred_plus_trusted_gov</t>
        </is>
      </c>
      <c r="O410" s="134" t="inlineStr">
        <is>
          <t>scientific name; PubChem compound page (NIH); USDA Plants database</t>
        </is>
      </c>
      <c r="P410" s="134" t="n"/>
      <c r="Q410" s="134" t="inlineStr">
        <is>
          <t>armoracia-rusticana</t>
        </is>
      </c>
      <c r="R410" s="134" t="n">
        <v>1</v>
      </c>
      <c r="S410" s="134" t="inlineStr">
        <is>
          <t>Yes</t>
        </is>
      </c>
      <c r="T410" s="134" t="inlineStr">
        <is>
          <t>Integrated from cleaned high-signal dataset</t>
        </is>
      </c>
    </row>
    <row r="411" ht="26" customHeight="1" s="76">
      <c r="A411" s="134" t="inlineStr">
        <is>
          <t>skimmianine</t>
        </is>
      </c>
      <c r="B411" s="134" t="inlineStr">
        <is>
          <t>skimmianine</t>
        </is>
      </c>
      <c r="C411" s="134" t="n"/>
      <c r="D411" s="134" t="inlineStr">
        <is>
          <t>coumarins</t>
        </is>
      </c>
      <c r="E411" s="134" t="inlineStr">
        <is>
          <t>insufficient evidence</t>
        </is>
      </c>
      <c r="F411" s="134" t="inlineStr">
        <is>
          <t>multi-target signaling modulation</t>
        </is>
      </c>
      <c r="G411" s="134" t="inlineStr">
        <is>
          <t>general or unknown targets</t>
        </is>
      </c>
      <c r="H411" s="134" t="inlineStr">
        <is>
          <t>moderate absorption; hepatic metabolism</t>
        </is>
      </c>
      <c r="I411" s="134" t="inlineStr">
        <is>
          <t>low</t>
        </is>
      </c>
      <c r="J411" s="134" t="inlineStr">
        <is>
          <t>no well-documented interactions</t>
        </is>
      </c>
      <c r="K411" s="134" t="n"/>
      <c r="L411" s="134" t="inlineStr">
        <is>
          <t>compound_level</t>
        </is>
      </c>
      <c r="M411" s="134" t="inlineStr">
        <is>
          <t>https://plants.sc.egov.usda.gov/home/search?query=aegle%20marmelos | https://pubchem.ncbi.nlm.nih.gov/#query=skimmianine</t>
        </is>
      </c>
      <c r="N411" s="134" t="inlineStr">
        <is>
          <t>trusted_gov_added</t>
        </is>
      </c>
      <c r="O411" s="134" t="inlineStr">
        <is>
          <t>PubChem compound page (NIH); USDA Plants database</t>
        </is>
      </c>
      <c r="P411" s="134" t="n"/>
      <c r="Q411" s="134" t="inlineStr">
        <is>
          <t>aegle-marmelos</t>
        </is>
      </c>
      <c r="R411" s="134" t="n">
        <v>1</v>
      </c>
      <c r="S411" s="134" t="inlineStr">
        <is>
          <t>Yes</t>
        </is>
      </c>
      <c r="T411" s="134" t="inlineStr">
        <is>
          <t>Integrated from cleaned high-signal dataset</t>
        </is>
      </c>
    </row>
    <row r="412" ht="26" customHeight="1" s="76">
      <c r="A412" s="134" t="inlineStr">
        <is>
          <t>solamargine</t>
        </is>
      </c>
      <c r="B412" s="134" t="inlineStr">
        <is>
          <t>solamargine</t>
        </is>
      </c>
      <c r="C412" s="134" t="n"/>
      <c r="D412" s="134" t="inlineStr">
        <is>
          <t>Solanine, solamargine, flavonoids</t>
        </is>
      </c>
      <c r="E412" s="134" t="inlineStr">
        <is>
          <t>insufficient evidence</t>
        </is>
      </c>
      <c r="F412" s="134" t="inlineStr">
        <is>
          <t>multi-target signaling modulation</t>
        </is>
      </c>
      <c r="G412" s="134" t="inlineStr">
        <is>
          <t>general or unknown targets</t>
        </is>
      </c>
      <c r="H412" s="134" t="inlineStr">
        <is>
          <t>Oral; antitumor and cytotoxic effects</t>
        </is>
      </c>
      <c r="I412" s="134" t="inlineStr">
        <is>
          <t>low</t>
        </is>
      </c>
      <c r="J412" s="134" t="inlineStr">
        <is>
          <t>no well-documented interactions</t>
        </is>
      </c>
      <c r="K412" s="134" t="n"/>
      <c r="L412" s="134" t="inlineStr">
        <is>
          <t>compound_level</t>
        </is>
      </c>
      <c r="M412" s="134" t="inlineStr">
        <is>
          <t>https://plants.sc.egov.usda.gov/home/search?query=Solanum%20nigrum | https://pubchem.ncbi.nlm.nih.gov/#query=solamargine</t>
        </is>
      </c>
      <c r="N412" s="134" t="inlineStr">
        <is>
          <t>inferred_plus_trusted_gov</t>
        </is>
      </c>
      <c r="O412" s="134" t="inlineStr">
        <is>
          <t>scientific name; PubChem compound page (NIH); USDA Plants database</t>
        </is>
      </c>
      <c r="P412" s="134" t="n"/>
      <c r="Q412" s="134" t="inlineStr">
        <is>
          <t>solanum-nigrum</t>
        </is>
      </c>
      <c r="R412" s="134" t="n">
        <v>1</v>
      </c>
      <c r="S412" s="134" t="inlineStr">
        <is>
          <t>Yes</t>
        </is>
      </c>
      <c r="T412" s="134" t="inlineStr">
        <is>
          <t>Integrated from cleaned high-signal dataset</t>
        </is>
      </c>
    </row>
    <row r="413" ht="26" customHeight="1" s="76">
      <c r="A413" s="134" t="inlineStr">
        <is>
          <t>solanine</t>
        </is>
      </c>
      <c r="B413" s="134" t="inlineStr">
        <is>
          <t>solanine</t>
        </is>
      </c>
      <c r="C413" s="134" t="n"/>
      <c r="D413" s="134" t="inlineStr">
        <is>
          <t>Solanine, solamargine, flavonoids</t>
        </is>
      </c>
      <c r="E413" s="134" t="inlineStr">
        <is>
          <t>insufficient evidence</t>
        </is>
      </c>
      <c r="F413" s="134" t="inlineStr">
        <is>
          <t>multi-target signaling modulation</t>
        </is>
      </c>
      <c r="G413" s="134" t="inlineStr">
        <is>
          <t>general or unknown targets</t>
        </is>
      </c>
      <c r="H413" s="134" t="inlineStr">
        <is>
          <t>Oral; antitumor and cytotoxic effects</t>
        </is>
      </c>
      <c r="I413" s="134" t="inlineStr">
        <is>
          <t>low</t>
        </is>
      </c>
      <c r="J413" s="134" t="inlineStr">
        <is>
          <t>no well-documented interactions</t>
        </is>
      </c>
      <c r="K413" s="134" t="n"/>
      <c r="L413" s="134" t="inlineStr">
        <is>
          <t>compound_level</t>
        </is>
      </c>
      <c r="M413" s="134" t="inlineStr">
        <is>
          <t>https://plants.sc.egov.usda.gov/home/search?query=Solanum%20nigrum | https://pubchem.ncbi.nlm.nih.gov/#query=solanine</t>
        </is>
      </c>
      <c r="N413" s="134" t="inlineStr">
        <is>
          <t>inferred_plus_trusted_gov</t>
        </is>
      </c>
      <c r="O413" s="134" t="inlineStr">
        <is>
          <t>scientific name; PubChem compound page (NIH); USDA Plants database</t>
        </is>
      </c>
      <c r="P413" s="134" t="n"/>
      <c r="Q413" s="134" t="inlineStr">
        <is>
          <t>solanum-nigrum</t>
        </is>
      </c>
      <c r="R413" s="134" t="n">
        <v>1</v>
      </c>
      <c r="S413" s="134" t="inlineStr">
        <is>
          <t>Yes</t>
        </is>
      </c>
      <c r="T413" s="134" t="inlineStr">
        <is>
          <t>Integrated from cleaned high-signal dataset</t>
        </is>
      </c>
    </row>
    <row r="414" ht="26" customHeight="1" s="76">
      <c r="A414" s="134" t="inlineStr">
        <is>
          <t>spilanthol</t>
        </is>
      </c>
      <c r="B414" s="134" t="inlineStr">
        <is>
          <t>spilanthol</t>
        </is>
      </c>
      <c r="C414" s="134" t="n"/>
      <c r="D414" s="134" t="inlineStr">
        <is>
          <t>other</t>
        </is>
      </c>
      <c r="E414" s="134" t="inlineStr">
        <is>
          <t>Spilanthol activates trigeminal sensory pathways and may modulate ion channels; detailed receptor mapping remains limited.</t>
        </is>
      </c>
      <c r="F414" s="134" t="inlineStr">
        <is>
          <t>multi-target signaling modulation</t>
        </is>
      </c>
      <c r="G414" s="134" t="inlineStr">
        <is>
          <t>general or unknown targets</t>
        </is>
      </c>
      <c r="H414" s="134" t="inlineStr">
        <is>
          <t>Absorption and bioavailability vary; some compounds metabolized via cytochrome P450 enzymes.</t>
        </is>
      </c>
      <c r="I414" s="134" t="inlineStr">
        <is>
          <t>low</t>
        </is>
      </c>
      <c r="J414" s="134" t="inlineStr">
        <is>
          <t>no well-documented interactions</t>
        </is>
      </c>
      <c r="K414" s="134" t="n"/>
      <c r="L414" s="134" t="inlineStr">
        <is>
          <t>compound_level</t>
        </is>
      </c>
      <c r="M414" s="134" t="inlineStr">
        <is>
          <t>https://plants.sc.egov.usda.gov/home/search?query=Acmella%20oleracea | https://plants.sc.egov.usda.gov/home/search?query=toothache%20plant | https://pubchem.ncbi.nlm.nih.gov/#query=spilanthol</t>
        </is>
      </c>
      <c r="N414" s="134" t="inlineStr">
        <is>
          <t>inferred_plus_trusted_gov; trusted_gov_added</t>
        </is>
      </c>
      <c r="O414" s="134" t="inlineStr">
        <is>
          <t>PubChem compound page (NIH); USDA Plants database; scientific name; PubChem compound page (NIH); USDA Plants database</t>
        </is>
      </c>
      <c r="P414" s="134" t="n"/>
      <c r="Q414" s="134" t="inlineStr">
        <is>
          <t>acmella-oleracea</t>
        </is>
      </c>
      <c r="R414" s="134" t="n">
        <v>1</v>
      </c>
      <c r="S414" s="134" t="inlineStr">
        <is>
          <t>Yes</t>
        </is>
      </c>
      <c r="T414" s="134" t="inlineStr">
        <is>
          <t>Integrated from cleaned high-signal dataset</t>
        </is>
      </c>
    </row>
    <row r="415" ht="26" customHeight="1" s="76">
      <c r="A415" s="134" t="inlineStr">
        <is>
          <t>stachydrine</t>
        </is>
      </c>
      <c r="B415" s="134" t="inlineStr">
        <is>
          <t>stachydrine</t>
        </is>
      </c>
      <c r="C415" s="134" t="n"/>
      <c r="D415" s="134" t="inlineStr">
        <is>
          <t>other</t>
        </is>
      </c>
      <c r="E415" s="134" t="inlineStr">
        <is>
          <t>insufficient evidence</t>
        </is>
      </c>
      <c r="F415" s="134" t="inlineStr">
        <is>
          <t>multi-target signaling modulation</t>
        </is>
      </c>
      <c r="G415" s="134" t="inlineStr">
        <is>
          <t>general or unknown targets</t>
        </is>
      </c>
      <c r="H415" s="134" t="inlineStr">
        <is>
          <t>Oral; uterine and cardiotonic</t>
        </is>
      </c>
      <c r="I415" s="134" t="inlineStr">
        <is>
          <t>low</t>
        </is>
      </c>
      <c r="J415" s="134" t="inlineStr">
        <is>
          <t>no well-documented interactions</t>
        </is>
      </c>
      <c r="K415" s="134" t="n"/>
      <c r="L415" s="134" t="inlineStr">
        <is>
          <t>compound_level</t>
        </is>
      </c>
      <c r="M415" s="134" t="inlineStr">
        <is>
          <t>https://plants.sc.egov.usda.gov/home/search?query=Leonurus%20cardiaca | https://plants.sc.egov.usda.gov/home/search?query=Leonurus%20japonicus | https://pubchem.ncbi.nlm.nih.gov/#query=stachydrine</t>
        </is>
      </c>
      <c r="N415" s="134" t="inlineStr">
        <is>
          <t>inferred_plus_trusted_gov</t>
        </is>
      </c>
      <c r="O415" s="134" t="inlineStr">
        <is>
          <t>scientific name; PubChem compound page (NIH); USDA Plants database</t>
        </is>
      </c>
      <c r="P415" s="134" t="n"/>
      <c r="Q415" s="134" t="inlineStr">
        <is>
          <t>leonurus-cardiaca; leonurus-japonicus</t>
        </is>
      </c>
      <c r="R415" s="134" t="n">
        <v>2</v>
      </c>
      <c r="S415" s="134" t="inlineStr">
        <is>
          <t>Yes</t>
        </is>
      </c>
      <c r="T415" s="134" t="inlineStr">
        <is>
          <t>Integrated from cleaned high-signal dataset</t>
        </is>
      </c>
    </row>
    <row r="416" ht="26" customHeight="1" s="76">
      <c r="A416" s="134" t="inlineStr">
        <is>
          <t>sulforaphane</t>
        </is>
      </c>
      <c r="B416" s="134" t="inlineStr">
        <is>
          <t>sulforaphane</t>
        </is>
      </c>
      <c r="C416" s="134" t="n"/>
      <c r="D416" s="134" t="inlineStr">
        <is>
          <t>isothiocyanate</t>
        </is>
      </c>
      <c r="E416" s="134" t="inlineStr">
        <is>
          <t>Activates Nrf2 pathway and phase II detox enzymes</t>
        </is>
      </c>
      <c r="F416" s="134" t="n"/>
      <c r="G416" s="134" t="inlineStr">
        <is>
          <t>NRF2 activation; phase II enzyme induction</t>
        </is>
      </c>
      <c r="H416" s="134" t="n"/>
      <c r="I416" s="134" t="n"/>
      <c r="J416" s="134" t="inlineStr">
        <is>
          <t>CYP modulation (possible)</t>
        </is>
      </c>
      <c r="K416" s="134" t="n"/>
      <c r="L416" s="134" t="inlineStr">
        <is>
          <t>Batch9</t>
        </is>
      </c>
      <c r="M416" s="134" t="n"/>
      <c r="N416" s="134" t="n"/>
      <c r="O416" s="134" t="n"/>
      <c r="P416" s="134" t="inlineStr">
        <is>
          <t>master_monographs_v3.xlsx</t>
        </is>
      </c>
      <c r="Q416" s="134" t="n"/>
      <c r="R416" s="134" t="n">
        <v>0</v>
      </c>
      <c r="S416" s="134" t="inlineStr">
        <is>
          <t>No</t>
        </is>
      </c>
      <c r="T416" s="134" t="inlineStr">
        <is>
          <t>Integrated from compound monograph workbook</t>
        </is>
      </c>
    </row>
    <row r="417" ht="26" customHeight="1" s="76">
      <c r="A417" s="134" t="inlineStr">
        <is>
          <t>swertiamarin</t>
        </is>
      </c>
      <c r="B417" s="134" t="inlineStr">
        <is>
          <t>swertiamarin</t>
        </is>
      </c>
      <c r="C417" s="134" t="n"/>
      <c r="D417" s="134" t="inlineStr">
        <is>
          <t>other</t>
        </is>
      </c>
      <c r="E417" s="134" t="inlineStr">
        <is>
          <t>insufficient evidence</t>
        </is>
      </c>
      <c r="F417" s="134" t="inlineStr">
        <is>
          <t>multi-target signaling modulation</t>
        </is>
      </c>
      <c r="G417" s="134" t="inlineStr">
        <is>
          <t>general or unknown targets</t>
        </is>
      </c>
      <c r="H417" s="134" t="inlineStr">
        <is>
          <t>Absorption and bioavailability vary; some compounds metabolized via cytochrome P450 enzymes.</t>
        </is>
      </c>
      <c r="I417" s="134" t="inlineStr">
        <is>
          <t>low</t>
        </is>
      </c>
      <c r="J417" s="134" t="inlineStr">
        <is>
          <t>no well-documented interactions</t>
        </is>
      </c>
      <c r="K417" s="134" t="n"/>
      <c r="L417" s="134" t="inlineStr">
        <is>
          <t>compound_level</t>
        </is>
      </c>
      <c r="M417" s="134" t="inlineStr">
        <is>
          <t>https://plants.sc.egov.usda.gov/home/search?query=Centaurium%20erythraea | https://pubchem.ncbi.nlm.nih.gov/#query=swertiamarin</t>
        </is>
      </c>
      <c r="N417" s="134" t="inlineStr">
        <is>
          <t>inferred_plus_trusted_gov</t>
        </is>
      </c>
      <c r="O417" s="134" t="inlineStr">
        <is>
          <t>scientific name; PubChem compound page (NIH); USDA Plants database</t>
        </is>
      </c>
      <c r="P417" s="134" t="n"/>
      <c r="Q417" s="134" t="inlineStr">
        <is>
          <t>centaurium-erythraea</t>
        </is>
      </c>
      <c r="R417" s="134" t="n">
        <v>1</v>
      </c>
      <c r="S417" s="134" t="inlineStr">
        <is>
          <t>Yes</t>
        </is>
      </c>
      <c r="T417" s="134" t="inlineStr">
        <is>
          <t>Integrated from cleaned high-signal dataset</t>
        </is>
      </c>
    </row>
    <row r="418" ht="26" customHeight="1" s="76">
      <c r="A418" s="134" t="inlineStr">
        <is>
          <t>synephrine</t>
        </is>
      </c>
      <c r="B418" s="134" t="inlineStr">
        <is>
          <t>synephrine</t>
        </is>
      </c>
      <c r="C418" s="134" t="n"/>
      <c r="D418" s="134" t="inlineStr">
        <is>
          <t>Synephrine, flavonoids, limonene</t>
        </is>
      </c>
      <c r="E418" s="134" t="inlineStr">
        <is>
          <t>insufficient evidence</t>
        </is>
      </c>
      <c r="F418" s="134" t="inlineStr">
        <is>
          <t>multi-target signaling modulation</t>
        </is>
      </c>
      <c r="G418" s="134" t="inlineStr">
        <is>
          <t>general or unknown targets</t>
        </is>
      </c>
      <c r="H418" s="134" t="inlineStr">
        <is>
          <t>Oral; appetite suppressant and bronchodilator</t>
        </is>
      </c>
      <c r="I418" s="134" t="inlineStr">
        <is>
          <t>low</t>
        </is>
      </c>
      <c r="J418" s="134" t="inlineStr">
        <is>
          <t>no well-documented interactions</t>
        </is>
      </c>
      <c r="K418" s="134" t="n"/>
      <c r="L418" s="134" t="inlineStr">
        <is>
          <t>compound_level</t>
        </is>
      </c>
      <c r="M418" s="134" t="inlineStr">
        <is>
          <t>https://plants.sc.egov.usda.gov/home/search?query=Citrus%20aurantium | https://pubchem.ncbi.nlm.nih.gov/#query=synephrine</t>
        </is>
      </c>
      <c r="N418" s="134" t="inlineStr">
        <is>
          <t>inferred_plus_trusted_gov</t>
        </is>
      </c>
      <c r="O418" s="134" t="inlineStr">
        <is>
          <t>scientific name; PubChem compound page (NIH); USDA Plants database</t>
        </is>
      </c>
      <c r="P418" s="134" t="n"/>
      <c r="Q418" s="134" t="inlineStr">
        <is>
          <t>citrus-aurantium</t>
        </is>
      </c>
      <c r="R418" s="134" t="n">
        <v>1</v>
      </c>
      <c r="S418" s="134" t="inlineStr">
        <is>
          <t>Yes</t>
        </is>
      </c>
      <c r="T418" s="134" t="inlineStr">
        <is>
          <t>Integrated from cleaned high-signal dataset</t>
        </is>
      </c>
    </row>
    <row r="419" ht="26" customHeight="1" s="76">
      <c r="A419" s="134" t="inlineStr">
        <is>
          <t>taraxasterol</t>
        </is>
      </c>
      <c r="B419" s="134" t="inlineStr">
        <is>
          <t>taraxasterol</t>
        </is>
      </c>
      <c r="C419" s="134" t="n"/>
      <c r="D419" s="134" t="inlineStr">
        <is>
          <t>Taraxasterol, inulin, sesquiterpene lactones</t>
        </is>
      </c>
      <c r="E419" s="134" t="inlineStr">
        <is>
          <t>insufficient evidence</t>
        </is>
      </c>
      <c r="F419" s="134" t="inlineStr">
        <is>
          <t>multi-target signaling modulation</t>
        </is>
      </c>
      <c r="G419" s="134" t="inlineStr">
        <is>
          <t>general or unknown targets</t>
        </is>
      </c>
      <c r="H419" s="134" t="inlineStr">
        <is>
          <t>Oral; cholagogue and diuretic</t>
        </is>
      </c>
      <c r="I419" s="134" t="inlineStr">
        <is>
          <t>low</t>
        </is>
      </c>
      <c r="J419" s="134" t="inlineStr">
        <is>
          <t>no well-documented interactions</t>
        </is>
      </c>
      <c r="K419" s="134" t="n"/>
      <c r="L419" s="134" t="inlineStr">
        <is>
          <t>compound_level</t>
        </is>
      </c>
      <c r="M419" s="134" t="inlineStr">
        <is>
          <t>https://plants.sc.egov.usda.gov/home/search?query=Taraxacum%20officinale | https://pubchem.ncbi.nlm.nih.gov/#query=taraxasterol</t>
        </is>
      </c>
      <c r="N419" s="134" t="inlineStr">
        <is>
          <t>inferred_plus_trusted_gov</t>
        </is>
      </c>
      <c r="O419" s="134" t="inlineStr">
        <is>
          <t>scientific name; PubChem compound page (NIH); USDA Plants database</t>
        </is>
      </c>
      <c r="P419" s="134" t="n"/>
      <c r="Q419" s="134" t="inlineStr">
        <is>
          <t>taraxacum-officinale</t>
        </is>
      </c>
      <c r="R419" s="134" t="n">
        <v>1</v>
      </c>
      <c r="S419" s="134" t="inlineStr">
        <is>
          <t>Yes</t>
        </is>
      </c>
      <c r="T419" s="134" t="inlineStr">
        <is>
          <t>Integrated from cleaned high-signal dataset</t>
        </is>
      </c>
    </row>
    <row r="420" ht="26" customHeight="1" s="76">
      <c r="A420" s="134" t="inlineStr">
        <is>
          <t>taspine</t>
        </is>
      </c>
      <c r="B420" s="134" t="inlineStr">
        <is>
          <t>taspine</t>
        </is>
      </c>
      <c r="C420" s="134" t="n"/>
      <c r="D420" s="134" t="inlineStr">
        <is>
          <t>Proanthocyanidins, taspine, alkaloids</t>
        </is>
      </c>
      <c r="E420" s="134" t="inlineStr">
        <is>
          <t>insufficient evidence</t>
        </is>
      </c>
      <c r="F420" s="134" t="inlineStr">
        <is>
          <t>multi-target signaling modulation</t>
        </is>
      </c>
      <c r="G420" s="134" t="inlineStr">
        <is>
          <t>general or unknown targets</t>
        </is>
      </c>
      <c r="H420" s="134" t="inlineStr">
        <is>
          <t>Oral/topical; wound healing and antidiarrheal</t>
        </is>
      </c>
      <c r="I420" s="134" t="inlineStr">
        <is>
          <t>low</t>
        </is>
      </c>
      <c r="J420" s="134" t="inlineStr">
        <is>
          <t>no well-documented interactions</t>
        </is>
      </c>
      <c r="K420" s="134" t="n"/>
      <c r="L420" s="134" t="inlineStr">
        <is>
          <t>compound_level</t>
        </is>
      </c>
      <c r="M420" s="134" t="inlineStr">
        <is>
          <t>https://plants.sc.egov.usda.gov/home/search?query=Croton%20lechleri | https://pubchem.ncbi.nlm.nih.gov/#query=taspine</t>
        </is>
      </c>
      <c r="N420" s="134" t="inlineStr">
        <is>
          <t>inferred_plus_trusted_gov</t>
        </is>
      </c>
      <c r="O420" s="134" t="inlineStr">
        <is>
          <t>scientific name; PubChem compound page (NIH); USDA Plants database</t>
        </is>
      </c>
      <c r="P420" s="134" t="n"/>
      <c r="Q420" s="134" t="inlineStr">
        <is>
          <t>croton-lechleri</t>
        </is>
      </c>
      <c r="R420" s="134" t="n">
        <v>1</v>
      </c>
      <c r="S420" s="134" t="inlineStr">
        <is>
          <t>Yes</t>
        </is>
      </c>
      <c r="T420" s="134" t="inlineStr">
        <is>
          <t>Integrated from cleaned high-signal dataset</t>
        </is>
      </c>
    </row>
    <row r="421" ht="26" customHeight="1" s="76">
      <c r="A421" s="134" t="inlineStr">
        <is>
          <t>taurine</t>
        </is>
      </c>
      <c r="B421" s="134" t="inlineStr">
        <is>
          <t>taurine</t>
        </is>
      </c>
      <c r="C421" s="134" t="n"/>
      <c r="D421" s="134" t="inlineStr">
        <is>
          <t>amino sulfonic acid</t>
        </is>
      </c>
      <c r="E421" s="134" t="inlineStr">
        <is>
          <t>Modulates inhibitory neurotransmission and osmoregulation; interacts with GABAergic and glycinergic systems.</t>
        </is>
      </c>
      <c r="F421" s="134" t="n"/>
      <c r="G421" s="134" t="inlineStr">
        <is>
          <t>GABA receptor modulation; Glycine receptor modulation; Osmoregulation pathways</t>
        </is>
      </c>
      <c r="H421" s="134" t="inlineStr">
        <is>
          <t>Well absorbed orally; distributed widely in tissues.</t>
        </is>
      </c>
      <c r="I421" s="134" t="inlineStr">
        <is>
          <t>Generally well tolerated at typical intake levels.</t>
        </is>
      </c>
      <c r="J421" s="134" t="inlineStr">
        <is>
          <t>CNS depressants (possible additive inhibitory signaling).</t>
        </is>
      </c>
      <c r="K421" s="134" t="inlineStr">
        <is>
          <t>moderate</t>
        </is>
      </c>
      <c r="L421" s="134" t="inlineStr">
        <is>
          <t>Batch10</t>
        </is>
      </c>
      <c r="M421" s="134" t="n"/>
      <c r="N421" s="134" t="n"/>
      <c r="O421" s="134" t="n"/>
      <c r="P421" s="134" t="inlineStr">
        <is>
          <t>manual_batch10</t>
        </is>
      </c>
      <c r="Q421" s="134" t="n"/>
      <c r="R421" s="134" t="n">
        <v>0</v>
      </c>
      <c r="S421" s="134" t="inlineStr">
        <is>
          <t>No</t>
        </is>
      </c>
      <c r="T421" s="134" t="inlineStr">
        <is>
          <t>Integrated from compound monograph workbook</t>
        </is>
      </c>
    </row>
    <row r="422" ht="26" customHeight="1" s="76">
      <c r="A422" s="134" t="inlineStr">
        <is>
          <t>tephrosin</t>
        </is>
      </c>
      <c r="B422" s="134" t="inlineStr">
        <is>
          <t>tephrosin</t>
        </is>
      </c>
      <c r="C422" s="134" t="n"/>
      <c r="D422" s="134" t="inlineStr">
        <is>
          <t>other</t>
        </is>
      </c>
      <c r="E422" s="134" t="inlineStr">
        <is>
          <t>insufficient evidence</t>
        </is>
      </c>
      <c r="F422" s="134" t="inlineStr">
        <is>
          <t>muscarinic receptor interaction</t>
        </is>
      </c>
      <c r="G422" s="134" t="inlineStr">
        <is>
          <t>cholinergic_modulation</t>
        </is>
      </c>
      <c r="H422" s="134" t="inlineStr">
        <is>
          <t>rapid systemic absorption; crosses BBB; hepatic metabolism</t>
        </is>
      </c>
      <c r="I422" s="134" t="inlineStr">
        <is>
          <t>low</t>
        </is>
      </c>
      <c r="J422" s="134" t="inlineStr">
        <is>
          <t>no well-documented interactions</t>
        </is>
      </c>
      <c r="K422" s="134" t="n"/>
      <c r="L422" s="134" t="inlineStr">
        <is>
          <t>compound_level</t>
        </is>
      </c>
      <c r="M422" s="134" t="inlineStr">
        <is>
          <t>https://plants.sc.egov.usda.gov/home/search?query=amorpha%20fruticosa | https://pubchem.ncbi.nlm.nih.gov/#query=tephrosin</t>
        </is>
      </c>
      <c r="N422" s="134" t="inlineStr">
        <is>
          <t>trusted_gov_added</t>
        </is>
      </c>
      <c r="O422" s="134" t="inlineStr">
        <is>
          <t>PubChem compound page (NIH); USDA Plants database</t>
        </is>
      </c>
      <c r="P422" s="134" t="n"/>
      <c r="Q422" s="134" t="inlineStr">
        <is>
          <t>amorpha-fruticosa</t>
        </is>
      </c>
      <c r="R422" s="134" t="n">
        <v>1</v>
      </c>
      <c r="S422" s="134" t="inlineStr">
        <is>
          <t>Yes</t>
        </is>
      </c>
      <c r="T422" s="134" t="inlineStr">
        <is>
          <t>Integrated from cleaned high-signal dataset</t>
        </is>
      </c>
    </row>
    <row r="423" ht="26" customHeight="1" s="76">
      <c r="A423" s="134" t="inlineStr">
        <is>
          <t>terpinen-4-ol</t>
        </is>
      </c>
      <c r="B423" s="134" t="inlineStr">
        <is>
          <t>terpinen-4-ol</t>
        </is>
      </c>
      <c r="C423" s="134" t="n"/>
      <c r="D423" s="134" t="inlineStr">
        <is>
          <t>Terpinen-4-ol, cineole, monoterpenes</t>
        </is>
      </c>
      <c r="E423" s="134" t="inlineStr">
        <is>
          <t>insufficient evidence</t>
        </is>
      </c>
      <c r="F423" s="134" t="inlineStr">
        <is>
          <t>multi-target signaling modulation</t>
        </is>
      </c>
      <c r="G423" s="134" t="inlineStr">
        <is>
          <t>general or unknown targets</t>
        </is>
      </c>
      <c r="H423" s="134" t="inlineStr">
        <is>
          <t>Topical; antiseptic and anti-inflammatory</t>
        </is>
      </c>
      <c r="I423" s="134" t="inlineStr">
        <is>
          <t>low</t>
        </is>
      </c>
      <c r="J423" s="134" t="inlineStr">
        <is>
          <t>no well-documented interactions</t>
        </is>
      </c>
      <c r="K423" s="134" t="n"/>
      <c r="L423" s="134" t="inlineStr">
        <is>
          <t>compound_level</t>
        </is>
      </c>
      <c r="M423" s="134" t="inlineStr">
        <is>
          <t>https://plants.sc.egov.usda.gov/home/search?query=Melaleuca%20alternifolia | https://pubchem.ncbi.nlm.nih.gov/#query=terpinen-4-ol</t>
        </is>
      </c>
      <c r="N423" s="134" t="inlineStr">
        <is>
          <t>inferred_plus_trusted_gov</t>
        </is>
      </c>
      <c r="O423" s="134" t="inlineStr">
        <is>
          <t>scientific name; PubChem compound page (NIH); USDA Plants database</t>
        </is>
      </c>
      <c r="P423" s="134" t="n"/>
      <c r="Q423" s="134" t="inlineStr">
        <is>
          <t>melaleuca-alternifolia</t>
        </is>
      </c>
      <c r="R423" s="134" t="n">
        <v>1</v>
      </c>
      <c r="S423" s="134" t="inlineStr">
        <is>
          <t>Yes</t>
        </is>
      </c>
      <c r="T423" s="134" t="inlineStr">
        <is>
          <t>Integrated from cleaned high-signal dataset</t>
        </is>
      </c>
    </row>
    <row r="424" ht="26" customHeight="1" s="76">
      <c r="A424" s="134" t="inlineStr">
        <is>
          <t>tetrahydroharmine</t>
        </is>
      </c>
      <c r="B424" s="134" t="inlineStr">
        <is>
          <t>tetrahydroharmine</t>
        </is>
      </c>
      <c r="C424" s="134" t="n"/>
      <c r="D424" s="134" t="inlineStr">
        <is>
          <t>other</t>
        </is>
      </c>
      <c r="E424" s="134" t="inlineStr">
        <is>
          <t>Beta-carboline alkaloids act as reversible MAO-A inhibitors, allowing oral activity of DMT and modulating serotonergic signaling.</t>
        </is>
      </c>
      <c r="F424" s="134" t="inlineStr">
        <is>
          <t>multi-target signaling modulation</t>
        </is>
      </c>
      <c r="G424" s="134" t="inlineStr">
        <is>
          <t>monoamine_oxidase_inhibition; serotonergic_5HT2A_agonism</t>
        </is>
      </c>
      <c r="H424" s="134" t="inlineStr">
        <is>
          <t>moderate absorption; hepatic metabolism</t>
        </is>
      </c>
      <c r="I424" s="134" t="inlineStr">
        <is>
          <t>low</t>
        </is>
      </c>
      <c r="J424" s="134" t="inlineStr">
        <is>
          <t>no well-documented interactions</t>
        </is>
      </c>
      <c r="K424" s="134" t="n"/>
      <c r="L424" s="134" t="inlineStr">
        <is>
          <t>compound_level</t>
        </is>
      </c>
      <c r="M424" s="134" t="inlineStr">
        <is>
          <t>https://plants.sc.egov.usda.gov/home/search?query=banisteriopsis%20caapi | https://pubchem.ncbi.nlm.nih.gov/#query=tetrahydroharmine</t>
        </is>
      </c>
      <c r="N424" s="134" t="inlineStr">
        <is>
          <t>trusted_gov_added</t>
        </is>
      </c>
      <c r="O424" s="134" t="inlineStr">
        <is>
          <t>PubChem compound page (NIH); USDA Plants database</t>
        </is>
      </c>
      <c r="P424" s="134" t="n"/>
      <c r="Q424" s="134" t="inlineStr">
        <is>
          <t>banisteriopsis-caapi</t>
        </is>
      </c>
      <c r="R424" s="134" t="n">
        <v>1</v>
      </c>
      <c r="S424" s="134" t="inlineStr">
        <is>
          <t>Yes</t>
        </is>
      </c>
      <c r="T424" s="134" t="inlineStr">
        <is>
          <t>Integrated from cleaned high-signal dataset</t>
        </is>
      </c>
    </row>
    <row r="425" ht="26" customHeight="1" s="76">
      <c r="A425" s="134" t="inlineStr">
        <is>
          <t>tetrahydropalmatine</t>
        </is>
      </c>
      <c r="B425" s="134" t="inlineStr">
        <is>
          <t>tetrahydropalmatine</t>
        </is>
      </c>
      <c r="C425" s="134" t="n"/>
      <c r="D425" s="134" t="inlineStr">
        <is>
          <t>other</t>
        </is>
      </c>
      <c r="E425" s="134" t="inlineStr">
        <is>
          <t>insufficient evidence</t>
        </is>
      </c>
      <c r="F425" s="134" t="inlineStr">
        <is>
          <t>multi-target signaling modulation</t>
        </is>
      </c>
      <c r="G425" s="134" t="inlineStr">
        <is>
          <t>dopaminergic_modulation</t>
        </is>
      </c>
      <c r="H425" s="134" t="inlineStr">
        <is>
          <t>moderate absorption; hepatic metabolism</t>
        </is>
      </c>
      <c r="I425" s="134" t="inlineStr">
        <is>
          <t>low</t>
        </is>
      </c>
      <c r="J425" s="134" t="inlineStr">
        <is>
          <t>no well-documented interactions</t>
        </is>
      </c>
      <c r="K425" s="134" t="n"/>
      <c r="L425" s="134" t="inlineStr">
        <is>
          <t>compound_level</t>
        </is>
      </c>
      <c r="M425" s="134" t="inlineStr">
        <is>
          <t>https://plants.sc.egov.usda.gov/home/search?query=corydalis%20yanhusuo | https://pubchem.ncbi.nlm.nih.gov/#query=tetrahydropalmatine</t>
        </is>
      </c>
      <c r="N425" s="134" t="inlineStr">
        <is>
          <t>trusted_gov_added</t>
        </is>
      </c>
      <c r="O425" s="134" t="inlineStr">
        <is>
          <t>PubChem compound page (NIH); USDA Plants database</t>
        </is>
      </c>
      <c r="P425" s="134" t="n"/>
      <c r="Q425" s="134" t="inlineStr">
        <is>
          <t>corydalis-yanhusuo</t>
        </is>
      </c>
      <c r="R425" s="134" t="n">
        <v>1</v>
      </c>
      <c r="S425" s="134" t="inlineStr">
        <is>
          <t>Yes</t>
        </is>
      </c>
      <c r="T425" s="134" t="inlineStr">
        <is>
          <t>Integrated from cleaned high-signal dataset</t>
        </is>
      </c>
    </row>
    <row r="426" ht="26" customHeight="1" s="76">
      <c r="A426" s="134" t="inlineStr">
        <is>
          <t>tetramethylpyrazine</t>
        </is>
      </c>
      <c r="B426" s="134" t="inlineStr">
        <is>
          <t>tetramethylpyrazine</t>
        </is>
      </c>
      <c r="C426" s="134" t="n"/>
      <c r="D426" s="134" t="inlineStr">
        <is>
          <t>other</t>
        </is>
      </c>
      <c r="E426" s="134" t="inlineStr">
        <is>
          <t>insufficient evidence</t>
        </is>
      </c>
      <c r="F426" s="134" t="inlineStr">
        <is>
          <t>multi-target signaling modulation</t>
        </is>
      </c>
      <c r="G426" s="134" t="inlineStr">
        <is>
          <t>general or unknown targets</t>
        </is>
      </c>
      <c r="H426" s="134" t="inlineStr">
        <is>
          <t>Absorption and bioavailability vary; some compounds metabolized via cytochrome P450 enzymes.</t>
        </is>
      </c>
      <c r="I426" s="134" t="inlineStr">
        <is>
          <t>low</t>
        </is>
      </c>
      <c r="J426" s="134" t="inlineStr">
        <is>
          <t>no well-documented interactions</t>
        </is>
      </c>
      <c r="K426" s="134" t="n"/>
      <c r="L426" s="134" t="inlineStr">
        <is>
          <t>compound_level</t>
        </is>
      </c>
      <c r="M426" s="134" t="inlineStr">
        <is>
          <t>https://plants.sc.egov.usda.gov/home/search?query=Ligusticum%20chuanxiong | https://pubchem.ncbi.nlm.nih.gov/#query=tetramethylpyrazine</t>
        </is>
      </c>
      <c r="N426" s="134" t="inlineStr">
        <is>
          <t>inferred_plus_trusted_gov</t>
        </is>
      </c>
      <c r="O426" s="134" t="inlineStr">
        <is>
          <t>scientific name; PubChem compound page (NIH); USDA Plants database</t>
        </is>
      </c>
      <c r="P426" s="134" t="n"/>
      <c r="Q426" s="134" t="inlineStr">
        <is>
          <t>ligusticum-chuanxiong</t>
        </is>
      </c>
      <c r="R426" s="134" t="n">
        <v>1</v>
      </c>
      <c r="S426" s="134" t="inlineStr">
        <is>
          <t>Yes</t>
        </is>
      </c>
      <c r="T426" s="134" t="inlineStr">
        <is>
          <t>Integrated from cleaned high-signal dataset</t>
        </is>
      </c>
    </row>
    <row r="427" ht="26" customHeight="1" s="76">
      <c r="A427" s="134" t="inlineStr">
        <is>
          <t>tetrandrine</t>
        </is>
      </c>
      <c r="B427" s="134" t="inlineStr">
        <is>
          <t>tetrandrine</t>
        </is>
      </c>
      <c r="C427" s="134" t="n"/>
      <c r="D427" s="134" t="inlineStr">
        <is>
          <t>biscoclaurine alkaloids</t>
        </is>
      </c>
      <c r="E427" s="134" t="inlineStr">
        <is>
          <t>insufficient evidence</t>
        </is>
      </c>
      <c r="F427" s="134" t="inlineStr">
        <is>
          <t>multi-target signaling modulation</t>
        </is>
      </c>
      <c r="G427" s="134" t="inlineStr">
        <is>
          <t>general or unknown targets</t>
        </is>
      </c>
      <c r="H427" s="134" t="inlineStr">
        <is>
          <t>Absorption and bioavailability vary; some compounds metabolized via cytochrome P450 enzymes.</t>
        </is>
      </c>
      <c r="I427" s="134" t="inlineStr">
        <is>
          <t>low</t>
        </is>
      </c>
      <c r="J427" s="134" t="inlineStr">
        <is>
          <t>no well-documented interactions</t>
        </is>
      </c>
      <c r="K427" s="134" t="n"/>
      <c r="L427" s="134" t="inlineStr">
        <is>
          <t>compound_level</t>
        </is>
      </c>
      <c r="M427" s="134" t="inlineStr">
        <is>
          <t>https://plants.sc.egov.usda.gov/home/search?query=Stephania%20cepharantha | https://plants.sc.egov.usda.gov/home/search?query=Stephania%20tetrandra | https://pubchem.ncbi.nlm.nih.gov/#query=tetrandrine</t>
        </is>
      </c>
      <c r="N427" s="134" t="inlineStr">
        <is>
          <t>inferred_plus_trusted_gov</t>
        </is>
      </c>
      <c r="O427" s="134" t="inlineStr">
        <is>
          <t>scientific name; PubChem compound page (NIH); USDA Plants database</t>
        </is>
      </c>
      <c r="P427" s="134" t="n"/>
      <c r="Q427" s="134" t="inlineStr">
        <is>
          <t>stephania-cepharantha; stephania-tetrandra</t>
        </is>
      </c>
      <c r="R427" s="134" t="n">
        <v>2</v>
      </c>
      <c r="S427" s="134" t="inlineStr">
        <is>
          <t>Yes</t>
        </is>
      </c>
      <c r="T427" s="134" t="inlineStr">
        <is>
          <t>Integrated from cleaned high-signal dataset</t>
        </is>
      </c>
    </row>
    <row r="428" ht="26" customHeight="1" s="76">
      <c r="A428" s="134" t="inlineStr">
        <is>
          <t>thc</t>
        </is>
      </c>
      <c r="B428" s="134" t="inlineStr">
        <is>
          <t>thc</t>
        </is>
      </c>
      <c r="C428" s="134" t="n"/>
      <c r="D428" s="134" t="inlineStr">
        <is>
          <t>terpenes</t>
        </is>
      </c>
      <c r="E428" s="134" t="inlineStr">
        <is>
          <t>THC acts at CB1 receptors; terpenes may modulate neurotransmitter systems and pharmacokinetics.</t>
        </is>
      </c>
      <c r="F428" s="134" t="inlineStr">
        <is>
          <t>multi-target signaling modulation</t>
        </is>
      </c>
      <c r="G428" s="134" t="inlineStr">
        <is>
          <t>endocannabinoid_modulation</t>
        </is>
      </c>
      <c r="H428" s="134" t="inlineStr">
        <is>
          <t>Absorption and bioavailability vary; some compounds metabolized via cytochrome P450 enzymes.</t>
        </is>
      </c>
      <c r="I428" s="134" t="inlineStr">
        <is>
          <t>low</t>
        </is>
      </c>
      <c r="J428" s="134" t="inlineStr">
        <is>
          <t>no well-documented interactions</t>
        </is>
      </c>
      <c r="K428" s="134" t="n"/>
      <c r="L428" s="134" t="inlineStr">
        <is>
          <t>compound_level</t>
        </is>
      </c>
      <c r="M428" s="134" t="inlineStr">
        <is>
          <t>https://plants.sc.egov.usda.gov/home/search?query=Cannabis%20indica | https://plants.sc.egov.usda.gov/home/search?query=Cannabis%20ruderalis | https://plants.sc.egov.usda.gov/home/search?query=Cannabis%20sativa%20%28African%20varieties%29 | https://plants.sc.egov.usda.gov/home/search?query=cannabis%20sativa | https://pubchem.ncbi.nlm.nih.gov/#query=thc</t>
        </is>
      </c>
      <c r="N428" s="134" t="inlineStr">
        <is>
          <t>inferred_plus_trusted_gov; trusted_gov_added</t>
        </is>
      </c>
      <c r="O428" s="134" t="inlineStr">
        <is>
          <t>PubChem compound page (NIH); USDA Plants database; scientific name; PubChem compound page (NIH); USDA Plants database</t>
        </is>
      </c>
      <c r="P428" s="134" t="n"/>
      <c r="Q428" s="134" t="inlineStr">
        <is>
          <t>cannabis-indica; cannabis-ruderalis; cannabis-sativa; cannabis-sativa-african-varieties</t>
        </is>
      </c>
      <c r="R428" s="134" t="n">
        <v>4</v>
      </c>
      <c r="S428" s="134" t="inlineStr">
        <is>
          <t>Yes</t>
        </is>
      </c>
      <c r="T428" s="134" t="inlineStr">
        <is>
          <t>Integrated from cleaned high-signal dataset</t>
        </is>
      </c>
    </row>
    <row r="429" ht="26" customHeight="1" s="76">
      <c r="A429" s="134" t="inlineStr">
        <is>
          <t>theanine</t>
        </is>
      </c>
      <c r="B429" s="134" t="inlineStr">
        <is>
          <t>theanine</t>
        </is>
      </c>
      <c r="C429" s="134" t="n"/>
      <c r="D429" s="134" t="inlineStr">
        <is>
          <t>other</t>
        </is>
      </c>
      <c r="E429" s="134" t="inlineStr">
        <is>
          <t>EGCG inhibits catechol-O-methyltransferase (COMT) and activates AMPK; caffeine antagonizes adenosine A1 and A2A receptors.</t>
        </is>
      </c>
      <c r="F429" s="134" t="inlineStr">
        <is>
          <t>adenosine receptor antagonism</t>
        </is>
      </c>
      <c r="G429" s="134" t="inlineStr">
        <is>
          <t>adenosine_antagonism</t>
        </is>
      </c>
      <c r="H429" s="134" t="inlineStr">
        <is>
          <t>moderate absorption; hepatic metabolism</t>
        </is>
      </c>
      <c r="I429" s="134" t="inlineStr">
        <is>
          <t>low</t>
        </is>
      </c>
      <c r="J429" s="134" t="inlineStr">
        <is>
          <t>no well-documented interactions</t>
        </is>
      </c>
      <c r="K429" s="134" t="n"/>
      <c r="L429" s="134" t="inlineStr">
        <is>
          <t>compound_level</t>
        </is>
      </c>
      <c r="M429" s="134" t="inlineStr">
        <is>
          <t>https://plants.sc.egov.usda.gov/home/search?query=camellia%20sinensis | https://pubchem.ncbi.nlm.nih.gov/#query=theanine</t>
        </is>
      </c>
      <c r="N429" s="134" t="inlineStr">
        <is>
          <t>trusted_gov_added</t>
        </is>
      </c>
      <c r="O429" s="134" t="inlineStr">
        <is>
          <t>PubChem compound page (NIH); USDA Plants database</t>
        </is>
      </c>
      <c r="P429" s="134" t="n"/>
      <c r="Q429" s="134" t="inlineStr">
        <is>
          <t>camellia-sinensis</t>
        </is>
      </c>
      <c r="R429" s="134" t="n">
        <v>1</v>
      </c>
      <c r="S429" s="134" t="inlineStr">
        <is>
          <t>Yes</t>
        </is>
      </c>
      <c r="T429" s="134" t="inlineStr">
        <is>
          <t>Integrated from cleaned high-signal dataset</t>
        </is>
      </c>
    </row>
    <row r="430" ht="26" customHeight="1" s="76">
      <c r="A430" s="134" t="inlineStr">
        <is>
          <t>thebaine</t>
        </is>
      </c>
      <c r="B430" s="134" t="inlineStr">
        <is>
          <t>thebaine</t>
        </is>
      </c>
      <c r="C430" s="134" t="n"/>
      <c r="D430" s="134" t="inlineStr">
        <is>
          <t>other</t>
        </is>
      </c>
      <c r="E430" s="134" t="inlineStr">
        <is>
          <t>insufficient evidence</t>
        </is>
      </c>
      <c r="F430" s="134" t="inlineStr">
        <is>
          <t>multi-target signaling modulation</t>
        </is>
      </c>
      <c r="G430" s="134" t="inlineStr">
        <is>
          <t>general or unknown targets</t>
        </is>
      </c>
      <c r="H430" s="134" t="inlineStr">
        <is>
          <t>Oral/parenteral; CNS depressant and analgesic</t>
        </is>
      </c>
      <c r="I430" s="134" t="inlineStr">
        <is>
          <t>low</t>
        </is>
      </c>
      <c r="J430" s="134" t="inlineStr">
        <is>
          <t>no well-documented interactions</t>
        </is>
      </c>
      <c r="K430" s="134" t="n"/>
      <c r="L430" s="134" t="inlineStr">
        <is>
          <t>compound_level</t>
        </is>
      </c>
      <c r="M430" s="134" t="inlineStr">
        <is>
          <t>https://plants.sc.egov.usda.gov/home/search?query=Papaver%20somniferum | https://pubchem.ncbi.nlm.nih.gov/#query=thebaine</t>
        </is>
      </c>
      <c r="N430" s="134" t="inlineStr">
        <is>
          <t>inferred_plus_trusted_gov</t>
        </is>
      </c>
      <c r="O430" s="134" t="inlineStr">
        <is>
          <t>scientific name; PubChem compound page (NIH); USDA Plants database</t>
        </is>
      </c>
      <c r="P430" s="134" t="n"/>
      <c r="Q430" s="134" t="inlineStr">
        <is>
          <t>papaver-somniferum</t>
        </is>
      </c>
      <c r="R430" s="134" t="n">
        <v>1</v>
      </c>
      <c r="S430" s="134" t="inlineStr">
        <is>
          <t>Yes</t>
        </is>
      </c>
      <c r="T430" s="134" t="inlineStr">
        <is>
          <t>Integrated from cleaned high-signal dataset</t>
        </is>
      </c>
    </row>
    <row r="431" ht="26" customHeight="1" s="76">
      <c r="A431" s="134" t="inlineStr">
        <is>
          <t>theobromine</t>
        </is>
      </c>
      <c r="B431" s="134" t="inlineStr">
        <is>
          <t>theobromine</t>
        </is>
      </c>
      <c r="C431" s="134" t="n"/>
      <c r="D431" s="134" t="inlineStr">
        <is>
          <t>tannins</t>
        </is>
      </c>
      <c r="E431" s="134" t="inlineStr">
        <is>
          <t>Guarana's stimulant effects are driven primarily by caffeine acting as a nonselective adenosine receptor antagonist; other xanthines and polyphenols contribute secondary stimulant and antioxidant effects.</t>
        </is>
      </c>
      <c r="F431" s="134" t="inlineStr">
        <is>
          <t>adenosine receptor antagonism; multi-target signaling modulation</t>
        </is>
      </c>
      <c r="G431" s="134" t="inlineStr">
        <is>
          <t>ADORA1, ADORA2A (adenosine receptors); adenosine_antagonism; dopaminergic_modulation</t>
        </is>
      </c>
      <c r="H431" s="134" t="inlineStr">
        <is>
          <t>moderate absorption; hepatic metabolism</t>
        </is>
      </c>
      <c r="I431" s="134" t="inlineStr">
        <is>
          <t>low</t>
        </is>
      </c>
      <c r="J431" s="134" t="inlineStr">
        <is>
          <t>may interact with stimulants; caution with cardiovascular conditions</t>
        </is>
      </c>
      <c r="K431" s="134" t="n"/>
      <c r="L431" s="134" t="inlineStr">
        <is>
          <t>compound_level</t>
        </is>
      </c>
      <c r="M431" s="134" t="inlineStr">
        <is>
          <t>https://plants.sc.egov.usda.gov/home/search?query=Ilex%20guayusa | https://plants.sc.egov.usda.gov/home/search?query=Ilex%20paraguariensis | https://plants.sc.egov.usda.gov/home/search?query=Paullinia%20cupana | https://plants.sc.egov.usda.gov/home/search?query=Theobroma%20bicolor | https://plants.sc.egov.usda.gov/home/search?query=Theobroma%20cacao | https://plants.sc.egov.usda.gov/home/search?query=guarana | https://plants.sc.egov.usda.gov/home/search?query=yerba%20mate | https://pubchem.ncbi.nlm.nih.gov/#query=theobromine</t>
        </is>
      </c>
      <c r="N431" s="134" t="inlineStr">
        <is>
          <t>inferred_plus_trusted_gov; trusted_gov_added</t>
        </is>
      </c>
      <c r="O431" s="134" t="inlineStr">
        <is>
          <t>PubChem compound page (NIH); USDA Plants database; scientific name; PubChem compound page (NIH); USDA Plants database</t>
        </is>
      </c>
      <c r="P431" s="134" t="n"/>
      <c r="Q431" s="134" t="inlineStr">
        <is>
          <t>guarana; ilex-guayusa; ilex-paraguariensis; paullinia-cupana; theobroma-bicolor; theobroma-cacao</t>
        </is>
      </c>
      <c r="R431" s="134" t="n">
        <v>6</v>
      </c>
      <c r="S431" s="134" t="inlineStr">
        <is>
          <t>Yes</t>
        </is>
      </c>
      <c r="T431" s="134" t="inlineStr">
        <is>
          <t>Integrated from cleaned high-signal dataset</t>
        </is>
      </c>
    </row>
    <row r="432" ht="26" customHeight="1" s="76">
      <c r="A432" s="134" t="inlineStr">
        <is>
          <t>theophylline</t>
        </is>
      </c>
      <c r="B432" s="134" t="inlineStr">
        <is>
          <t>theophylline</t>
        </is>
      </c>
      <c r="C432" s="134" t="n"/>
      <c r="D432" s="134" t="inlineStr">
        <is>
          <t>tannins</t>
        </is>
      </c>
      <c r="E432" s="134" t="inlineStr">
        <is>
          <t>Guarana's stimulant effects are driven primarily by caffeine acting as a nonselective adenosine receptor antagonist; other xanthines and polyphenols contribute secondary stimulant and antioxidant effects.</t>
        </is>
      </c>
      <c r="F432" s="134" t="inlineStr">
        <is>
          <t>adenosine receptor antagonism</t>
        </is>
      </c>
      <c r="G432" s="134" t="inlineStr">
        <is>
          <t>adenosine_antagonism</t>
        </is>
      </c>
      <c r="H432" s="134" t="inlineStr">
        <is>
          <t>moderate absorption; hepatic metabolism</t>
        </is>
      </c>
      <c r="I432" s="134" t="inlineStr">
        <is>
          <t>low</t>
        </is>
      </c>
      <c r="J432" s="134" t="inlineStr">
        <is>
          <t>no well-documented interactions</t>
        </is>
      </c>
      <c r="K432" s="134" t="n"/>
      <c r="L432" s="134" t="inlineStr">
        <is>
          <t>compound_level</t>
        </is>
      </c>
      <c r="M432" s="134" t="inlineStr">
        <is>
          <t>https://plants.sc.egov.usda.gov/home/search?query=guarana | https://pubchem.ncbi.nlm.nih.gov/#query=theophylline</t>
        </is>
      </c>
      <c r="N432" s="134" t="inlineStr">
        <is>
          <t>trusted_gov_added</t>
        </is>
      </c>
      <c r="O432" s="134" t="inlineStr">
        <is>
          <t>PubChem compound page (NIH); USDA Plants database</t>
        </is>
      </c>
      <c r="P432" s="134" t="n"/>
      <c r="Q432" s="134" t="inlineStr">
        <is>
          <t>guarana</t>
        </is>
      </c>
      <c r="R432" s="134" t="n">
        <v>1</v>
      </c>
      <c r="S432" s="134" t="inlineStr">
        <is>
          <t>Yes</t>
        </is>
      </c>
      <c r="T432" s="134" t="inlineStr">
        <is>
          <t>Integrated from cleaned high-signal dataset</t>
        </is>
      </c>
    </row>
    <row r="433" ht="26" customHeight="1" s="76">
      <c r="A433" s="134" t="inlineStr">
        <is>
          <t>thevetin a</t>
        </is>
      </c>
      <c r="B433" s="134" t="inlineStr">
        <is>
          <t>thevetin a</t>
        </is>
      </c>
      <c r="C433" s="134" t="n"/>
      <c r="D433" s="134" t="inlineStr">
        <is>
          <t>cardiac glycosides</t>
        </is>
      </c>
      <c r="E433" s="134" t="inlineStr">
        <is>
          <t>insufficient evidence</t>
        </is>
      </c>
      <c r="F433" s="134" t="inlineStr">
        <is>
          <t>multi-target signaling modulation</t>
        </is>
      </c>
      <c r="G433" s="134" t="inlineStr">
        <is>
          <t>general or unknown targets</t>
        </is>
      </c>
      <c r="H433" s="134" t="inlineStr">
        <is>
          <t>Absorption and bioavailability vary; some compounds metabolized via cytochrome P450 enzymes.</t>
        </is>
      </c>
      <c r="I433" s="134" t="inlineStr">
        <is>
          <t>low</t>
        </is>
      </c>
      <c r="J433" s="134" t="inlineStr">
        <is>
          <t>no well-documented interactions</t>
        </is>
      </c>
      <c r="K433" s="134" t="n"/>
      <c r="L433" s="134" t="inlineStr">
        <is>
          <t>compound_level</t>
        </is>
      </c>
      <c r="M433" s="134" t="inlineStr">
        <is>
          <t>https://plants.sc.egov.usda.gov/home/search?query=Thevetia%20peruviana | https://pubchem.ncbi.nlm.nih.gov/#query=thevetin%20a</t>
        </is>
      </c>
      <c r="N433" s="134" t="inlineStr">
        <is>
          <t>inferred_plus_trusted_gov</t>
        </is>
      </c>
      <c r="O433" s="134" t="inlineStr">
        <is>
          <t>scientific name; PubChem compound page (NIH); USDA Plants database</t>
        </is>
      </c>
      <c r="P433" s="134" t="n"/>
      <c r="Q433" s="134" t="inlineStr">
        <is>
          <t>thevetia-peruviana</t>
        </is>
      </c>
      <c r="R433" s="134" t="n">
        <v>1</v>
      </c>
      <c r="S433" s="134" t="inlineStr">
        <is>
          <t>Yes</t>
        </is>
      </c>
      <c r="T433" s="134" t="inlineStr">
        <is>
          <t>Integrated from cleaned high-signal dataset</t>
        </is>
      </c>
    </row>
    <row r="434" ht="26" customHeight="1" s="76">
      <c r="A434" s="134" t="inlineStr">
        <is>
          <t>thevetin b</t>
        </is>
      </c>
      <c r="B434" s="134" t="inlineStr">
        <is>
          <t>thevetin b</t>
        </is>
      </c>
      <c r="C434" s="134" t="n"/>
      <c r="D434" s="134" t="inlineStr">
        <is>
          <t>cardiac glycosides</t>
        </is>
      </c>
      <c r="E434" s="134" t="inlineStr">
        <is>
          <t>insufficient evidence</t>
        </is>
      </c>
      <c r="F434" s="134" t="inlineStr">
        <is>
          <t>multi-target signaling modulation</t>
        </is>
      </c>
      <c r="G434" s="134" t="inlineStr">
        <is>
          <t>general or unknown targets</t>
        </is>
      </c>
      <c r="H434" s="134" t="inlineStr">
        <is>
          <t>Absorption and bioavailability vary; some compounds metabolized via cytochrome P450 enzymes.</t>
        </is>
      </c>
      <c r="I434" s="134" t="inlineStr">
        <is>
          <t>low</t>
        </is>
      </c>
      <c r="J434" s="134" t="inlineStr">
        <is>
          <t>no well-documented interactions</t>
        </is>
      </c>
      <c r="K434" s="134" t="n"/>
      <c r="L434" s="134" t="inlineStr">
        <is>
          <t>compound_level</t>
        </is>
      </c>
      <c r="M434" s="134" t="inlineStr">
        <is>
          <t>https://plants.sc.egov.usda.gov/home/search?query=Thevetia%20peruviana | https://pubchem.ncbi.nlm.nih.gov/#query=thevetin%20b</t>
        </is>
      </c>
      <c r="N434" s="134" t="inlineStr">
        <is>
          <t>inferred_plus_trusted_gov</t>
        </is>
      </c>
      <c r="O434" s="134" t="inlineStr">
        <is>
          <t>scientific name; PubChem compound page (NIH); USDA Plants database</t>
        </is>
      </c>
      <c r="P434" s="134" t="n"/>
      <c r="Q434" s="134" t="inlineStr">
        <is>
          <t>thevetia-peruviana</t>
        </is>
      </c>
      <c r="R434" s="134" t="n">
        <v>1</v>
      </c>
      <c r="S434" s="134" t="inlineStr">
        <is>
          <t>Yes</t>
        </is>
      </c>
      <c r="T434" s="134" t="inlineStr">
        <is>
          <t>Integrated from cleaned high-signal dataset</t>
        </is>
      </c>
    </row>
    <row r="435" ht="26" customHeight="1" s="76">
      <c r="A435" s="134" t="inlineStr">
        <is>
          <t>thujone</t>
        </is>
      </c>
      <c r="B435" s="134" t="inlineStr">
        <is>
          <t>thujone</t>
        </is>
      </c>
      <c r="C435" s="134" t="n"/>
      <c r="D435" s="134" t="inlineStr">
        <is>
          <t>other</t>
        </is>
      </c>
      <c r="E435" s="134" t="inlineStr">
        <is>
          <t>insufficient evidence</t>
        </is>
      </c>
      <c r="F435" s="134" t="inlineStr">
        <is>
          <t>multi-target signaling modulation</t>
        </is>
      </c>
      <c r="G435" s="134" t="inlineStr">
        <is>
          <t>general or unknown targets</t>
        </is>
      </c>
      <c r="H435" s="134" t="inlineStr">
        <is>
          <t>Absorption and bioavailability vary; some compounds metabolized via cytochrome P450 enzymes.</t>
        </is>
      </c>
      <c r="I435" s="134" t="inlineStr">
        <is>
          <t>low</t>
        </is>
      </c>
      <c r="J435" s="134" t="inlineStr">
        <is>
          <t>no well-documented interactions</t>
        </is>
      </c>
      <c r="K435" s="134" t="n"/>
      <c r="L435" s="134" t="inlineStr">
        <is>
          <t>compound_level</t>
        </is>
      </c>
      <c r="M435" s="134" t="inlineStr">
        <is>
          <t>https://plants.sc.egov.usda.gov/home/search?query=Artemisia%20herba-alba | https://plants.sc.egov.usda.gov/home/search?query=Artemisia%20judaica | https://plants.sc.egov.usda.gov/home/search?query=Salvia%20officinalis | https://pubchem.ncbi.nlm.nih.gov/#query=thujone</t>
        </is>
      </c>
      <c r="N435" s="134" t="inlineStr">
        <is>
          <t>inferred_plus_trusted_gov</t>
        </is>
      </c>
      <c r="O435" s="134" t="inlineStr">
        <is>
          <t>scientific name; PubChem compound page (NIH); USDA Plants database</t>
        </is>
      </c>
      <c r="P435" s="134" t="n"/>
      <c r="Q435" s="134" t="inlineStr">
        <is>
          <t>artemisia-herba-alba; artemisia-judaica; salvia-officinalis</t>
        </is>
      </c>
      <c r="R435" s="134" t="n">
        <v>3</v>
      </c>
      <c r="S435" s="134" t="inlineStr">
        <is>
          <t>Yes</t>
        </is>
      </c>
      <c r="T435" s="134" t="inlineStr">
        <is>
          <t>Integrated from cleaned high-signal dataset</t>
        </is>
      </c>
    </row>
    <row r="436" ht="26" customHeight="1" s="76">
      <c r="A436" s="134" t="inlineStr">
        <is>
          <t>thymol</t>
        </is>
      </c>
      <c r="B436" s="134" t="inlineStr">
        <is>
          <t>thymol</t>
        </is>
      </c>
      <c r="C436" s="134" t="n"/>
      <c r="D436" s="134" t="inlineStr">
        <is>
          <t>Thymol, carvacrol, essential oils</t>
        </is>
      </c>
      <c r="E436" s="134" t="inlineStr">
        <is>
          <t>insufficient evidence</t>
        </is>
      </c>
      <c r="F436" s="134" t="inlineStr">
        <is>
          <t>multi-target signaling modulation</t>
        </is>
      </c>
      <c r="G436" s="134" t="inlineStr">
        <is>
          <t>general or unknown targets</t>
        </is>
      </c>
      <c r="H436" s="134" t="inlineStr">
        <is>
          <t>Oral; expectorant and carminative</t>
        </is>
      </c>
      <c r="I436" s="134" t="inlineStr">
        <is>
          <t>low</t>
        </is>
      </c>
      <c r="J436" s="134" t="inlineStr">
        <is>
          <t>no well-documented interactions</t>
        </is>
      </c>
      <c r="K436" s="134" t="n"/>
      <c r="L436" s="134" t="inlineStr">
        <is>
          <t>compound_level</t>
        </is>
      </c>
      <c r="M436" s="134" t="inlineStr">
        <is>
          <t>https://plants.sc.egov.usda.gov/home/search?query=Monarda%20fistulosa | https://plants.sc.egov.usda.gov/home/search?query=Origanum%20vulgare | https://plants.sc.egov.usda.gov/home/search?query=thymus%20vulgaris | https://pubchem.ncbi.nlm.nih.gov/#query=thymol</t>
        </is>
      </c>
      <c r="N436" s="134" t="inlineStr">
        <is>
          <t>inferred_plus_trusted_gov; trusted_gov_added</t>
        </is>
      </c>
      <c r="O436" s="134" t="inlineStr">
        <is>
          <t>PubChem compound page (NIH); USDA Plants database; scientific name; PubChem compound page (NIH); USDA Plants database</t>
        </is>
      </c>
      <c r="P436" s="134" t="n"/>
      <c r="Q436" s="134" t="inlineStr">
        <is>
          <t>monarda-fistulosa; origanum-vulgare; thymus-vulgaris</t>
        </is>
      </c>
      <c r="R436" s="134" t="n">
        <v>3</v>
      </c>
      <c r="S436" s="134" t="inlineStr">
        <is>
          <t>Yes</t>
        </is>
      </c>
      <c r="T436" s="134" t="inlineStr">
        <is>
          <t>Integrated from cleaned high-signal dataset</t>
        </is>
      </c>
    </row>
    <row r="437" ht="26" customHeight="1" s="76">
      <c r="A437" s="134" t="inlineStr">
        <is>
          <t>thymoquinone</t>
        </is>
      </c>
      <c r="B437" s="134" t="inlineStr">
        <is>
          <t>thymoquinone</t>
        </is>
      </c>
      <c r="C437" s="134" t="n"/>
      <c r="D437" s="134" t="inlineStr">
        <is>
          <t>Thymoquinone, nigellone, essential oils</t>
        </is>
      </c>
      <c r="E437" s="134" t="inlineStr">
        <is>
          <t>insufficient evidence</t>
        </is>
      </c>
      <c r="F437" s="134" t="inlineStr">
        <is>
          <t>multi-target signaling modulation</t>
        </is>
      </c>
      <c r="G437" s="134" t="inlineStr">
        <is>
          <t>general or unknown targets</t>
        </is>
      </c>
      <c r="H437" s="134" t="inlineStr">
        <is>
          <t>Oral; hepatic and pulmonary tonic</t>
        </is>
      </c>
      <c r="I437" s="134" t="inlineStr">
        <is>
          <t>low</t>
        </is>
      </c>
      <c r="J437" s="134" t="inlineStr">
        <is>
          <t>no well-documented interactions</t>
        </is>
      </c>
      <c r="K437" s="134" t="n"/>
      <c r="L437" s="134" t="inlineStr">
        <is>
          <t>compound_level</t>
        </is>
      </c>
      <c r="M437" s="134" t="inlineStr">
        <is>
          <t>https://plants.sc.egov.usda.gov/home/search?query=Nigella%20sativa | https://pubchem.ncbi.nlm.nih.gov/#query=thymoquinone</t>
        </is>
      </c>
      <c r="N437" s="134" t="inlineStr">
        <is>
          <t>inferred_plus_trusted_gov</t>
        </is>
      </c>
      <c r="O437" s="134" t="inlineStr">
        <is>
          <t>scientific name; PubChem compound page (NIH); USDA Plants database</t>
        </is>
      </c>
      <c r="P437" s="134" t="n"/>
      <c r="Q437" s="134" t="inlineStr">
        <is>
          <t>nigella-sativa</t>
        </is>
      </c>
      <c r="R437" s="134" t="n">
        <v>1</v>
      </c>
      <c r="S437" s="134" t="inlineStr">
        <is>
          <t>Yes</t>
        </is>
      </c>
      <c r="T437" s="134" t="inlineStr">
        <is>
          <t>Integrated from cleaned high-signal dataset</t>
        </is>
      </c>
    </row>
    <row r="438" ht="26" customHeight="1" s="76">
      <c r="A438" s="134" t="inlineStr">
        <is>
          <t>timosaponin aiii</t>
        </is>
      </c>
      <c r="B438" s="134" t="inlineStr">
        <is>
          <t>timosaponin aiii</t>
        </is>
      </c>
      <c r="C438" s="134" t="n"/>
      <c r="D438" s="134" t="inlineStr">
        <is>
          <t>timosaponin AIII; saponins</t>
        </is>
      </c>
      <c r="E438" s="134" t="inlineStr">
        <is>
          <t>insufficient evidence</t>
        </is>
      </c>
      <c r="F438" s="134" t="inlineStr">
        <is>
          <t>multi-target signaling modulation</t>
        </is>
      </c>
      <c r="G438" s="134" t="inlineStr">
        <is>
          <t>general or unknown targets</t>
        </is>
      </c>
      <c r="H438" s="134" t="inlineStr">
        <is>
          <t>Absorption and bioavailability vary; some compounds metabolized via cytochrome P450 enzymes.</t>
        </is>
      </c>
      <c r="I438" s="134" t="inlineStr">
        <is>
          <t>low</t>
        </is>
      </c>
      <c r="J438" s="134" t="inlineStr">
        <is>
          <t>no well-documented interactions</t>
        </is>
      </c>
      <c r="K438" s="134" t="n"/>
      <c r="L438" s="134" t="inlineStr">
        <is>
          <t>compound_level</t>
        </is>
      </c>
      <c r="M438" s="134" t="inlineStr">
        <is>
          <t>https://plants.sc.egov.usda.gov/home/search?query=Anemarrhena%20asphodeloides | https://pubchem.ncbi.nlm.nih.gov/#query=timosaponin%20aiii</t>
        </is>
      </c>
      <c r="N438" s="134" t="inlineStr">
        <is>
          <t>inferred_plus_trusted_gov</t>
        </is>
      </c>
      <c r="O438" s="134" t="inlineStr">
        <is>
          <t>scientific name; PubChem compound page (NIH); USDA Plants database</t>
        </is>
      </c>
      <c r="P438" s="134" t="n"/>
      <c r="Q438" s="134" t="inlineStr">
        <is>
          <t>anemarrhena-asphodeloides</t>
        </is>
      </c>
      <c r="R438" s="134" t="n">
        <v>1</v>
      </c>
      <c r="S438" s="134" t="inlineStr">
        <is>
          <t>Yes</t>
        </is>
      </c>
      <c r="T438" s="134" t="inlineStr">
        <is>
          <t>Integrated from cleaned high-signal dataset</t>
        </is>
      </c>
    </row>
    <row r="439" ht="26" customHeight="1" s="76">
      <c r="A439" s="134" t="inlineStr">
        <is>
          <t>trans-cinnamoylcocaine</t>
        </is>
      </c>
      <c r="B439" s="134" t="inlineStr">
        <is>
          <t>trans-cinnamoylcocaine</t>
        </is>
      </c>
      <c r="C439" s="134" t="n"/>
      <c r="D439" s="134" t="inlineStr">
        <is>
          <t>other</t>
        </is>
      </c>
      <c r="E439" s="134" t="inlineStr">
        <is>
          <t>insufficient evidence</t>
        </is>
      </c>
      <c r="F439" s="134" t="inlineStr">
        <is>
          <t>multi-target signaling modulation</t>
        </is>
      </c>
      <c r="G439" s="134" t="inlineStr">
        <is>
          <t>dopaminergic_modulation</t>
        </is>
      </c>
      <c r="H439" s="134" t="inlineStr">
        <is>
          <t>moderate absorption; hepatic metabolism</t>
        </is>
      </c>
      <c r="I439" s="134" t="inlineStr">
        <is>
          <t>low</t>
        </is>
      </c>
      <c r="J439" s="134" t="inlineStr">
        <is>
          <t>no well-documented interactions</t>
        </is>
      </c>
      <c r="K439" s="134" t="n"/>
      <c r="L439" s="134" t="inlineStr">
        <is>
          <t>compound_level</t>
        </is>
      </c>
      <c r="M439" s="134" t="inlineStr">
        <is>
          <t>https://plants.sc.egov.usda.gov/home/search?query=coca | https://plants.sc.egov.usda.gov/home/search?query=coca%20leaf | https://pubchem.ncbi.nlm.nih.gov/#query=cinnamoylcocaine</t>
        </is>
      </c>
      <c r="N439" s="134" t="inlineStr">
        <is>
          <t>trusted_gov_added</t>
        </is>
      </c>
      <c r="O439" s="134" t="inlineStr">
        <is>
          <t>PubChem compound page (NIH); USDA Plants database</t>
        </is>
      </c>
      <c r="P439" s="134" t="n"/>
      <c r="Q439" s="134" t="inlineStr">
        <is>
          <t>coca; coca-leaf</t>
        </is>
      </c>
      <c r="R439" s="134" t="n">
        <v>2</v>
      </c>
      <c r="S439" s="134" t="inlineStr">
        <is>
          <t>Yes</t>
        </is>
      </c>
      <c r="T439" s="134" t="inlineStr">
        <is>
          <t>Integrated from cleaned high-signal dataset</t>
        </is>
      </c>
    </row>
    <row r="440" ht="26" customHeight="1" s="76">
      <c r="A440" s="134" t="inlineStr">
        <is>
          <t>trigonelline</t>
        </is>
      </c>
      <c r="B440" s="134" t="inlineStr">
        <is>
          <t>trigonelline</t>
        </is>
      </c>
      <c r="C440" s="134" t="n"/>
      <c r="D440" s="134" t="inlineStr">
        <is>
          <t>other</t>
        </is>
      </c>
      <c r="E440" s="134" t="inlineStr">
        <is>
          <t>Coffee's stimulant effects are driven primarily by caffeine, which acts as a nonselective adenosine receptor antagonist; chlorogenic acids and diterpenes contribute additional antioxidant and metabolic effects.</t>
        </is>
      </c>
      <c r="F440" s="134" t="inlineStr">
        <is>
          <t>adenosine receptor antagonism</t>
        </is>
      </c>
      <c r="G440" s="134" t="inlineStr">
        <is>
          <t>adenosine_antagonism</t>
        </is>
      </c>
      <c r="H440" s="134" t="inlineStr">
        <is>
          <t>Absorption and bioavailability vary; some compounds metabolized via cytochrome P450 enzymes.</t>
        </is>
      </c>
      <c r="I440" s="134" t="inlineStr">
        <is>
          <t>low</t>
        </is>
      </c>
      <c r="J440" s="134" t="inlineStr">
        <is>
          <t>no well-documented interactions</t>
        </is>
      </c>
      <c r="K440" s="134" t="n"/>
      <c r="L440" s="134" t="inlineStr">
        <is>
          <t>compound_level</t>
        </is>
      </c>
      <c r="M440" s="134" t="inlineStr">
        <is>
          <t>https://plants.sc.egov.usda.gov/home/search?query=Coffea%20arabica | https://plants.sc.egov.usda.gov/home/search?query=coffee | https://pubchem.ncbi.nlm.nih.gov/#query=trigonelline</t>
        </is>
      </c>
      <c r="N440" s="134" t="inlineStr">
        <is>
          <t>inferred_plus_trusted_gov; trusted_gov_added</t>
        </is>
      </c>
      <c r="O440" s="134" t="inlineStr">
        <is>
          <t>PubChem compound page (NIH); USDA Plants database; scientific name; PubChem compound page (NIH); USDA Plants database</t>
        </is>
      </c>
      <c r="P440" s="134" t="n"/>
      <c r="Q440" s="134" t="inlineStr">
        <is>
          <t>coffea-arabica; coffee</t>
        </is>
      </c>
      <c r="R440" s="134" t="n">
        <v>2</v>
      </c>
      <c r="S440" s="134" t="inlineStr">
        <is>
          <t>Yes</t>
        </is>
      </c>
      <c r="T440" s="134" t="inlineStr">
        <is>
          <t>Integrated from cleaned high-signal dataset</t>
        </is>
      </c>
    </row>
    <row r="441" ht="26" customHeight="1" s="76">
      <c r="A441" s="134" t="inlineStr">
        <is>
          <t>triketones leptospermone</t>
        </is>
      </c>
      <c r="B441" s="134" t="inlineStr">
        <is>
          <t>triketones (leptospermone)</t>
        </is>
      </c>
      <c r="C441" s="134" t="n"/>
      <c r="D441" s="134" t="inlineStr">
        <is>
          <t>Essential oils, triketones (leptospermone)</t>
        </is>
      </c>
      <c r="E441" s="134" t="inlineStr">
        <is>
          <t>insufficient evidence</t>
        </is>
      </c>
      <c r="F441" s="134" t="inlineStr">
        <is>
          <t>multi-target signaling modulation</t>
        </is>
      </c>
      <c r="G441" s="134" t="inlineStr">
        <is>
          <t>general or unknown targets</t>
        </is>
      </c>
      <c r="H441" s="134" t="inlineStr">
        <is>
          <t>Topical/oral; antibacterial and healing</t>
        </is>
      </c>
      <c r="I441" s="134" t="inlineStr">
        <is>
          <t>low</t>
        </is>
      </c>
      <c r="J441" s="134" t="inlineStr">
        <is>
          <t>no well-documented interactions</t>
        </is>
      </c>
      <c r="K441" s="134" t="n"/>
      <c r="L441" s="134" t="inlineStr">
        <is>
          <t>compound_level</t>
        </is>
      </c>
      <c r="M441" s="134" t="inlineStr">
        <is>
          <t>https://plants.sc.egov.usda.gov/home/search?query=Leptospermum%20scoparium | https://pubchem.ncbi.nlm.nih.gov/#query=triketones%20%28leptospermone%29</t>
        </is>
      </c>
      <c r="N441" s="134" t="inlineStr">
        <is>
          <t>inferred_plus_trusted_gov</t>
        </is>
      </c>
      <c r="O441" s="134" t="inlineStr">
        <is>
          <t>scientific name; PubChem compound page (NIH); USDA Plants database</t>
        </is>
      </c>
      <c r="P441" s="134" t="n"/>
      <c r="Q441" s="134" t="inlineStr">
        <is>
          <t>leptospermum-scoparium</t>
        </is>
      </c>
      <c r="R441" s="134" t="n">
        <v>1</v>
      </c>
      <c r="S441" s="134" t="inlineStr">
        <is>
          <t>Yes</t>
        </is>
      </c>
      <c r="T441" s="134" t="inlineStr">
        <is>
          <t>Integrated from cleaned high-signal dataset</t>
        </is>
      </c>
    </row>
    <row r="442" ht="26" customHeight="1" s="76">
      <c r="A442" s="134" t="inlineStr">
        <is>
          <t>tropacocaine</t>
        </is>
      </c>
      <c r="B442" s="134" t="inlineStr">
        <is>
          <t>tropacocaine</t>
        </is>
      </c>
      <c r="C442" s="134" t="n"/>
      <c r="D442" s="134" t="inlineStr">
        <is>
          <t>other</t>
        </is>
      </c>
      <c r="E442" s="134" t="inlineStr">
        <is>
          <t>insufficient evidence</t>
        </is>
      </c>
      <c r="F442" s="134" t="inlineStr">
        <is>
          <t>multi-target signaling modulation</t>
        </is>
      </c>
      <c r="G442" s="134" t="inlineStr">
        <is>
          <t>dopaminergic_modulation; general or unknown targets</t>
        </is>
      </c>
      <c r="H442" s="134" t="inlineStr">
        <is>
          <t>moderate absorption; hepatic metabolism</t>
        </is>
      </c>
      <c r="I442" s="134" t="inlineStr">
        <is>
          <t>low</t>
        </is>
      </c>
      <c r="J442" s="134" t="inlineStr">
        <is>
          <t>no well-documented interactions</t>
        </is>
      </c>
      <c r="K442" s="134" t="n"/>
      <c r="L442" s="134" t="inlineStr">
        <is>
          <t>compound_level</t>
        </is>
      </c>
      <c r="M442" s="134" t="inlineStr">
        <is>
          <t>https://plants.sc.egov.usda.gov/home/search?query=Erythroxylum%20novogranatense | https://plants.sc.egov.usda.gov/home/search?query=coca | https://plants.sc.egov.usda.gov/home/search?query=coca%20leaf | https://plants.sc.egov.usda.gov/home/search?query=erythroxylum%20coca | https://pubchem.ncbi.nlm.nih.gov/#query=tropacocaine</t>
        </is>
      </c>
      <c r="N442" s="134" t="inlineStr">
        <is>
          <t>inferred_plus_trusted_gov; trusted_gov_added</t>
        </is>
      </c>
      <c r="O442" s="134" t="inlineStr">
        <is>
          <t>PubChem compound page (NIH); USDA Plants database; scientific name; PubChem compound page (NIH); USDA Plants database</t>
        </is>
      </c>
      <c r="P442" s="134" t="n"/>
      <c r="Q442" s="134" t="inlineStr">
        <is>
          <t>coca; coca-leaf; erythroxylum-coca; erythroxylum-novogranatense</t>
        </is>
      </c>
      <c r="R442" s="134" t="n">
        <v>4</v>
      </c>
      <c r="S442" s="134" t="inlineStr">
        <is>
          <t>Yes</t>
        </is>
      </c>
      <c r="T442" s="134" t="inlineStr">
        <is>
          <t>Integrated from cleaned high-signal dataset</t>
        </is>
      </c>
    </row>
    <row r="443" ht="26" customHeight="1" s="76">
      <c r="A443" s="134" t="inlineStr">
        <is>
          <t>tryptamine</t>
        </is>
      </c>
      <c r="B443" s="134" t="inlineStr">
        <is>
          <t>tryptamine</t>
        </is>
      </c>
      <c r="C443" s="134" t="n"/>
      <c r="D443" s="134" t="inlineStr">
        <is>
          <t>alkaloid</t>
        </is>
      </c>
      <c r="E443" s="134" t="inlineStr">
        <is>
          <t>DMT acts primarily as a 5-HT2A receptor agonist with additional sigma-1 receptor activity (proposed).</t>
        </is>
      </c>
      <c r="F443" s="134" t="inlineStr">
        <is>
          <t>serotonergic modulation</t>
        </is>
      </c>
      <c r="G443" s="134" t="inlineStr">
        <is>
          <t>HTR1A, HTR2A (serotonin receptors); serotonergic_5HT2A_agonism</t>
        </is>
      </c>
      <c r="H443" s="134" t="inlineStr">
        <is>
          <t>rapid absorption; CNS penetration; hepatic metabolism</t>
        </is>
      </c>
      <c r="I443" s="134" t="inlineStr">
        <is>
          <t>moderate-high</t>
        </is>
      </c>
      <c r="J443" s="134" t="inlineStr">
        <is>
          <t>avoid with SSRIs/MAOIs; risk of serotonin syndrome</t>
        </is>
      </c>
      <c r="K443" s="134" t="n"/>
      <c r="L443" s="134" t="inlineStr">
        <is>
          <t>compound_level</t>
        </is>
      </c>
      <c r="M443" s="134" t="inlineStr">
        <is>
          <t>https://plants.sc.egov.usda.gov/home/search?query=Phalaris%20arundinacea | https://plants.sc.egov.usda.gov/home/search?query=acacia%20confusa | https://pubchem.ncbi.nlm.nih.gov/#query=tryptamine</t>
        </is>
      </c>
      <c r="N443" s="134" t="inlineStr">
        <is>
          <t>inferred_plus_trusted_gov; trusted_gov_added</t>
        </is>
      </c>
      <c r="O443" s="134" t="inlineStr">
        <is>
          <t>PubChem compound page (NIH); USDA Plants database; scientific name; PubChem compound page (NIH); USDA Plants database</t>
        </is>
      </c>
      <c r="P443" s="134" t="n"/>
      <c r="Q443" s="134" t="inlineStr">
        <is>
          <t>acacia-confusa; phalaris-arundinacea</t>
        </is>
      </c>
      <c r="R443" s="134" t="n">
        <v>2</v>
      </c>
      <c r="S443" s="134" t="inlineStr">
        <is>
          <t>Yes</t>
        </is>
      </c>
      <c r="T443" s="134" t="inlineStr">
        <is>
          <t>Integrated from cleaned high-signal dataset</t>
        </is>
      </c>
    </row>
    <row r="444" ht="26" customHeight="1" s="76">
      <c r="A444" s="134" t="inlineStr">
        <is>
          <t>turmerone</t>
        </is>
      </c>
      <c r="B444" s="134" t="inlineStr">
        <is>
          <t>turmerone</t>
        </is>
      </c>
      <c r="C444" s="134" t="n"/>
      <c r="D444" s="134" t="inlineStr">
        <is>
          <t>Curcumin, turmerone, essential oils</t>
        </is>
      </c>
      <c r="E444" s="134" t="inlineStr">
        <is>
          <t>insufficient evidence</t>
        </is>
      </c>
      <c r="F444" s="134" t="inlineStr">
        <is>
          <t>multi-target signaling modulation</t>
        </is>
      </c>
      <c r="G444" s="134" t="inlineStr">
        <is>
          <t>general or unknown targets</t>
        </is>
      </c>
      <c r="H444" s="134" t="inlineStr">
        <is>
          <t>Oral; hepatic and anti-neoplastic</t>
        </is>
      </c>
      <c r="I444" s="134" t="inlineStr">
        <is>
          <t>low</t>
        </is>
      </c>
      <c r="J444" s="134" t="inlineStr">
        <is>
          <t>no well-documented interactions</t>
        </is>
      </c>
      <c r="K444" s="134" t="n"/>
      <c r="L444" s="134" t="inlineStr">
        <is>
          <t>compound_level</t>
        </is>
      </c>
      <c r="M444" s="134" t="inlineStr">
        <is>
          <t>https://plants.sc.egov.usda.gov/home/search?query=Curcuma%20longa | https://pubchem.ncbi.nlm.nih.gov/#query=turmerone</t>
        </is>
      </c>
      <c r="N444" s="134" t="inlineStr">
        <is>
          <t>inferred_plus_trusted_gov</t>
        </is>
      </c>
      <c r="O444" s="134" t="inlineStr">
        <is>
          <t>scientific name; PubChem compound page (NIH); USDA Plants database</t>
        </is>
      </c>
      <c r="P444" s="134" t="n"/>
      <c r="Q444" s="134" t="inlineStr">
        <is>
          <t>curcuma-longa</t>
        </is>
      </c>
      <c r="R444" s="134" t="n">
        <v>1</v>
      </c>
      <c r="S444" s="134" t="inlineStr">
        <is>
          <t>Yes</t>
        </is>
      </c>
      <c r="T444" s="134" t="inlineStr">
        <is>
          <t>Integrated from cleaned high-signal dataset</t>
        </is>
      </c>
    </row>
    <row r="445" ht="26" customHeight="1" s="76">
      <c r="A445" s="134" t="inlineStr">
        <is>
          <t>tussilagone</t>
        </is>
      </c>
      <c r="B445" s="134" t="inlineStr">
        <is>
          <t>tussilagone</t>
        </is>
      </c>
      <c r="C445" s="134" t="n"/>
      <c r="D445" s="134" t="inlineStr">
        <is>
          <t>pyrrolizidine alkaloids</t>
        </is>
      </c>
      <c r="E445" s="134" t="inlineStr">
        <is>
          <t>insufficient evidence</t>
        </is>
      </c>
      <c r="F445" s="134" t="inlineStr">
        <is>
          <t>multi-target signaling modulation</t>
        </is>
      </c>
      <c r="G445" s="134" t="inlineStr">
        <is>
          <t>general or unknown targets</t>
        </is>
      </c>
      <c r="H445" s="134" t="inlineStr">
        <is>
          <t>Absorption and bioavailability vary; some compounds metabolized via cytochrome P450 enzymes.</t>
        </is>
      </c>
      <c r="I445" s="134" t="inlineStr">
        <is>
          <t>low</t>
        </is>
      </c>
      <c r="J445" s="134" t="inlineStr">
        <is>
          <t>no well-documented interactions</t>
        </is>
      </c>
      <c r="K445" s="134" t="n"/>
      <c r="L445" s="134" t="inlineStr">
        <is>
          <t>compound_level</t>
        </is>
      </c>
      <c r="M445" s="134" t="inlineStr">
        <is>
          <t>https://plants.sc.egov.usda.gov/home/search?query=Tussilago%20farfara | https://pubchem.ncbi.nlm.nih.gov/#query=tussilagone</t>
        </is>
      </c>
      <c r="N445" s="134" t="inlineStr">
        <is>
          <t>inferred_plus_trusted_gov</t>
        </is>
      </c>
      <c r="O445" s="134" t="inlineStr">
        <is>
          <t>scientific name; PubChem compound page (NIH); USDA Plants database</t>
        </is>
      </c>
      <c r="P445" s="134" t="n"/>
      <c r="Q445" s="134" t="inlineStr">
        <is>
          <t>tussilago-farfara</t>
        </is>
      </c>
      <c r="R445" s="134" t="n">
        <v>1</v>
      </c>
      <c r="S445" s="134" t="inlineStr">
        <is>
          <t>Yes</t>
        </is>
      </c>
      <c r="T445" s="134" t="inlineStr">
        <is>
          <t>Integrated from cleaned high-signal dataset</t>
        </is>
      </c>
    </row>
    <row r="446" ht="26" customHeight="1" s="76">
      <c r="A446" s="134" t="inlineStr">
        <is>
          <t>tylophorine</t>
        </is>
      </c>
      <c r="B446" s="134" t="inlineStr">
        <is>
          <t>tylophorine</t>
        </is>
      </c>
      <c r="C446" s="134" t="n"/>
      <c r="D446" s="134" t="inlineStr">
        <is>
          <t>Tylophorine, alkaloids</t>
        </is>
      </c>
      <c r="E446" s="134" t="inlineStr">
        <is>
          <t>insufficient evidence</t>
        </is>
      </c>
      <c r="F446" s="134" t="inlineStr">
        <is>
          <t>cox/nf-kb inhibition</t>
        </is>
      </c>
      <c r="G446" s="134" t="inlineStr">
        <is>
          <t>inflammatory_pathway_modulation</t>
        </is>
      </c>
      <c r="H446" s="134" t="inlineStr">
        <is>
          <t>Oral; inhibits inflammatory cytokines</t>
        </is>
      </c>
      <c r="I446" s="134" t="inlineStr">
        <is>
          <t>Moderate in high doses. Emetic effects limit overuse.</t>
        </is>
      </c>
      <c r="J446" s="134" t="inlineStr">
        <is>
          <t>may interfere with immune therapies, steroids, or antihistamines.</t>
        </is>
      </c>
      <c r="K446" s="134" t="n"/>
      <c r="L446" s="134" t="inlineStr">
        <is>
          <t>compound_level</t>
        </is>
      </c>
      <c r="M446" s="134" t="inlineStr">
        <is>
          <t>Ayurvedic Pharmacopoeia of India | Journal of Ethnopharmacology, 2004 | https://www.ncbi.nlm.nih.gov/pmc/articles/PMC3887322/</t>
        </is>
      </c>
      <c r="N446" s="134" t="inlineStr">
        <is>
          <t>citation_or_url_present</t>
        </is>
      </c>
      <c r="O446" s="134" t="n"/>
      <c r="P446" s="134" t="n"/>
      <c r="Q446" s="134" t="inlineStr">
        <is>
          <t>tylophora-indica</t>
        </is>
      </c>
      <c r="R446" s="134" t="n">
        <v>1</v>
      </c>
      <c r="S446" s="134" t="inlineStr">
        <is>
          <t>Yes</t>
        </is>
      </c>
      <c r="T446" s="134" t="inlineStr">
        <is>
          <t>Integrated from cleaned high-signal dataset</t>
        </is>
      </c>
    </row>
    <row r="447" ht="26" customHeight="1" s="76">
      <c r="A447" s="134" t="inlineStr">
        <is>
          <t>umbelliferone</t>
        </is>
      </c>
      <c r="B447" s="134" t="inlineStr">
        <is>
          <t>umbelliferone</t>
        </is>
      </c>
      <c r="C447" s="134" t="n"/>
      <c r="D447" s="134" t="inlineStr">
        <is>
          <t>other</t>
        </is>
      </c>
      <c r="E447" s="134" t="inlineStr">
        <is>
          <t>insufficient evidence</t>
        </is>
      </c>
      <c r="F447" s="134" t="inlineStr">
        <is>
          <t>multi-target signaling modulation</t>
        </is>
      </c>
      <c r="G447" s="134" t="inlineStr">
        <is>
          <t>general or unknown targets</t>
        </is>
      </c>
      <c r="H447" s="134" t="inlineStr">
        <is>
          <t>moderate absorption; hepatic metabolism</t>
        </is>
      </c>
      <c r="I447" s="134" t="inlineStr">
        <is>
          <t>low</t>
        </is>
      </c>
      <c r="J447" s="134" t="inlineStr">
        <is>
          <t>no well-documented interactions</t>
        </is>
      </c>
      <c r="K447" s="134" t="n"/>
      <c r="L447" s="134" t="inlineStr">
        <is>
          <t>compound_level</t>
        </is>
      </c>
      <c r="M447" s="134" t="inlineStr">
        <is>
          <t>https://plants.sc.egov.usda.gov/home/search?query=casimiroa%20edulis | https://pubchem.ncbi.nlm.nih.gov/#query=umbelliferone</t>
        </is>
      </c>
      <c r="N447" s="134" t="inlineStr">
        <is>
          <t>trusted_gov_added</t>
        </is>
      </c>
      <c r="O447" s="134" t="inlineStr">
        <is>
          <t>PubChem compound page (NIH); USDA Plants database</t>
        </is>
      </c>
      <c r="P447" s="134" t="n"/>
      <c r="Q447" s="134" t="inlineStr">
        <is>
          <t>casimiroa-edulis</t>
        </is>
      </c>
      <c r="R447" s="134" t="n">
        <v>1</v>
      </c>
      <c r="S447" s="134" t="inlineStr">
        <is>
          <t>Yes</t>
        </is>
      </c>
      <c r="T447" s="134" t="inlineStr">
        <is>
          <t>Integrated from cleaned high-signal dataset</t>
        </is>
      </c>
    </row>
    <row r="448" ht="26" customHeight="1" s="76">
      <c r="A448" s="134" t="inlineStr">
        <is>
          <t>umckalin</t>
        </is>
      </c>
      <c r="B448" s="134" t="inlineStr">
        <is>
          <t>umckalin</t>
        </is>
      </c>
      <c r="C448" s="134" t="n"/>
      <c r="D448" s="134" t="inlineStr">
        <is>
          <t>Umckalin, coumarins, polyphenols</t>
        </is>
      </c>
      <c r="E448" s="134" t="inlineStr">
        <is>
          <t>insufficient evidence</t>
        </is>
      </c>
      <c r="F448" s="134" t="inlineStr">
        <is>
          <t>multi-target signaling modulation</t>
        </is>
      </c>
      <c r="G448" s="134" t="inlineStr">
        <is>
          <t>general or unknown targets</t>
        </is>
      </c>
      <c r="H448" s="134" t="inlineStr">
        <is>
          <t>Oral; expectorant and immune modulator</t>
        </is>
      </c>
      <c r="I448" s="134" t="inlineStr">
        <is>
          <t>low</t>
        </is>
      </c>
      <c r="J448" s="134" t="inlineStr">
        <is>
          <t>no well-documented interactions</t>
        </is>
      </c>
      <c r="K448" s="134" t="n"/>
      <c r="L448" s="134" t="inlineStr">
        <is>
          <t>compound_level</t>
        </is>
      </c>
      <c r="M448" s="134" t="inlineStr">
        <is>
          <t>https://plants.sc.egov.usda.gov/home/search?query=Pelargonium%20sidoides | https://pubchem.ncbi.nlm.nih.gov/#query=umckalin</t>
        </is>
      </c>
      <c r="N448" s="134" t="inlineStr">
        <is>
          <t>inferred_plus_trusted_gov</t>
        </is>
      </c>
      <c r="O448" s="134" t="inlineStr">
        <is>
          <t>scientific name; PubChem compound page (NIH); USDA Plants database</t>
        </is>
      </c>
      <c r="P448" s="134" t="n"/>
      <c r="Q448" s="134" t="inlineStr">
        <is>
          <t>pelargonium-sidoides</t>
        </is>
      </c>
      <c r="R448" s="134" t="n">
        <v>1</v>
      </c>
      <c r="S448" s="134" t="inlineStr">
        <is>
          <t>Yes</t>
        </is>
      </c>
      <c r="T448" s="134" t="inlineStr">
        <is>
          <t>Integrated from cleaned high-signal dataset</t>
        </is>
      </c>
    </row>
    <row r="449" ht="26" customHeight="1" s="76">
      <c r="A449" s="134" t="inlineStr">
        <is>
          <t>unresolved herb level entry</t>
        </is>
      </c>
      <c r="B449" s="134" t="inlineStr">
        <is>
          <t>UNRESOLVED_HERB_LEVEL_ENTRY</t>
        </is>
      </c>
      <c r="C449" s="134" t="n"/>
      <c r="D449" s="134" t="inlineStr">
        <is>
          <t>alkaloids; flavonoids; saponins</t>
        </is>
      </c>
      <c r="E449" s="134" t="inlineStr">
        <is>
          <t>Likely involves antioxidant, anti-inflammatory, or neuromodulatory pathways; specific mechanisms not well characterized</t>
        </is>
      </c>
      <c r="F449" s="134" t="inlineStr">
        <is>
          <t>cox/nf-kb inhibition; multi-target signaling modulation</t>
        </is>
      </c>
      <c r="G449" s="134" t="inlineStr">
        <is>
          <t>general or unknown targets; inflammatory_pathway_modulation</t>
        </is>
      </c>
      <c r="H449" s="134" t="inlineStr">
        <is>
          <t>Absorption and bioavailability vary; some compounds metabolized via cytochrome P450 enzymes.</t>
        </is>
      </c>
      <c r="I449" s="134" t="inlineStr">
        <is>
          <t>low</t>
        </is>
      </c>
      <c r="J449" s="134" t="inlineStr">
        <is>
          <t>no well-documented interactions</t>
        </is>
      </c>
      <c r="K449" s="134" t="n"/>
      <c r="L449" s="134" t="inlineStr">
        <is>
          <t>unresolved_herb_level</t>
        </is>
      </c>
      <c r="M449" s="134" t="inlineStr">
        <is>
          <t>https://plants.sc.egov.usda.gov/home/search?query=Aerva%20lanata | https://plants.sc.egov.usda.gov/home/search?query=Albizia%20lebbeck | https://plants.sc.egov.usda.gov/home/search?query=Calliandra%20anomala | https://plants.sc.egov.usda.gov/home/search?query=Calliandra%20haematocephala | https://plants.sc.egov.usda.gov/home/search?query=Calliandra%20portoricensis | https://plants.sc.egov.usda.gov/home/search?query=Ceanothus%20integerrimus | https://plants.sc.egov.usda.gov/home/search?query=Cordyline%20fruticosa | https://plants.sc.egov.usda.gov/home/search?query=Dodonaea%20viscosa | https://plants.sc.egov.usda.gov/home/search?query=Erythrina%20vespertilio | https://plants.sc.egov.usda.gov/home/search?query=Helinus%20integrifolius | https://plants.sc.egov.usda.gov/home/search?query=Lobelia%20tupa | https://plants.sc.egov.usda.gov/home/search?query=Rhizophora%20mangle | https://plants.sc.egov.usda.gov/home/search?query=Rhizophora%20stylosa | https://plants.sc.egov.usda.gov/home/search?query=Tetrapleura%20tetraptera | https://plants.sc.egov.usda.gov/home/search?query=blue%20vervain | https://plants.sc.egov.usda.gov/home/search?query=bobinsana | https://plants.sc.egov.usda.gov/home/search?query=boldo | https://plants.sc.egov.usda.gov/home/search?query=bolivian%20torch | https://plants.sc.egov.usda.gov/home/search?query=brunfelsia%20grandiflora | https://plants.sc.egov.usda.gov/home/search?query=byrsonima%20crassifolia | https://plants.sc.egov.usda.gov/home/search?query=caapi | https://plants.sc.egov.usda.gov/home/search?query=caesalpinia%20sepiaria | https://plants.sc.egov.usda.gov/home/search?query=desmodium%20gangeticum</t>
        </is>
      </c>
      <c r="N449" s="134" t="inlineStr">
        <is>
          <t>inferred_plus_trusted_gov; trusted_gov_added</t>
        </is>
      </c>
      <c r="O449" s="134" t="inlineStr">
        <is>
          <t>USDA Plants database; scientific name; USDA Plants database</t>
        </is>
      </c>
      <c r="P449" s="134" t="n"/>
      <c r="Q449" s="134" t="inlineStr">
        <is>
          <t>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t>
        </is>
      </c>
      <c r="R449" s="134" t="n">
        <v>23</v>
      </c>
      <c r="S449" s="134" t="inlineStr">
        <is>
          <t>Yes</t>
        </is>
      </c>
      <c r="T449" s="134" t="inlineStr">
        <is>
          <t>Integrated from cleaned high-signal dataset</t>
        </is>
      </c>
    </row>
    <row r="450" ht="26" customHeight="1" s="76">
      <c r="A450" s="134" t="inlineStr">
        <is>
          <t>uridine monophosphate</t>
        </is>
      </c>
      <c r="B450" s="134" t="inlineStr">
        <is>
          <t>uridine monophosphate (UMP)</t>
        </is>
      </c>
      <c r="C450" s="134" t="n"/>
      <c r="D450" s="134" t="inlineStr">
        <is>
          <t>pyrimidine nucleotide</t>
        </is>
      </c>
      <c r="E450" s="134" t="inlineStr">
        <is>
          <t>Uridine-source nucleotide supporting pyrimidine salvage and membrane phosphatide synthesis; cognition-related framing usually centers on phospholipid synapse-support biology rather than direct neurotransmitter receptor activity.</t>
        </is>
      </c>
      <c r="F450" s="134" t="n"/>
      <c r="G450" s="134" t="inlineStr">
        <is>
          <t>Pyrimidine salvage pathway; membrane phosphatide synthesis; uridine/cytidine nucleotide metabolism</t>
        </is>
      </c>
      <c r="H450" s="134" t="inlineStr">
        <is>
          <t>Oral UMP contributes to systemic uridine pools after intestinal and hepatic handling; precise supplement PK claims vary by formulation and were kept conservative here.</t>
        </is>
      </c>
      <c r="I450" s="134" t="inlineStr">
        <is>
          <t>Generally low apparent toxicity at common supplement exposures; high-quality safety data are thinner than for vitamins or minerals.</t>
        </is>
      </c>
      <c r="J450" s="134" t="inlineStr">
        <is>
          <t>No strong, well-established clinical drug interactions retained for this pass.</t>
        </is>
      </c>
      <c r="K450" s="134" t="inlineStr">
        <is>
          <t>Moderate</t>
        </is>
      </c>
      <c r="L450" s="134" t="inlineStr">
        <is>
          <t>mixed</t>
        </is>
      </c>
      <c r="M450" s="134" t="inlineStr">
        <is>
          <t>https://pubchem.ncbi.nlm.nih.gov/compound/Uridine-monophosphate | https://pubmed.ncbi.nlm.nih.gov/10996449/ | https://pubmed.ncbi.nlm.nih.gov/15123336/</t>
        </is>
      </c>
      <c r="N450" s="134" t="n"/>
      <c r="O450" s="134" t="n"/>
      <c r="P450" s="134" t="inlineStr">
        <is>
          <t>Batch12_cholinergic_cognition_2026-04-07</t>
        </is>
      </c>
      <c r="Q450" s="134" t="n"/>
      <c r="R450" s="134" t="n">
        <v>0</v>
      </c>
      <c r="S450" s="134" t="inlineStr">
        <is>
          <t>No</t>
        </is>
      </c>
      <c r="T450" s="134" t="inlineStr">
        <is>
          <t>Integrated from compound monograph workbook</t>
        </is>
      </c>
    </row>
    <row r="451" ht="26" customHeight="1" s="76">
      <c r="A451" s="134" t="inlineStr">
        <is>
          <t>ursolic acid</t>
        </is>
      </c>
      <c r="B451" s="134" t="inlineStr">
        <is>
          <t>ursolic acid</t>
        </is>
      </c>
      <c r="C451" s="134" t="n"/>
      <c r="D451" s="134" t="inlineStr">
        <is>
          <t>triterpenoid</t>
        </is>
      </c>
      <c r="E451" s="134" t="inlineStr">
        <is>
          <t>Anti-inflammatory and metabolic signaling modulator with reported NF-kB inhibition, AMPK activation, and downstream effects relevant to muscle protein synthesis and cellular stress response.</t>
        </is>
      </c>
      <c r="F451" s="134" t="inlineStr">
        <is>
          <t>inflammatory_pathway_modulation; metabolic modulation; multi-target signaling modulation</t>
        </is>
      </c>
      <c r="G451" s="134" t="inlineStr">
        <is>
          <t>NF-kB; AMPK; mTOR</t>
        </is>
      </c>
      <c r="H451" s="134" t="inlineStr">
        <is>
          <t>Low oral bioavailability; lipophilic compound with systemic distribution after absorption.</t>
        </is>
      </c>
      <c r="I451" s="134" t="inlineStr">
        <is>
          <t>Generally considered low risk in usual exposure ranges, though dedicated human toxicity data remain limited.</t>
        </is>
      </c>
      <c r="J451" s="134" t="inlineStr">
        <is>
          <t>Potential overlap with metabolic and anti-inflammatory drugs is plausible but not well established clinically.</t>
        </is>
      </c>
      <c r="K451" s="134" t="inlineStr">
        <is>
          <t>Medium</t>
        </is>
      </c>
      <c r="L451" s="134" t="inlineStr">
        <is>
          <t>preclinical + limited human</t>
        </is>
      </c>
      <c r="M451" s="134" t="inlineStr">
        <is>
          <t>https://pubchem.ncbi.nlm.nih.gov/compound/Ursolic-acid | https://pubmed.ncbi.nlm.nih.gov/?term=ursolic+acid+NF-kB+AMPK</t>
        </is>
      </c>
      <c r="N451" s="134" t="inlineStr">
        <is>
          <t>tier1_locked</t>
        </is>
      </c>
      <c r="O451" s="134" t="inlineStr">
        <is>
          <t>PubChem; PubMed</t>
        </is>
      </c>
      <c r="P451" s="134" t="inlineStr">
        <is>
          <t>locked_compounds_batch1_2026-04-07</t>
        </is>
      </c>
      <c r="Q451" s="134" t="inlineStr">
        <is>
          <t>holy-basil</t>
        </is>
      </c>
      <c r="R451" s="134" t="n">
        <v>1</v>
      </c>
      <c r="S451" s="134" t="inlineStr">
        <is>
          <t>Yes</t>
        </is>
      </c>
      <c r="T451" s="134" t="inlineStr">
        <is>
          <t>Strengthened existing compound record with locked batch 1 mechanism framing.</t>
        </is>
      </c>
    </row>
    <row r="452" ht="26" customHeight="1" s="76">
      <c r="A452" s="134" t="inlineStr">
        <is>
          <t>uscharin</t>
        </is>
      </c>
      <c r="B452" s="134" t="inlineStr">
        <is>
          <t>uscharin</t>
        </is>
      </c>
      <c r="C452" s="134" t="n"/>
      <c r="D452" s="134" t="inlineStr">
        <is>
          <t>cardiac glycosides</t>
        </is>
      </c>
      <c r="E452" s="134" t="inlineStr">
        <is>
          <t>insufficient evidence</t>
        </is>
      </c>
      <c r="F452" s="134" t="inlineStr">
        <is>
          <t>multi-target signaling modulation</t>
        </is>
      </c>
      <c r="G452" s="134" t="inlineStr">
        <is>
          <t>general or unknown targets</t>
        </is>
      </c>
      <c r="H452" s="134" t="inlineStr">
        <is>
          <t>Absorption and bioavailability vary; some compounds metabolized via cytochrome P450 enzymes.</t>
        </is>
      </c>
      <c r="I452" s="134" t="inlineStr">
        <is>
          <t>low</t>
        </is>
      </c>
      <c r="J452" s="134" t="inlineStr">
        <is>
          <t>no well-documented interactions</t>
        </is>
      </c>
      <c r="K452" s="134" t="n"/>
      <c r="L452" s="134" t="inlineStr">
        <is>
          <t>compound_level</t>
        </is>
      </c>
      <c r="M452" s="134" t="inlineStr">
        <is>
          <t>https://plants.sc.egov.usda.gov/home/search?query=Calotropis%20procera | https://pubchem.ncbi.nlm.nih.gov/#query=uscharin</t>
        </is>
      </c>
      <c r="N452" s="134" t="inlineStr">
        <is>
          <t>inferred_plus_trusted_gov</t>
        </is>
      </c>
      <c r="O452" s="134" t="inlineStr">
        <is>
          <t>scientific name; PubChem compound page (NIH); USDA Plants database</t>
        </is>
      </c>
      <c r="P452" s="134" t="n"/>
      <c r="Q452" s="134" t="inlineStr">
        <is>
          <t>calotropis-procera</t>
        </is>
      </c>
      <c r="R452" s="134" t="n">
        <v>1</v>
      </c>
      <c r="S452" s="134" t="inlineStr">
        <is>
          <t>Yes</t>
        </is>
      </c>
      <c r="T452" s="134" t="inlineStr">
        <is>
          <t>Integrated from cleaned high-signal dataset</t>
        </is>
      </c>
    </row>
    <row r="453" ht="26" customHeight="1" s="76">
      <c r="A453" s="134" t="inlineStr">
        <is>
          <t>usnic acid</t>
        </is>
      </c>
      <c r="B453" s="134" t="inlineStr">
        <is>
          <t>usnic acid</t>
        </is>
      </c>
      <c r="C453" s="134" t="n"/>
      <c r="D453" s="134" t="inlineStr">
        <is>
          <t>organic acid</t>
        </is>
      </c>
      <c r="E453" s="134" t="inlineStr">
        <is>
          <t>insufficient evidence</t>
        </is>
      </c>
      <c r="F453" s="134" t="inlineStr">
        <is>
          <t>multi-target signaling modulation</t>
        </is>
      </c>
      <c r="G453" s="134" t="inlineStr">
        <is>
          <t>general or unknown targets</t>
        </is>
      </c>
      <c r="H453" s="134" t="inlineStr">
        <is>
          <t>Absorption and bioavailability vary; some compounds metabolized via cytochrome P450 enzymes.</t>
        </is>
      </c>
      <c r="I453" s="134" t="inlineStr">
        <is>
          <t>low</t>
        </is>
      </c>
      <c r="J453" s="134" t="inlineStr">
        <is>
          <t>no well-documented interactions</t>
        </is>
      </c>
      <c r="K453" s="134" t="n"/>
      <c r="L453" s="134" t="inlineStr">
        <is>
          <t>compound_level</t>
        </is>
      </c>
      <c r="M453" s="134" t="inlineStr">
        <is>
          <t>https://plants.sc.egov.usda.gov/home/search?query=Usnea%20barbata | https://pubchem.ncbi.nlm.nih.gov/#query=usnic%20acid</t>
        </is>
      </c>
      <c r="N453" s="134" t="inlineStr">
        <is>
          <t>inferred_plus_trusted_gov</t>
        </is>
      </c>
      <c r="O453" s="134" t="inlineStr">
        <is>
          <t>scientific name; PubChem compound page (NIH); USDA Plants database</t>
        </is>
      </c>
      <c r="P453" s="134" t="n"/>
      <c r="Q453" s="134" t="inlineStr">
        <is>
          <t>usnea-barbata</t>
        </is>
      </c>
      <c r="R453" s="134" t="n">
        <v>1</v>
      </c>
      <c r="S453" s="134" t="inlineStr">
        <is>
          <t>Yes</t>
        </is>
      </c>
      <c r="T453" s="134" t="inlineStr">
        <is>
          <t>Integrated from cleaned high-signal dataset</t>
        </is>
      </c>
    </row>
    <row r="454" ht="26" customHeight="1" s="76">
      <c r="A454" s="134" t="inlineStr">
        <is>
          <t>valeranone</t>
        </is>
      </c>
      <c r="B454" s="134" t="inlineStr">
        <is>
          <t>valeranone</t>
        </is>
      </c>
      <c r="C454" s="134" t="n"/>
      <c r="D454" s="134" t="inlineStr">
        <is>
          <t>sesquiterpenes</t>
        </is>
      </c>
      <c r="E454" s="134" t="inlineStr">
        <is>
          <t>insufficient evidence</t>
        </is>
      </c>
      <c r="F454" s="134" t="inlineStr">
        <is>
          <t>multi-target signaling modulation</t>
        </is>
      </c>
      <c r="G454" s="134" t="inlineStr">
        <is>
          <t>general or unknown targets</t>
        </is>
      </c>
      <c r="H454" s="134" t="inlineStr">
        <is>
          <t>Absorption and bioavailability vary; some compounds metabolized via cytochrome P450 enzymes.</t>
        </is>
      </c>
      <c r="I454" s="134" t="inlineStr">
        <is>
          <t>low</t>
        </is>
      </c>
      <c r="J454" s="134" t="inlineStr">
        <is>
          <t>no well-documented interactions</t>
        </is>
      </c>
      <c r="K454" s="134" t="n"/>
      <c r="L454" s="134" t="inlineStr">
        <is>
          <t>compound_level</t>
        </is>
      </c>
      <c r="M454" s="134" t="inlineStr">
        <is>
          <t>https://plants.sc.egov.usda.gov/home/search?query=Nardostachys%20jatamansi | https://pubchem.ncbi.nlm.nih.gov/#query=valeranone</t>
        </is>
      </c>
      <c r="N454" s="134" t="inlineStr">
        <is>
          <t>inferred_plus_trusted_gov</t>
        </is>
      </c>
      <c r="O454" s="134" t="inlineStr">
        <is>
          <t>scientific name; PubChem compound page (NIH); USDA Plants database</t>
        </is>
      </c>
      <c r="P454" s="134" t="n"/>
      <c r="Q454" s="134" t="inlineStr">
        <is>
          <t>nardostachys-jatamansi</t>
        </is>
      </c>
      <c r="R454" s="134" t="n">
        <v>1</v>
      </c>
      <c r="S454" s="134" t="inlineStr">
        <is>
          <t>Yes</t>
        </is>
      </c>
      <c r="T454" s="134" t="inlineStr">
        <is>
          <t>Integrated from cleaned high-signal dataset</t>
        </is>
      </c>
    </row>
    <row r="455" ht="26" customHeight="1" s="76">
      <c r="A455" s="134" t="inlineStr">
        <is>
          <t>valerenic acid</t>
        </is>
      </c>
      <c r="B455" s="134" t="inlineStr">
        <is>
          <t>valerenic acid</t>
        </is>
      </c>
      <c r="C455" s="134" t="str"/>
      <c r="D455" s="134" t="inlineStr">
        <is>
          <t>organic acid</t>
        </is>
      </c>
      <c r="E455" s="134" t="inlineStr">
        <is>
          <t>Valerenic acid binds beta-subunits of GABA-A receptors, enhancing chloride influx and inhibitory signaling.</t>
        </is>
      </c>
      <c r="F455" s="134" t="inlineStr">
        <is>
          <t>gaba_a_modulation; multi-target signaling modulation</t>
        </is>
      </c>
      <c r="G455" s="134" t="inlineStr">
        <is>
          <t>gabaergic_modulation; general or unknown targets</t>
        </is>
      </c>
      <c r="H455" s="134" t="inlineStr">
        <is>
          <t>moderate absorption; hepatic metabolism</t>
        </is>
      </c>
      <c r="I455" s="134" t="inlineStr">
        <is>
          <t>low</t>
        </is>
      </c>
      <c r="J455" s="134" t="inlineStr">
        <is>
          <t>no well-documented interactions</t>
        </is>
      </c>
      <c r="K455" s="134" t="n"/>
      <c r="L455" s="134" t="inlineStr">
        <is>
          <t>compound_level</t>
        </is>
      </c>
      <c r="M455" s="134" t="inlineStr">
        <is>
          <t>https://plants.sc.egov.usda.gov/home/search?query=Valeriana%20officinalis | https://plants.sc.egov.usda.gov/home/search?query=valerian | https://pubchem.ncbi.nlm.nih.gov/#query=valerenic%20acid</t>
        </is>
      </c>
      <c r="N455" s="134" t="inlineStr">
        <is>
          <t>inferred_plus_trusted_gov; trusted_gov_added</t>
        </is>
      </c>
      <c r="O455" s="134" t="inlineStr">
        <is>
          <t>PubChem compound page (NIH); USDA Plants database; scientific name; PubChem compound page (NIH); USDA Plants database</t>
        </is>
      </c>
      <c r="P455" s="134" t="n"/>
      <c r="Q455" s="134" t="inlineStr">
        <is>
          <t>valerian</t>
        </is>
      </c>
      <c r="R455" s="134" t="n">
        <v>1</v>
      </c>
      <c r="S455" s="134" t="inlineStr">
        <is>
          <t>Yes</t>
        </is>
      </c>
      <c r="T455" s="134" t="inlineStr">
        <is>
          <t>Integrated from cleaned high-signal dataset</t>
        </is>
      </c>
    </row>
    <row r="456" ht="26" customHeight="1" s="76">
      <c r="A456" s="134" t="inlineStr">
        <is>
          <t>valerenol</t>
        </is>
      </c>
      <c r="B456" s="134" t="inlineStr">
        <is>
          <t>valerenol</t>
        </is>
      </c>
      <c r="C456" s="134" t="n"/>
      <c r="D456" s="134" t="inlineStr">
        <is>
          <t>other</t>
        </is>
      </c>
      <c r="E456" s="134" t="inlineStr">
        <is>
          <t>Valerenic acid binds beta-subunits of GABA-A receptors, enhancing chloride influx and inhibitory signaling.</t>
        </is>
      </c>
      <c r="F456" s="134" t="inlineStr">
        <is>
          <t>gaba_a_modulation</t>
        </is>
      </c>
      <c r="G456" s="134" t="inlineStr">
        <is>
          <t>gabaergic_modulation</t>
        </is>
      </c>
      <c r="H456" s="134" t="inlineStr">
        <is>
          <t>moderate absorption; hepatic metabolism</t>
        </is>
      </c>
      <c r="I456" s="134" t="inlineStr">
        <is>
          <t>low</t>
        </is>
      </c>
      <c r="J456" s="134" t="inlineStr">
        <is>
          <t>no well-documented interactions</t>
        </is>
      </c>
      <c r="K456" s="134" t="n"/>
      <c r="L456" s="134" t="inlineStr">
        <is>
          <t>compound_level</t>
        </is>
      </c>
      <c r="M456" s="134" t="inlineStr">
        <is>
          <t>https://plants.sc.egov.usda.gov/home/search?query=valerian | https://pubchem.ncbi.nlm.nih.gov/#query=valerenol</t>
        </is>
      </c>
      <c r="N456" s="134" t="inlineStr">
        <is>
          <t>trusted_gov_added</t>
        </is>
      </c>
      <c r="O456" s="134" t="inlineStr">
        <is>
          <t>PubChem compound page (NIH); USDA Plants database</t>
        </is>
      </c>
      <c r="P456" s="134" t="n"/>
      <c r="Q456" s="134" t="inlineStr">
        <is>
          <t>valerian</t>
        </is>
      </c>
      <c r="R456" s="134" t="n">
        <v>1</v>
      </c>
      <c r="S456" s="134" t="inlineStr">
        <is>
          <t>Yes</t>
        </is>
      </c>
      <c r="T456" s="134" t="inlineStr">
        <is>
          <t>Integrated from cleaned high-signal dataset</t>
        </is>
      </c>
    </row>
    <row r="457" ht="26" customHeight="1" s="76">
      <c r="A457" s="134" t="inlineStr">
        <is>
          <t>valerian valerenic acid</t>
        </is>
      </c>
      <c r="B457" s="134" t="inlineStr">
        <is>
          <t>valerian (valerenic acid)</t>
        </is>
      </c>
      <c r="C457" s="134" t="n"/>
      <c r="D457" s="134" t="inlineStr">
        <is>
          <t>terpenoid</t>
        </is>
      </c>
      <c r="E457" s="134" t="inlineStr">
        <is>
          <t>GABA-A receptor modulation</t>
        </is>
      </c>
      <c r="F457" s="134" t="n"/>
      <c r="G457" s="134" t="inlineStr">
        <is>
          <t>GABA_A modulation</t>
        </is>
      </c>
      <c r="H457" s="134" t="n"/>
      <c r="I457" s="134" t="n"/>
      <c r="J457" s="134" t="inlineStr">
        <is>
          <t>Sedatives (additive effects)</t>
        </is>
      </c>
      <c r="K457" s="134" t="n"/>
      <c r="L457" s="134" t="inlineStr">
        <is>
          <t>Sprint6</t>
        </is>
      </c>
      <c r="M457" s="134" t="n"/>
      <c r="N457" s="134" t="n"/>
      <c r="O457" s="134" t="n"/>
      <c r="P457" s="134" t="inlineStr">
        <is>
          <t>precision_monographs_sprint6.xlsx</t>
        </is>
      </c>
      <c r="Q457" s="134" t="n"/>
      <c r="R457" s="134" t="n">
        <v>0</v>
      </c>
      <c r="S457" s="134" t="inlineStr">
        <is>
          <t>No</t>
        </is>
      </c>
      <c r="T457" s="134" t="inlineStr">
        <is>
          <t>Integrated from compound monograph workbook</t>
        </is>
      </c>
    </row>
    <row r="458" ht="26" customHeight="1" s="76">
      <c r="A458" s="134" t="inlineStr">
        <is>
          <t>vanillin</t>
        </is>
      </c>
      <c r="B458" s="134" t="inlineStr">
        <is>
          <t>vanillin</t>
        </is>
      </c>
      <c r="C458" s="134" t="n"/>
      <c r="D458" s="134" t="inlineStr">
        <is>
          <t>other</t>
        </is>
      </c>
      <c r="E458" s="134" t="inlineStr">
        <is>
          <t>insufficient evidence</t>
        </is>
      </c>
      <c r="F458" s="134" t="inlineStr">
        <is>
          <t>multi-target signaling modulation</t>
        </is>
      </c>
      <c r="G458" s="134" t="inlineStr">
        <is>
          <t>general or unknown targets</t>
        </is>
      </c>
      <c r="H458" s="134" t="inlineStr">
        <is>
          <t>Absorption and bioavailability vary; some compounds metabolized via cytochrome P450 enzymes.</t>
        </is>
      </c>
      <c r="I458" s="134" t="inlineStr">
        <is>
          <t>low</t>
        </is>
      </c>
      <c r="J458" s="134" t="inlineStr">
        <is>
          <t>no well-documented interactions</t>
        </is>
      </c>
      <c r="K458" s="134" t="n"/>
      <c r="L458" s="134" t="inlineStr">
        <is>
          <t>compound_level</t>
        </is>
      </c>
      <c r="M458" s="134" t="inlineStr">
        <is>
          <t>https://plants.sc.egov.usda.gov/home/search?query=Myroxylon%20balsamum | https://pubchem.ncbi.nlm.nih.gov/#query=vanillin</t>
        </is>
      </c>
      <c r="N458" s="134" t="inlineStr">
        <is>
          <t>inferred_plus_trusted_gov</t>
        </is>
      </c>
      <c r="O458" s="134" t="inlineStr">
        <is>
          <t>scientific name; PubChem compound page (NIH); USDA Plants database</t>
        </is>
      </c>
      <c r="P458" s="134" t="n"/>
      <c r="Q458" s="134" t="inlineStr">
        <is>
          <t>myroxylon-balsamum</t>
        </is>
      </c>
      <c r="R458" s="134" t="n">
        <v>1</v>
      </c>
      <c r="S458" s="134" t="inlineStr">
        <is>
          <t>Yes</t>
        </is>
      </c>
      <c r="T458" s="134" t="inlineStr">
        <is>
          <t>Integrated from cleaned high-signal dataset</t>
        </is>
      </c>
    </row>
    <row r="459" ht="26" customHeight="1" s="76">
      <c r="A459" s="134" t="inlineStr">
        <is>
          <t>vasicine</t>
        </is>
      </c>
      <c r="B459" s="134" t="inlineStr">
        <is>
          <t>vasicine</t>
        </is>
      </c>
      <c r="C459" s="134" t="n"/>
      <c r="D459" s="134" t="inlineStr">
        <is>
          <t>other</t>
        </is>
      </c>
      <c r="E459" s="134" t="inlineStr">
        <is>
          <t>insufficient evidence</t>
        </is>
      </c>
      <c r="F459" s="134" t="inlineStr">
        <is>
          <t>multi-target signaling modulation</t>
        </is>
      </c>
      <c r="G459" s="134" t="inlineStr">
        <is>
          <t>general or unknown targets</t>
        </is>
      </c>
      <c r="H459" s="134" t="inlineStr">
        <is>
          <t>moderate absorption; hepatic metabolism</t>
        </is>
      </c>
      <c r="I459" s="134" t="inlineStr">
        <is>
          <t>low</t>
        </is>
      </c>
      <c r="J459" s="134" t="inlineStr">
        <is>
          <t>no well-documented interactions</t>
        </is>
      </c>
      <c r="K459" s="134" t="n"/>
      <c r="L459" s="134" t="inlineStr">
        <is>
          <t>compound_level</t>
        </is>
      </c>
      <c r="M459" s="134" t="inlineStr">
        <is>
          <t>https://plants.sc.egov.usda.gov/home/search?query=adhatoda%20vasica | https://pubchem.ncbi.nlm.nih.gov/#query=vasicine</t>
        </is>
      </c>
      <c r="N459" s="134" t="inlineStr">
        <is>
          <t>trusted_gov_added</t>
        </is>
      </c>
      <c r="O459" s="134" t="inlineStr">
        <is>
          <t>PubChem compound page (NIH); USDA Plants database</t>
        </is>
      </c>
      <c r="P459" s="134" t="n"/>
      <c r="Q459" s="134" t="inlineStr">
        <is>
          <t>adhatoda-vasica</t>
        </is>
      </c>
      <c r="R459" s="134" t="n">
        <v>1</v>
      </c>
      <c r="S459" s="134" t="inlineStr">
        <is>
          <t>Yes</t>
        </is>
      </c>
      <c r="T459" s="134" t="inlineStr">
        <is>
          <t>Integrated from cleaned high-signal dataset</t>
        </is>
      </c>
    </row>
    <row r="460" ht="26" customHeight="1" s="76">
      <c r="A460" s="134" t="inlineStr">
        <is>
          <t>vasicinone</t>
        </is>
      </c>
      <c r="B460" s="134" t="inlineStr">
        <is>
          <t>vasicinone</t>
        </is>
      </c>
      <c r="C460" s="134" t="n"/>
      <c r="D460" s="134" t="inlineStr">
        <is>
          <t>other</t>
        </is>
      </c>
      <c r="E460" s="134" t="inlineStr">
        <is>
          <t>insufficient evidence</t>
        </is>
      </c>
      <c r="F460" s="134" t="inlineStr">
        <is>
          <t>multi-target signaling modulation</t>
        </is>
      </c>
      <c r="G460" s="134" t="inlineStr">
        <is>
          <t>general or unknown targets</t>
        </is>
      </c>
      <c r="H460" s="134" t="inlineStr">
        <is>
          <t>moderate absorption; hepatic metabolism</t>
        </is>
      </c>
      <c r="I460" s="134" t="inlineStr">
        <is>
          <t>low</t>
        </is>
      </c>
      <c r="J460" s="134" t="inlineStr">
        <is>
          <t>no well-documented interactions</t>
        </is>
      </c>
      <c r="K460" s="134" t="n"/>
      <c r="L460" s="134" t="inlineStr">
        <is>
          <t>compound_level</t>
        </is>
      </c>
      <c r="M460" s="134" t="inlineStr">
        <is>
          <t>https://plants.sc.egov.usda.gov/home/search?query=Sida%20cordifolia | https://plants.sc.egov.usda.gov/home/search?query=adhatoda%20vasica | https://pubchem.ncbi.nlm.nih.gov/#query=vasicinone</t>
        </is>
      </c>
      <c r="N460" s="134" t="inlineStr">
        <is>
          <t>inferred_plus_trusted_gov; trusted_gov_added</t>
        </is>
      </c>
      <c r="O460" s="134" t="inlineStr">
        <is>
          <t>PubChem compound page (NIH); USDA Plants database; scientific name; PubChem compound page (NIH); USDA Plants database</t>
        </is>
      </c>
      <c r="P460" s="134" t="n"/>
      <c r="Q460" s="134" t="inlineStr">
        <is>
          <t>adhatoda-vasica; sida-cordifolia</t>
        </is>
      </c>
      <c r="R460" s="134" t="n">
        <v>2</v>
      </c>
      <c r="S460" s="134" t="inlineStr">
        <is>
          <t>Yes</t>
        </is>
      </c>
      <c r="T460" s="134" t="inlineStr">
        <is>
          <t>Integrated from cleaned high-signal dataset</t>
        </is>
      </c>
    </row>
    <row r="461" ht="26" customHeight="1" s="76">
      <c r="A461" s="134" t="inlineStr">
        <is>
          <t>verbascoside</t>
        </is>
      </c>
      <c r="B461" s="134" t="inlineStr">
        <is>
          <t>verbascoside</t>
        </is>
      </c>
      <c r="C461" s="134" t="n"/>
      <c r="D461" s="134" t="inlineStr">
        <is>
          <t>iridoid glycosides; flavonoids</t>
        </is>
      </c>
      <c r="E461" s="134" t="inlineStr">
        <is>
          <t>insufficient evidence</t>
        </is>
      </c>
      <c r="F461" s="134" t="inlineStr">
        <is>
          <t>multi-target signaling modulation</t>
        </is>
      </c>
      <c r="G461" s="134" t="inlineStr">
        <is>
          <t>general or unknown targets</t>
        </is>
      </c>
      <c r="H461" s="134" t="inlineStr">
        <is>
          <t>Absorption and bioavailability vary; some compounds metabolized via cytochrome P450 enzymes.</t>
        </is>
      </c>
      <c r="I461" s="134" t="inlineStr">
        <is>
          <t>low</t>
        </is>
      </c>
      <c r="J461" s="134" t="inlineStr">
        <is>
          <t>no well-documented interactions</t>
        </is>
      </c>
      <c r="K461" s="134" t="n"/>
      <c r="L461" s="134" t="inlineStr">
        <is>
          <t>compound_level</t>
        </is>
      </c>
      <c r="M461" s="134" t="inlineStr">
        <is>
          <t>https://plants.sc.egov.usda.gov/home/search?query=Stachytarpheta%20cayennensis | https://pubchem.ncbi.nlm.nih.gov/#query=verbascoside</t>
        </is>
      </c>
      <c r="N461" s="134" t="inlineStr">
        <is>
          <t>inferred_plus_trusted_gov</t>
        </is>
      </c>
      <c r="O461" s="134" t="inlineStr">
        <is>
          <t>scientific name; PubChem compound page (NIH); USDA Plants database</t>
        </is>
      </c>
      <c r="P461" s="134" t="n"/>
      <c r="Q461" s="134" t="inlineStr">
        <is>
          <t>stachytarpheta-cayennensis</t>
        </is>
      </c>
      <c r="R461" s="134" t="n">
        <v>1</v>
      </c>
      <c r="S461" s="134" t="inlineStr">
        <is>
          <t>Yes</t>
        </is>
      </c>
      <c r="T461" s="134" t="inlineStr">
        <is>
          <t>Integrated from cleaned high-signal dataset</t>
        </is>
      </c>
    </row>
    <row r="462" ht="26" customHeight="1" s="76">
      <c r="A462" s="134" t="inlineStr">
        <is>
          <t>vicine</t>
        </is>
      </c>
      <c r="B462" s="134" t="inlineStr">
        <is>
          <t>vicine</t>
        </is>
      </c>
      <c r="C462" s="134" t="n"/>
      <c r="D462" s="134" t="inlineStr">
        <is>
          <t>other</t>
        </is>
      </c>
      <c r="E462" s="134" t="inlineStr">
        <is>
          <t>insufficient evidence</t>
        </is>
      </c>
      <c r="F462" s="134" t="inlineStr">
        <is>
          <t>multi-target signaling modulation</t>
        </is>
      </c>
      <c r="G462" s="134" t="inlineStr">
        <is>
          <t>general or unknown targets</t>
        </is>
      </c>
      <c r="H462" s="134" t="inlineStr">
        <is>
          <t>Oral; insulin mimetic and antidiabetic</t>
        </is>
      </c>
      <c r="I462" s="134" t="inlineStr">
        <is>
          <t>low</t>
        </is>
      </c>
      <c r="J462" s="134" t="inlineStr">
        <is>
          <t>no well-documented interactions</t>
        </is>
      </c>
      <c r="K462" s="134" t="n"/>
      <c r="L462" s="134" t="inlineStr">
        <is>
          <t>compound_level</t>
        </is>
      </c>
      <c r="M462" s="134" t="inlineStr">
        <is>
          <t>https://plants.sc.egov.usda.gov/home/search?query=Momordica%20charantia | https://pubchem.ncbi.nlm.nih.gov/#query=vicine</t>
        </is>
      </c>
      <c r="N462" s="134" t="inlineStr">
        <is>
          <t>inferred_plus_trusted_gov</t>
        </is>
      </c>
      <c r="O462" s="134" t="inlineStr">
        <is>
          <t>scientific name; PubChem compound page (NIH); USDA Plants database</t>
        </is>
      </c>
      <c r="P462" s="134" t="n"/>
      <c r="Q462" s="134" t="inlineStr">
        <is>
          <t>momordica-charantia</t>
        </is>
      </c>
      <c r="R462" s="134" t="n">
        <v>1</v>
      </c>
      <c r="S462" s="134" t="inlineStr">
        <is>
          <t>Yes</t>
        </is>
      </c>
      <c r="T462" s="134" t="inlineStr">
        <is>
          <t>Integrated from cleaned high-signal dataset</t>
        </is>
      </c>
    </row>
    <row r="463" ht="26" customHeight="1" s="76">
      <c r="A463" s="134" t="inlineStr">
        <is>
          <t>vincamine</t>
        </is>
      </c>
      <c r="B463" s="134" t="inlineStr">
        <is>
          <t>vincamine</t>
        </is>
      </c>
      <c r="C463" s="134" t="n"/>
      <c r="D463" s="134" t="inlineStr">
        <is>
          <t>Vincamine, alkaloids</t>
        </is>
      </c>
      <c r="E463" s="134" t="inlineStr">
        <is>
          <t>insufficient evidence</t>
        </is>
      </c>
      <c r="F463" s="134" t="inlineStr">
        <is>
          <t>multi-target signaling modulation</t>
        </is>
      </c>
      <c r="G463" s="134" t="inlineStr">
        <is>
          <t>general or unknown targets</t>
        </is>
      </c>
      <c r="H463" s="134" t="inlineStr">
        <is>
          <t>Oral; increases cerebral blood flow</t>
        </is>
      </c>
      <c r="I463" s="134" t="inlineStr">
        <is>
          <t>low</t>
        </is>
      </c>
      <c r="J463" s="134" t="inlineStr">
        <is>
          <t>no well-documented interactions</t>
        </is>
      </c>
      <c r="K463" s="134" t="n"/>
      <c r="L463" s="134" t="inlineStr">
        <is>
          <t>compound_level</t>
        </is>
      </c>
      <c r="M463" s="134" t="inlineStr">
        <is>
          <t>https://plants.sc.egov.usda.gov/home/search?query=Vinca%20minor | https://pubchem.ncbi.nlm.nih.gov/#query=vincamine</t>
        </is>
      </c>
      <c r="N463" s="134" t="inlineStr">
        <is>
          <t>inferred_plus_trusted_gov</t>
        </is>
      </c>
      <c r="O463" s="134" t="inlineStr">
        <is>
          <t>scientific name; PubChem compound page (NIH); USDA Plants database</t>
        </is>
      </c>
      <c r="P463" s="134" t="n"/>
      <c r="Q463" s="134" t="inlineStr">
        <is>
          <t>vinca-minor</t>
        </is>
      </c>
      <c r="R463" s="134" t="n">
        <v>1</v>
      </c>
      <c r="S463" s="134" t="inlineStr">
        <is>
          <t>Yes</t>
        </is>
      </c>
      <c r="T463" s="134" t="inlineStr">
        <is>
          <t>Integrated from cleaned high-signal dataset</t>
        </is>
      </c>
    </row>
    <row r="464" ht="26" customHeight="1" s="76">
      <c r="A464" s="134" t="inlineStr">
        <is>
          <t>viscotoxin</t>
        </is>
      </c>
      <c r="B464" s="134" t="inlineStr">
        <is>
          <t>viscotoxin</t>
        </is>
      </c>
      <c r="C464" s="134" t="n"/>
      <c r="D464" s="134" t="inlineStr">
        <is>
          <t>Viscotoxin, lectins, polysaccharides</t>
        </is>
      </c>
      <c r="E464" s="134" t="inlineStr">
        <is>
          <t>insufficient evidence</t>
        </is>
      </c>
      <c r="F464" s="134" t="inlineStr">
        <is>
          <t>multi-target signaling modulation</t>
        </is>
      </c>
      <c r="G464" s="134" t="inlineStr">
        <is>
          <t>general or unknown targets</t>
        </is>
      </c>
      <c r="H464" s="134" t="inlineStr">
        <is>
          <t>Injection; immunomodulatory and cytotoxic</t>
        </is>
      </c>
      <c r="I464" s="134" t="inlineStr">
        <is>
          <t>Moderate–high (dose-dependent)</t>
        </is>
      </c>
      <c r="J464" s="134" t="inlineStr">
        <is>
          <t>may interfere with immunosuppressants or chemotherapeutics.</t>
        </is>
      </c>
      <c r="K464" s="134" t="n"/>
      <c r="L464" s="134" t="inlineStr">
        <is>
          <t>compound_level</t>
        </is>
      </c>
      <c r="M464" s="134" t="inlineStr">
        <is>
          <t>European Medicines Agency | Plants of the Gods – Rätsch | https://www.ncbi.nlm.nih.gov/pmc/articles/PMC3201634/</t>
        </is>
      </c>
      <c r="N464" s="134" t="inlineStr">
        <is>
          <t>citation_or_url_present</t>
        </is>
      </c>
      <c r="O464" s="134" t="n"/>
      <c r="P464" s="134" t="n"/>
      <c r="Q464" s="134" t="inlineStr">
        <is>
          <t>viscum-album</t>
        </is>
      </c>
      <c r="R464" s="134" t="n">
        <v>1</v>
      </c>
      <c r="S464" s="134" t="inlineStr">
        <is>
          <t>Yes</t>
        </is>
      </c>
      <c r="T464" s="134" t="inlineStr">
        <is>
          <t>Integrated from cleaned high-signal dataset</t>
        </is>
      </c>
    </row>
    <row r="465" ht="26" customHeight="1" s="76">
      <c r="A465" s="134" t="inlineStr">
        <is>
          <t>vitamin c</t>
        </is>
      </c>
      <c r="B465" s="134" t="inlineStr">
        <is>
          <t>vitamin c</t>
        </is>
      </c>
      <c r="C465" s="134" t="n"/>
      <c r="D465" s="134" t="inlineStr">
        <is>
          <t>Vitamin C, flavonoids, carotenoids</t>
        </is>
      </c>
      <c r="E465" s="134" t="inlineStr">
        <is>
          <t>insufficient evidence</t>
        </is>
      </c>
      <c r="F465" s="134" t="inlineStr">
        <is>
          <t>multi-target signaling modulation</t>
        </is>
      </c>
      <c r="G465" s="134" t="inlineStr">
        <is>
          <t>general or unknown targets</t>
        </is>
      </c>
      <c r="H465" s="134" t="inlineStr">
        <is>
          <t>Oral; anti-inflammatory and vitamin C source</t>
        </is>
      </c>
      <c r="I465" s="134" t="inlineStr">
        <is>
          <t>low</t>
        </is>
      </c>
      <c r="J465" s="134" t="inlineStr">
        <is>
          <t>no well-documented interactions</t>
        </is>
      </c>
      <c r="K465" s="134" t="n"/>
      <c r="L465" s="134" t="inlineStr">
        <is>
          <t>compound_level</t>
        </is>
      </c>
      <c r="M465" s="134" t="inlineStr">
        <is>
          <t>https://plants.sc.egov.usda.gov/home/search?query=Rosa%20canina | https://pubchem.ncbi.nlm.nih.gov/#query=vitamin%20c</t>
        </is>
      </c>
      <c r="N465" s="134" t="inlineStr">
        <is>
          <t>inferred_plus_trusted_gov</t>
        </is>
      </c>
      <c r="O465" s="134" t="inlineStr">
        <is>
          <t>scientific name; PubChem compound page (NIH); USDA Plants database</t>
        </is>
      </c>
      <c r="P465" s="134" t="n"/>
      <c r="Q465" s="134" t="inlineStr">
        <is>
          <t>rosa-canina</t>
        </is>
      </c>
      <c r="R465" s="134" t="n">
        <v>1</v>
      </c>
      <c r="S465" s="134" t="inlineStr">
        <is>
          <t>Yes</t>
        </is>
      </c>
      <c r="T465" s="134" t="inlineStr">
        <is>
          <t>Integrated from cleaned high-signal dataset</t>
        </is>
      </c>
    </row>
    <row r="466" ht="26" customHeight="1" s="76">
      <c r="A466" s="134" t="inlineStr">
        <is>
          <t>vitamin d</t>
        </is>
      </c>
      <c r="B466" s="134" t="inlineStr">
        <is>
          <t>vitamin d</t>
        </is>
      </c>
      <c r="C466" s="134" t="n"/>
      <c r="D466" s="134" t="inlineStr">
        <is>
          <t>secosteroid</t>
        </is>
      </c>
      <c r="E466" s="134" t="inlineStr">
        <is>
          <t>After metabolic activation, binds the vitamin D receptor (VDR) to regulate calcium/phosphate homeostasis and broader gene transcription.</t>
        </is>
      </c>
      <c r="F466" s="134" t="n"/>
      <c r="G466" s="134" t="inlineStr">
        <is>
          <t>Vitamin D receptor agonism; bone mineralization signaling; calcium absorption regulation</t>
        </is>
      </c>
      <c r="H466" s="134" t="inlineStr">
        <is>
          <t>Fat-soluble and absorbed in the small intestine; converted in the liver to 25(OH)D and in the kidney to active 1,25(OH)2D.</t>
        </is>
      </c>
      <c r="I466" s="134" t="inlineStr">
        <is>
          <t>Excess supplemental intake can cause hypercalcemia, hypercalciuria, renal injury, arrhythmias, and soft-tissue calcification.</t>
        </is>
      </c>
      <c r="J466" s="134" t="inlineStr">
        <is>
          <t>Orlistat and bile acid sequestrants (reduced absorption); thiazide diuretics with calcium/vitamin D (increased hypercalcemia risk); glucocorticoids can impair vitamin D metabolism.</t>
        </is>
      </c>
      <c r="K466" s="134" t="inlineStr">
        <is>
          <t>high</t>
        </is>
      </c>
      <c r="L466" s="134" t="inlineStr">
        <is>
          <t>Sprint5</t>
        </is>
      </c>
      <c r="M466" s="134" t="inlineStr">
        <is>
          <t>https://ods.od.nih.gov/factsheets/VitaminD-Consumer%20/ | https://ods.od.nih.gov/factsheets/VitaminD-HealthProfessional/</t>
        </is>
      </c>
      <c r="N466" s="134" t="n"/>
      <c r="O466" s="134" t="n"/>
      <c r="P466" s="134" t="inlineStr">
        <is>
          <t>precision_monographs_sprint5.xlsx</t>
        </is>
      </c>
      <c r="Q466" s="134" t="n"/>
      <c r="R466" s="134" t="n">
        <v>0</v>
      </c>
      <c r="S466" s="134" t="inlineStr">
        <is>
          <t>No</t>
        </is>
      </c>
      <c r="T466" s="134" t="inlineStr">
        <is>
          <t>Integrated from compound monograph workbook</t>
        </is>
      </c>
    </row>
    <row r="467" ht="26" customHeight="1" s="76">
      <c r="A467" s="134" t="inlineStr">
        <is>
          <t>vitexin</t>
        </is>
      </c>
      <c r="B467" s="134" t="inlineStr">
        <is>
          <t>vitexin</t>
        </is>
      </c>
      <c r="C467" s="134" t="n"/>
      <c r="D467" s="134" t="inlineStr">
        <is>
          <t>other</t>
        </is>
      </c>
      <c r="E467" s="134" t="inlineStr">
        <is>
          <t>Flavonoids interact with benzodiazepine binding sites on GABA-A receptors; mild MAO-A inhibition proposed.</t>
        </is>
      </c>
      <c r="F467" s="134" t="inlineStr">
        <is>
          <t>multi-target signaling modulation; muscarinic receptor interaction</t>
        </is>
      </c>
      <c r="G467" s="134" t="inlineStr">
        <is>
          <t>cholinergic_modulation; gabaergic_modulation; monoamine_oxidase_inhibition</t>
        </is>
      </c>
      <c r="H467" s="134" t="inlineStr">
        <is>
          <t>rapid systemic absorption; crosses BBB; hepatic metabolism</t>
        </is>
      </c>
      <c r="I467" s="134" t="inlineStr">
        <is>
          <t>low</t>
        </is>
      </c>
      <c r="J467" s="134" t="inlineStr">
        <is>
          <t>no well-documented interactions</t>
        </is>
      </c>
      <c r="K467" s="134" t="n"/>
      <c r="L467" s="134" t="inlineStr">
        <is>
          <t>compound_level</t>
        </is>
      </c>
      <c r="M467" s="134" t="inlineStr">
        <is>
          <t>https://plants.sc.egov.usda.gov/home/search?query=amorpha%20fruticosa | https://plants.sc.egov.usda.gov/home/search?query=passionflower | https://pubchem.ncbi.nlm.nih.gov/#query=vitexin | https://pubchem.ncbi.nlm.nih.gov/#query=vitexin%29</t>
        </is>
      </c>
      <c r="N467" s="134" t="inlineStr">
        <is>
          <t>trusted_gov_added</t>
        </is>
      </c>
      <c r="O467" s="134" t="inlineStr">
        <is>
          <t>PubChem compound page (NIH); USDA Plants database</t>
        </is>
      </c>
      <c r="P467" s="134" t="n"/>
      <c r="Q467" s="134" t="inlineStr">
        <is>
          <t>amorpha-fruticosa; passiflora-incarnata</t>
        </is>
      </c>
      <c r="R467" s="134" t="n">
        <v>2</v>
      </c>
      <c r="S467" s="134" t="inlineStr">
        <is>
          <t>Yes</t>
        </is>
      </c>
      <c r="T467" s="134" t="inlineStr">
        <is>
          <t>Integrated from cleaned high-signal dataset</t>
        </is>
      </c>
    </row>
    <row r="468" ht="26" customHeight="1" s="76">
      <c r="A468" s="134" t="inlineStr">
        <is>
          <t>voacangine</t>
        </is>
      </c>
      <c r="B468" s="134" t="inlineStr">
        <is>
          <t>voacangine</t>
        </is>
      </c>
      <c r="C468" s="134" t="n"/>
      <c r="D468" s="134" t="inlineStr">
        <is>
          <t>indole alkaloids</t>
        </is>
      </c>
      <c r="E468" s="134" t="inlineStr">
        <is>
          <t>insufficient evidence</t>
        </is>
      </c>
      <c r="F468" s="134" t="inlineStr">
        <is>
          <t>multi-target signaling modulation</t>
        </is>
      </c>
      <c r="G468" s="134" t="inlineStr">
        <is>
          <t>general or unknown targets</t>
        </is>
      </c>
      <c r="H468" s="134" t="inlineStr">
        <is>
          <t>Absorption and bioavailability vary; some compounds metabolized via cytochrome P450 enzymes.</t>
        </is>
      </c>
      <c r="I468" s="134" t="inlineStr">
        <is>
          <t>low</t>
        </is>
      </c>
      <c r="J468" s="134" t="inlineStr">
        <is>
          <t>no well-documented interactions</t>
        </is>
      </c>
      <c r="K468" s="134" t="n"/>
      <c r="L468" s="134" t="inlineStr">
        <is>
          <t>compound_level</t>
        </is>
      </c>
      <c r="M468" s="134" t="inlineStr">
        <is>
          <t>https://plants.sc.egov.usda.gov/home/search?query=Tabernaemontana%20divaricata | https://pubchem.ncbi.nlm.nih.gov/#query=voacangine</t>
        </is>
      </c>
      <c r="N468" s="134" t="inlineStr">
        <is>
          <t>inferred_plus_trusted_gov</t>
        </is>
      </c>
      <c r="O468" s="134" t="inlineStr">
        <is>
          <t>scientific name; PubChem compound page (NIH); USDA Plants database</t>
        </is>
      </c>
      <c r="P468" s="134" t="n"/>
      <c r="Q468" s="134" t="inlineStr">
        <is>
          <t>tabernaemontana-divaricata</t>
        </is>
      </c>
      <c r="R468" s="134" t="n">
        <v>1</v>
      </c>
      <c r="S468" s="134" t="inlineStr">
        <is>
          <t>Yes</t>
        </is>
      </c>
      <c r="T468" s="134" t="inlineStr">
        <is>
          <t>Integrated from cleaned high-signal dataset</t>
        </is>
      </c>
    </row>
    <row r="469" ht="26" customHeight="1" s="76">
      <c r="A469" s="134" t="inlineStr">
        <is>
          <t>withanolide d</t>
        </is>
      </c>
      <c r="B469" s="134" t="inlineStr">
        <is>
          <t>withanolide d)</t>
        </is>
      </c>
      <c r="C469" s="134" t="n"/>
      <c r="D469" s="134" t="inlineStr">
        <is>
          <t>other</t>
        </is>
      </c>
      <c r="E469" s="134" t="inlineStr">
        <is>
          <t>insufficient evidence</t>
        </is>
      </c>
      <c r="F469" s="134" t="inlineStr">
        <is>
          <t>cox/nf-kb inhibition; gaba_a_modulation</t>
        </is>
      </c>
      <c r="G469" s="134" t="inlineStr">
        <is>
          <t>gabaergic_modulation; inflammatory_pathway_modulation</t>
        </is>
      </c>
      <c r="H469" s="134" t="inlineStr">
        <is>
          <t>moderate absorption; hepatic metabolism</t>
        </is>
      </c>
      <c r="I469" s="134" t="inlineStr">
        <is>
          <t>low</t>
        </is>
      </c>
      <c r="J469" s="134" t="inlineStr">
        <is>
          <t>no well-documented interactions</t>
        </is>
      </c>
      <c r="K469" s="134" t="n"/>
      <c r="L469" s="134" t="inlineStr">
        <is>
          <t>compound_level</t>
        </is>
      </c>
      <c r="M469" s="134" t="inlineStr">
        <is>
          <t>https://plants.sc.egov.usda.gov/home/search?query=Withania%20Somnifera | https://plants.sc.egov.usda.gov/home/search?query=ashwagandha | https://pubchem.ncbi.nlm.nih.gov/#query=withanolide%20d</t>
        </is>
      </c>
      <c r="N469" s="134" t="inlineStr">
        <is>
          <t>trusted_gov_added</t>
        </is>
      </c>
      <c r="O469" s="134" t="inlineStr">
        <is>
          <t>PubChem compound page (NIH); USDA Plants database</t>
        </is>
      </c>
      <c r="P469" s="134" t="n"/>
      <c r="Q469" s="134" t="inlineStr">
        <is>
          <t>ashwagandha</t>
        </is>
      </c>
      <c r="R469" s="134" t="n">
        <v>1</v>
      </c>
      <c r="S469" s="134" t="inlineStr">
        <is>
          <t>Yes</t>
        </is>
      </c>
      <c r="T469" s="134" t="inlineStr">
        <is>
          <t>Integrated from cleaned high-signal dataset</t>
        </is>
      </c>
    </row>
    <row r="470" ht="26" customHeight="1" s="76">
      <c r="A470" s="134" t="inlineStr">
        <is>
          <t>withanolides withaferin a</t>
        </is>
      </c>
      <c r="B470" s="134" t="inlineStr">
        <is>
          <t>withanolides (withaferin a</t>
        </is>
      </c>
      <c r="C470" s="134" t="n"/>
      <c r="D470" s="134" t="inlineStr">
        <is>
          <t>other</t>
        </is>
      </c>
      <c r="E470" s="134" t="inlineStr">
        <is>
          <t>insufficient evidence</t>
        </is>
      </c>
      <c r="F470" s="134" t="inlineStr">
        <is>
          <t>cox/nf-kb inhibition; gaba_a_modulation</t>
        </is>
      </c>
      <c r="G470" s="134" t="inlineStr">
        <is>
          <t>gabaergic_modulation; inflammatory_pathway_modulation</t>
        </is>
      </c>
      <c r="H470" s="134" t="inlineStr">
        <is>
          <t>moderate absorption; hepatic metabolism</t>
        </is>
      </c>
      <c r="I470" s="134" t="inlineStr">
        <is>
          <t>low</t>
        </is>
      </c>
      <c r="J470" s="134" t="inlineStr">
        <is>
          <t>no well-documented interactions</t>
        </is>
      </c>
      <c r="K470" s="134" t="n"/>
      <c r="L470" s="134" t="inlineStr">
        <is>
          <t>compound_level</t>
        </is>
      </c>
      <c r="M470" s="134" t="inlineStr">
        <is>
          <t>https://plants.sc.egov.usda.gov/home/search?query=Withania%20Somnifera | https://plants.sc.egov.usda.gov/home/search?query=ashwagandha | https://pubchem.ncbi.nlm.nih.gov/#query=withanolides%20%28withaferin%20a</t>
        </is>
      </c>
      <c r="N470" s="134" t="inlineStr">
        <is>
          <t>trusted_gov_added</t>
        </is>
      </c>
      <c r="O470" s="134" t="inlineStr">
        <is>
          <t>PubChem compound page (NIH); USDA Plants database</t>
        </is>
      </c>
      <c r="P470" s="134" t="n"/>
      <c r="Q470" s="134" t="inlineStr">
        <is>
          <t>withania-somnifera; withania-somnifera-ashwagandha</t>
        </is>
      </c>
      <c r="R470" s="134" t="n">
        <v>2</v>
      </c>
      <c r="S470" s="134" t="inlineStr">
        <is>
          <t>Yes</t>
        </is>
      </c>
      <c r="T470" s="134" t="inlineStr">
        <is>
          <t>Integrated from cleaned high-signal dataset</t>
        </is>
      </c>
    </row>
    <row r="471" ht="26" customHeight="1" s="76">
      <c r="A471" s="134" t="inlineStr">
        <is>
          <t>wogonin</t>
        </is>
      </c>
      <c r="B471" s="134" t="inlineStr">
        <is>
          <t>wogonin</t>
        </is>
      </c>
      <c r="C471" s="134" t="n"/>
      <c r="D471" s="134" t="inlineStr">
        <is>
          <t>other</t>
        </is>
      </c>
      <c r="E471" s="134" t="inlineStr">
        <is>
          <t>American skullcap flavonoids are associated with anticonvulsant and anxiolytic activity; GABAergic signaling and broader neuroinhibitory effects have been proposed in preclinical work.</t>
        </is>
      </c>
      <c r="F471" s="134" t="inlineStr">
        <is>
          <t>gaba_a_modulation; multi-target signaling modulation</t>
        </is>
      </c>
      <c r="G471" s="134" t="inlineStr">
        <is>
          <t>gabaergic_modulation; general or unknown targets</t>
        </is>
      </c>
      <c r="H471" s="134" t="inlineStr">
        <is>
          <t>Oral; liver and immune support</t>
        </is>
      </c>
      <c r="I471" s="134" t="inlineStr">
        <is>
          <t>low</t>
        </is>
      </c>
      <c r="J471" s="134" t="inlineStr">
        <is>
          <t>no well-documented interactions</t>
        </is>
      </c>
      <c r="K471" s="134" t="n"/>
      <c r="L471" s="134" t="inlineStr">
        <is>
          <t>compound_level</t>
        </is>
      </c>
      <c r="M471" s="134" t="inlineStr">
        <is>
          <t>https://plants.sc.egov.usda.gov/home/search?query=Scutellaria%20baicalensis | https://plants.sc.egov.usda.gov/home/search?query=scutellaria%20lateriflora | https://pubchem.ncbi.nlm.nih.gov/#query=wogonin</t>
        </is>
      </c>
      <c r="N471" s="134" t="inlineStr">
        <is>
          <t>inferred_plus_trusted_gov; trusted_gov_added</t>
        </is>
      </c>
      <c r="O471" s="134" t="inlineStr">
        <is>
          <t>PubChem compound page (NIH); USDA Plants database; scientific name; PubChem compound page (NIH); USDA Plants database</t>
        </is>
      </c>
      <c r="P471" s="134" t="n"/>
      <c r="Q471" s="134" t="inlineStr">
        <is>
          <t>scutellaria-baicalensis; scutellaria-lateriflora</t>
        </is>
      </c>
      <c r="R471" s="134" t="n">
        <v>2</v>
      </c>
      <c r="S471" s="134" t="inlineStr">
        <is>
          <t>Yes</t>
        </is>
      </c>
      <c r="T471" s="134" t="inlineStr">
        <is>
          <t>Integrated from cleaned high-signal dataset</t>
        </is>
      </c>
    </row>
    <row r="472" ht="26" customHeight="1" s="76">
      <c r="A472" s="134" t="inlineStr">
        <is>
          <t>xanthohumol</t>
        </is>
      </c>
      <c r="B472" s="134" t="inlineStr">
        <is>
          <t>xanthohumol</t>
        </is>
      </c>
      <c r="C472" s="134" t="n"/>
      <c r="D472" s="134" t="inlineStr">
        <is>
          <t>other</t>
        </is>
      </c>
      <c r="E472" s="134" t="inlineStr">
        <is>
          <t>insufficient evidence</t>
        </is>
      </c>
      <c r="F472" s="134" t="inlineStr">
        <is>
          <t>multi-target signaling modulation</t>
        </is>
      </c>
      <c r="G472" s="134" t="inlineStr">
        <is>
          <t>general or unknown targets</t>
        </is>
      </c>
      <c r="H472" s="134" t="inlineStr">
        <is>
          <t>Absorption and bioavailability vary; some compounds metabolized via cytochrome P450 enzymes.</t>
        </is>
      </c>
      <c r="I472" s="134" t="inlineStr">
        <is>
          <t>low</t>
        </is>
      </c>
      <c r="J472" s="134" t="inlineStr">
        <is>
          <t>no well-documented interactions</t>
        </is>
      </c>
      <c r="K472" s="134" t="n"/>
      <c r="L472" s="134" t="inlineStr">
        <is>
          <t>compound_level</t>
        </is>
      </c>
      <c r="M472" s="134" t="inlineStr">
        <is>
          <t>https://plants.sc.egov.usda.gov/home/search?query=Humulus%20lupulus | https://pubchem.ncbi.nlm.nih.gov/#query=xanthohumol</t>
        </is>
      </c>
      <c r="N472" s="134" t="inlineStr">
        <is>
          <t>inferred_plus_trusted_gov</t>
        </is>
      </c>
      <c r="O472" s="134" t="inlineStr">
        <is>
          <t>scientific name; PubChem compound page (NIH); USDA Plants database</t>
        </is>
      </c>
      <c r="P472" s="134" t="n"/>
      <c r="Q472" s="134" t="inlineStr">
        <is>
          <t>humulus-lupulus</t>
        </is>
      </c>
      <c r="R472" s="134" t="n">
        <v>1</v>
      </c>
      <c r="S472" s="134" t="inlineStr">
        <is>
          <t>Yes</t>
        </is>
      </c>
      <c r="T472" s="134" t="inlineStr">
        <is>
          <t>Integrated from cleaned high-signal dataset</t>
        </is>
      </c>
    </row>
    <row r="473" ht="26" customHeight="1" s="76">
      <c r="A473" s="134" t="inlineStr">
        <is>
          <t>xanthotoxol</t>
        </is>
      </c>
      <c r="B473" s="134" t="inlineStr">
        <is>
          <t>xanthotoxol</t>
        </is>
      </c>
      <c r="C473" s="134" t="n"/>
      <c r="D473" s="134" t="inlineStr">
        <is>
          <t>other</t>
        </is>
      </c>
      <c r="E473" s="134" t="inlineStr">
        <is>
          <t>insufficient evidence</t>
        </is>
      </c>
      <c r="F473" s="134" t="inlineStr">
        <is>
          <t>multi-target signaling modulation</t>
        </is>
      </c>
      <c r="G473" s="134" t="inlineStr">
        <is>
          <t>general or unknown targets</t>
        </is>
      </c>
      <c r="H473" s="134" t="inlineStr">
        <is>
          <t>moderate absorption; hepatic metabolism</t>
        </is>
      </c>
      <c r="I473" s="134" t="inlineStr">
        <is>
          <t>low</t>
        </is>
      </c>
      <c r="J473" s="134" t="inlineStr">
        <is>
          <t>no well-documented interactions</t>
        </is>
      </c>
      <c r="K473" s="134" t="n"/>
      <c r="L473" s="134" t="inlineStr">
        <is>
          <t>compound_level</t>
        </is>
      </c>
      <c r="M473" s="134" t="inlineStr">
        <is>
          <t>https://plants.sc.egov.usda.gov/home/search?query=casimiroa%20edulis | https://pubchem.ncbi.nlm.nih.gov/#query=xanthotoxol</t>
        </is>
      </c>
      <c r="N473" s="134" t="inlineStr">
        <is>
          <t>trusted_gov_added</t>
        </is>
      </c>
      <c r="O473" s="134" t="inlineStr">
        <is>
          <t>PubChem compound page (NIH); USDA Plants database</t>
        </is>
      </c>
      <c r="P473" s="134" t="n"/>
      <c r="Q473" s="134" t="inlineStr">
        <is>
          <t>casimiroa-edulis</t>
        </is>
      </c>
      <c r="R473" s="134" t="n">
        <v>1</v>
      </c>
      <c r="S473" s="134" t="inlineStr">
        <is>
          <t>Yes</t>
        </is>
      </c>
      <c r="T473" s="134" t="inlineStr">
        <is>
          <t>Integrated from cleaned high-signal dataset</t>
        </is>
      </c>
    </row>
    <row r="474" ht="26" customHeight="1" s="76">
      <c r="A474" s="134" t="inlineStr">
        <is>
          <t>xanthumin</t>
        </is>
      </c>
      <c r="B474" s="134" t="inlineStr">
        <is>
          <t>xanthumin</t>
        </is>
      </c>
      <c r="C474" s="134" t="n"/>
      <c r="D474" s="134" t="inlineStr">
        <is>
          <t>Xanthumin, sesquiterpene lactones</t>
        </is>
      </c>
      <c r="E474" s="134" t="inlineStr">
        <is>
          <t>insufficient evidence</t>
        </is>
      </c>
      <c r="F474" s="134" t="inlineStr">
        <is>
          <t>multi-target signaling modulation</t>
        </is>
      </c>
      <c r="G474" s="134" t="inlineStr">
        <is>
          <t>general or unknown targets</t>
        </is>
      </c>
      <c r="H474" s="134" t="inlineStr">
        <is>
          <t>Oral; sinus and antirheumatic</t>
        </is>
      </c>
      <c r="I474" s="134" t="inlineStr">
        <is>
          <t>low</t>
        </is>
      </c>
      <c r="J474" s="134" t="inlineStr">
        <is>
          <t>no well-documented interactions</t>
        </is>
      </c>
      <c r="K474" s="134" t="n"/>
      <c r="L474" s="134" t="inlineStr">
        <is>
          <t>compound_level</t>
        </is>
      </c>
      <c r="M474" s="134" t="inlineStr">
        <is>
          <t>https://plants.sc.egov.usda.gov/home/search?query=Xanthium%20strumarium | https://pubchem.ncbi.nlm.nih.gov/#query=xanthumin</t>
        </is>
      </c>
      <c r="N474" s="134" t="inlineStr">
        <is>
          <t>inferred_plus_trusted_gov</t>
        </is>
      </c>
      <c r="O474" s="134" t="inlineStr">
        <is>
          <t>scientific name; PubChem compound page (NIH); USDA Plants database</t>
        </is>
      </c>
      <c r="P474" s="134" t="n"/>
      <c r="Q474" s="134" t="inlineStr">
        <is>
          <t>xanthium-strumarium</t>
        </is>
      </c>
      <c r="R474" s="134" t="n">
        <v>1</v>
      </c>
      <c r="S474" s="134" t="inlineStr">
        <is>
          <t>Yes</t>
        </is>
      </c>
      <c r="T474" s="134" t="inlineStr">
        <is>
          <t>Integrated from cleaned high-signal dataset</t>
        </is>
      </c>
    </row>
    <row r="475" ht="26" customHeight="1" s="76">
      <c r="A475" s="134" t="inlineStr">
        <is>
          <t>yangonin</t>
        </is>
      </c>
      <c r="B475" s="134" t="inlineStr">
        <is>
          <t>yangonin</t>
        </is>
      </c>
      <c r="C475" s="134" t="n"/>
      <c r="D475" s="134" t="inlineStr">
        <is>
          <t>other</t>
        </is>
      </c>
      <c r="E475" s="134" t="inlineStr">
        <is>
          <t>Kavalactones modulate GABA_A receptor activity, inhibit voltage-gated sodium and calcium channels, and influence dopamine signaling.</t>
        </is>
      </c>
      <c r="F475" s="134" t="inlineStr">
        <is>
          <t>gaba_a_modulation; multi-target signaling modulation</t>
        </is>
      </c>
      <c r="G475" s="134" t="inlineStr">
        <is>
          <t>dopaminergic_modulation; gabaergic_modulation</t>
        </is>
      </c>
      <c r="H475" s="134" t="inlineStr">
        <is>
          <t>moderate absorption; hepatic metabolism</t>
        </is>
      </c>
      <c r="I475" s="134" t="inlineStr">
        <is>
          <t>low</t>
        </is>
      </c>
      <c r="J475" s="134" t="inlineStr">
        <is>
          <t>no well-documented interactions</t>
        </is>
      </c>
      <c r="K475" s="134" t="n"/>
      <c r="L475" s="134" t="inlineStr">
        <is>
          <t>compound_level</t>
        </is>
      </c>
      <c r="M475" s="134" t="inlineStr">
        <is>
          <t>https://plants.sc.egov.usda.gov/home/search?query=kava | https://plants.sc.egov.usda.gov/home/search?query=piper%20methysticum | https://pubchem.ncbi.nlm.nih.gov/#query=yangonin</t>
        </is>
      </c>
      <c r="N475" s="134" t="inlineStr">
        <is>
          <t>trusted_gov_added</t>
        </is>
      </c>
      <c r="O475" s="134" t="inlineStr">
        <is>
          <t>PubChem compound page (NIH); USDA Plants database</t>
        </is>
      </c>
      <c r="P475" s="134" t="n"/>
      <c r="Q475" s="134" t="inlineStr">
        <is>
          <t>kava</t>
        </is>
      </c>
      <c r="R475" s="134" t="n">
        <v>1</v>
      </c>
      <c r="S475" s="134" t="inlineStr">
        <is>
          <t>Yes</t>
        </is>
      </c>
      <c r="T475" s="134" t="inlineStr">
        <is>
          <t>Integrated from cleaned high-signal dataset</t>
        </is>
      </c>
    </row>
    <row r="476" ht="26" customHeight="1" s="76">
      <c r="A476" s="134" t="inlineStr">
        <is>
          <t>zerumbone</t>
        </is>
      </c>
      <c r="B476" s="134" t="inlineStr">
        <is>
          <t>zerumbone</t>
        </is>
      </c>
      <c r="C476" s="134" t="n"/>
      <c r="D476" s="134" t="inlineStr">
        <is>
          <t>sesquiterpenes</t>
        </is>
      </c>
      <c r="E476" s="134" t="inlineStr">
        <is>
          <t>Zerumbone is the best-characterized constituent and shows anti-inflammatory and immunomodulatory effects in preclinical models.</t>
        </is>
      </c>
      <c r="F476" s="134" t="inlineStr">
        <is>
          <t>cox/nf-kb inhibition</t>
        </is>
      </c>
      <c r="G476" s="134" t="inlineStr">
        <is>
          <t>inflammatory_pathway_modulation</t>
        </is>
      </c>
      <c r="H476" s="134" t="inlineStr">
        <is>
          <t>oral absorption; hepatic metabolism; systemic distribution</t>
        </is>
      </c>
      <c r="I476" s="134" t="inlineStr">
        <is>
          <t>low</t>
        </is>
      </c>
      <c r="J476" s="134" t="inlineStr">
        <is>
          <t>no well-documented interactions</t>
        </is>
      </c>
      <c r="K476" s="134" t="n"/>
      <c r="L476" s="134" t="inlineStr">
        <is>
          <t>compound_level</t>
        </is>
      </c>
      <c r="M476" s="134" t="inlineStr">
        <is>
          <t>https://plants.sc.egov.usda.gov/home/search?query=shampoo%20ginger | https://pubchem.ncbi.nlm.nih.gov/#query=zerumbone</t>
        </is>
      </c>
      <c r="N476" s="134" t="inlineStr">
        <is>
          <t>trusted_gov_added</t>
        </is>
      </c>
      <c r="O476" s="134" t="inlineStr">
        <is>
          <t>PubChem compound page (NIH); USDA Plants database</t>
        </is>
      </c>
      <c r="P476" s="134" t="n"/>
      <c r="Q476" s="134" t="inlineStr">
        <is>
          <t>zingiber-zerumbet</t>
        </is>
      </c>
      <c r="R476" s="134" t="n">
        <v>1</v>
      </c>
      <c r="S476" s="134" t="inlineStr">
        <is>
          <t>Yes</t>
        </is>
      </c>
      <c r="T476" s="134" t="inlineStr">
        <is>
          <t>Integrated from cleaned high-signal dataset</t>
        </is>
      </c>
    </row>
    <row r="477" ht="26" customHeight="1" s="76">
      <c r="A477" s="134" t="inlineStr">
        <is>
          <t>zinc</t>
        </is>
      </c>
      <c r="B477" s="134" t="inlineStr">
        <is>
          <t>zinc</t>
        </is>
      </c>
      <c r="C477" s="134" t="n"/>
      <c r="D477" s="134" t="inlineStr">
        <is>
          <t>trace mineral</t>
        </is>
      </c>
      <c r="E477" s="134" t="inlineStr">
        <is>
          <t>Cofactor regulating metallothioneins and zinc transporters (ZIP/ZnT)</t>
        </is>
      </c>
      <c r="F477" s="134" t="n"/>
      <c r="G477" s="134" t="inlineStr">
        <is>
          <t>MTF-1; Metallothionein; ZIP; ZnT</t>
        </is>
      </c>
      <c r="H477" s="134" t="n"/>
      <c r="I477" s="134" t="n"/>
      <c r="J477" s="134" t="inlineStr">
        <is>
          <t>Antibiotics (↓ absorption); diuretics (↑ loss)</t>
        </is>
      </c>
      <c r="K477" s="134" t="n"/>
      <c r="L477" s="134" t="inlineStr">
        <is>
          <t>Batch8-Mineral</t>
        </is>
      </c>
      <c r="M477" s="134" t="n"/>
      <c r="N477" s="134" t="n"/>
      <c r="O477" s="134" t="n"/>
      <c r="P477" s="134" t="inlineStr">
        <is>
          <t>precision_monographs_batch8.xlsx</t>
        </is>
      </c>
      <c r="Q477" s="134" t="n"/>
      <c r="R477" s="134" t="n">
        <v>0</v>
      </c>
      <c r="S477" s="134" t="inlineStr">
        <is>
          <t>No</t>
        </is>
      </c>
      <c r="T477" s="134" t="inlineStr">
        <is>
          <t>Integrated from compound monograph workbook</t>
        </is>
      </c>
    </row>
    <row r="478" ht="26" customHeight="1" s="76">
      <c r="A478" s="134" t="inlineStr">
        <is>
          <t>zingerone</t>
        </is>
      </c>
      <c r="B478" s="134" t="inlineStr">
        <is>
          <t>zingerone</t>
        </is>
      </c>
      <c r="C478" s="134" t="n"/>
      <c r="D478" s="134" t="inlineStr">
        <is>
          <t>other</t>
        </is>
      </c>
      <c r="E478" s="134" t="inlineStr">
        <is>
          <t>insufficient evidence</t>
        </is>
      </c>
      <c r="F478" s="134" t="inlineStr">
        <is>
          <t>cox/nf-kb inhibition</t>
        </is>
      </c>
      <c r="G478" s="134" t="inlineStr">
        <is>
          <t>inflammatory_pathway_modulation</t>
        </is>
      </c>
      <c r="H478" s="134" t="inlineStr">
        <is>
          <t>oral absorption; hepatic metabolism; systemic distribution</t>
        </is>
      </c>
      <c r="I478" s="134" t="inlineStr">
        <is>
          <t>low</t>
        </is>
      </c>
      <c r="J478" s="134" t="inlineStr">
        <is>
          <t>no well-documented interactions</t>
        </is>
      </c>
      <c r="K478" s="134" t="n"/>
      <c r="L478" s="134" t="inlineStr">
        <is>
          <t>compound_level</t>
        </is>
      </c>
      <c r="M478" s="134" t="inlineStr">
        <is>
          <t>https://plants.sc.egov.usda.gov/home/search?query=ginger | https://pubchem.ncbi.nlm.nih.gov/#query=zingerone</t>
        </is>
      </c>
      <c r="N478" s="134" t="inlineStr">
        <is>
          <t>trusted_gov_added</t>
        </is>
      </c>
      <c r="O478" s="134" t="inlineStr">
        <is>
          <t>PubChem compound page (NIH); USDA Plants database</t>
        </is>
      </c>
      <c r="P478" s="134" t="n"/>
      <c r="Q478" s="134" t="inlineStr">
        <is>
          <t>ginger</t>
        </is>
      </c>
      <c r="R478" s="134" t="n">
        <v>1</v>
      </c>
      <c r="S478" s="134" t="inlineStr">
        <is>
          <t>Yes</t>
        </is>
      </c>
      <c r="T478" s="134" t="inlineStr">
        <is>
          <t>Integrated from cleaned high-signal dataset</t>
        </is>
      </c>
    </row>
    <row r="479" ht="26" customHeight="1" s="76">
      <c r="A479" s="134" t="inlineStr">
        <is>
          <t>alpha-terpineol</t>
        </is>
      </c>
      <c r="B479" s="134" t="inlineStr">
        <is>
          <t>α-terpineol</t>
        </is>
      </c>
      <c r="C479" s="134" t="n"/>
      <c r="D479" s="134" t="inlineStr">
        <is>
          <t>other</t>
        </is>
      </c>
      <c r="E479" s="134" t="inlineStr">
        <is>
          <t>insufficient evidence</t>
        </is>
      </c>
      <c r="F479" s="134" t="inlineStr">
        <is>
          <t>multi-target signaling modulation</t>
        </is>
      </c>
      <c r="G479" s="134" t="inlineStr">
        <is>
          <t>general or unknown targets</t>
        </is>
      </c>
      <c r="H479" s="134" t="inlineStr">
        <is>
          <t>Inhalation/topical; calming and antiseptic</t>
        </is>
      </c>
      <c r="I479" s="134" t="inlineStr">
        <is>
          <t>low</t>
        </is>
      </c>
      <c r="J479" s="134" t="inlineStr">
        <is>
          <t>no well-documented interactions</t>
        </is>
      </c>
      <c r="K479" s="134" t="n"/>
      <c r="L479" s="134" t="inlineStr">
        <is>
          <t>compound_level</t>
        </is>
      </c>
      <c r="M479" s="134" t="inlineStr">
        <is>
          <t>https://plants.sc.egov.usda.gov/home/search?query=Bursera%20graveolens | https://pubchem.ncbi.nlm.nih.gov/#query=alpha%20-terpineol</t>
        </is>
      </c>
      <c r="N479" s="134" t="inlineStr">
        <is>
          <t>inferred_plus_trusted_gov</t>
        </is>
      </c>
      <c r="O479" s="134" t="inlineStr">
        <is>
          <t>scientific name; PubChem compound page (NIH); USDA Plants database</t>
        </is>
      </c>
      <c r="P479" s="134" t="n"/>
      <c r="Q479" s="134" t="inlineStr">
        <is>
          <t>bursera-graveolens</t>
        </is>
      </c>
      <c r="R479" s="134" t="n">
        <v>1</v>
      </c>
      <c r="S479" s="134" t="inlineStr">
        <is>
          <t>Yes</t>
        </is>
      </c>
      <c r="T479" s="134" t="inlineStr">
        <is>
          <t>Integrated from cleaned high-signal dataset</t>
        </is>
      </c>
    </row>
    <row r="480" ht="26" customHeight="1" s="76">
      <c r="A480" s="134" t="inlineStr">
        <is>
          <t>withaferin a</t>
        </is>
      </c>
      <c r="B480" s="134" t="inlineStr">
        <is>
          <t>withaferin A</t>
        </is>
      </c>
      <c r="C480" s="134" t="inlineStr">
        <is>
          <t>WA</t>
        </is>
      </c>
      <c r="D480" s="134" t="inlineStr">
        <is>
          <t>withanolide / steroidal lactone</t>
        </is>
      </c>
      <c r="E480" s="134" t="inlineStr">
        <is>
          <t>proposed mechanism based on preclinical data: multi-target modulation including HSP90 inhibition, disruption of vimentin-dependent cytoskeletal signaling, and suppression of IKKbeta/NF-kappaB inflammatory signaling. Human clinical mechanism is not established.</t>
        </is>
      </c>
      <c r="F480" s="134" t="inlineStr">
        <is>
          <t>inflammatory_pathway_modulation; multi-target signaling modulation</t>
        </is>
      </c>
      <c r="G480" s="134" t="inlineStr">
        <is>
          <t>HSP90; vimentin; IKKbeta; NFkB; EMT-related signaling</t>
        </is>
      </c>
      <c r="H480" s="134" t="inlineStr">
        <is>
          <t>Human PK exists but remains early-stage; measurable oral exposure reported in phase I work, but dataset remains limited.</t>
        </is>
      </c>
      <c r="I480" s="134" t="inlineStr">
        <is>
          <t>Use herb-level ashwagandha safety framing; rare liver injury has been reported for ashwagandha products and caution is appropriate in pregnancy, breastfeeding, thyroid-related contexts, and long-term use uncertainty.</t>
        </is>
      </c>
      <c r="J480" s="134" t="inlineStr">
        <is>
          <t>No compound-specific clinical interaction set is established; retain herb-level ashwagandha interaction caution only.</t>
        </is>
      </c>
      <c r="K480" s="134" t="inlineStr">
        <is>
          <t>Moderate-High</t>
        </is>
      </c>
      <c r="L480" s="134" t="inlineStr">
        <is>
          <t>preclinical + early human PK</t>
        </is>
      </c>
      <c r="M480" s="134" t="inlineStr">
        <is>
          <t>https://pubchem.ncbi.nlm.nih.gov/compound/Withaferin-A | https://pubmed.ncbi.nlm.nih.gov/?term=withaferin+A+HSP90 | https://pubmed.ncbi.nlm.nih.gov/?term=withaferin+A+vimentin | https://pubmed.ncbi.nlm.nih.gov/?term=withaferin+A+IKKb | https://www.nccih.nih.gov/health/ashwagandha</t>
        </is>
      </c>
      <c r="N480" s="134" t="inlineStr">
        <is>
          <t>tier1_locked</t>
        </is>
      </c>
      <c r="O480" s="134" t="inlineStr">
        <is>
          <t>PubChem + PubMed + NCCIH</t>
        </is>
      </c>
      <c r="P480" s="134" t="inlineStr">
        <is>
          <t>herb_monograph_master_advanced_v11_locked_batch4.xlsx</t>
        </is>
      </c>
      <c r="Q480" s="134" t="inlineStr">
        <is>
          <t>ashwagandha</t>
        </is>
      </c>
      <c r="R480" s="134" t="n">
        <v>1</v>
      </c>
      <c r="S480" s="134" t="inlineStr">
        <is>
          <t>Yes</t>
        </is>
      </c>
      <c r="T480" s="134" t="inlineStr">
        <is>
          <t>Locked in Batch 3 from provisional status with conservative mechanism/PK framing.</t>
        </is>
      </c>
    </row>
    <row r="481" ht="26" customHeight="1" s="76">
      <c r="A481" s="134" t="inlineStr">
        <is>
          <t>withanolide a</t>
        </is>
      </c>
      <c r="B481" s="134" t="inlineStr">
        <is>
          <t>withanolide A</t>
        </is>
      </c>
      <c r="C481" s="134" t="inlineStr">
        <is>
          <t>WLD-A; withanolide A steroidal lactone</t>
        </is>
      </c>
      <c r="D481" s="134" t="inlineStr">
        <is>
          <t>withanolide / steroidal lactone</t>
        </is>
      </c>
      <c r="E481" s="134" t="inlineStr">
        <is>
          <t>proposed mechanism based on preclinical data: neuroprotective and anti-neuroinflammatory activity with reported effects on hippocampal neuroinflammation and neurotrophic/oxidative-stress signaling. Human target-level confirmation is limited.</t>
        </is>
      </c>
      <c r="F481" s="134" t="inlineStr">
        <is>
          <t>inflammatory_pathway_modulation; neuroprotective; multi-target signaling modulation</t>
        </is>
      </c>
      <c r="G481" s="134" t="inlineStr">
        <is>
          <t>BDNF/TrkB-associated signaling; Akt; ERK; CREB; NRF2; neuroinflammation-related signaling</t>
        </is>
      </c>
      <c r="H481" s="134" t="inlineStr">
        <is>
          <t>Preclinical PK is stronger than clinical PK; rat studies report permeability, plasma protein binding, blood partitioning, and tissue distribution; isolated-compound human PK remains limited.</t>
        </is>
      </c>
      <c r="I481" s="134" t="inlineStr">
        <is>
          <t>Use cautious ashwagandha/withanolide-class safety framing; isolated-compound human safety data remain limited.</t>
        </is>
      </c>
      <c r="J481" s="134" t="inlineStr">
        <is>
          <t>No compound-specific clinical drug interactions established.</t>
        </is>
      </c>
      <c r="K481" s="134" t="inlineStr">
        <is>
          <t>Moderate</t>
        </is>
      </c>
      <c r="L481" s="134" t="inlineStr">
        <is>
          <t>preclinical</t>
        </is>
      </c>
      <c r="M481" s="134" t="inlineStr">
        <is>
          <t>https://pubchem.ncbi.nlm.nih.gov/compound/Withanolide-A | https://pubmed.ncbi.nlm.nih.gov/?term=withanolide+A+pharmacokinetics | https://pubmed.ncbi.nlm.nih.gov/?term=withanolide+A+neuroinflammation | https://www.nccih.nih.gov/health/ashwagandha</t>
        </is>
      </c>
      <c r="N481" s="134" t="inlineStr">
        <is>
          <t>tier1_locked</t>
        </is>
      </c>
      <c r="O481" s="134" t="inlineStr">
        <is>
          <t>PubChem + PubMed + NCCIH</t>
        </is>
      </c>
      <c r="P481" s="134" t="inlineStr">
        <is>
          <t>herb_monograph_master_advanced_v11_locked_batch4.xlsx</t>
        </is>
      </c>
      <c r="Q481" s="134" t="inlineStr">
        <is>
          <t>ashwagandha</t>
        </is>
      </c>
      <c r="R481" s="134" t="n">
        <v>1</v>
      </c>
      <c r="S481" s="134" t="inlineStr">
        <is>
          <t>Yes</t>
        </is>
      </c>
      <c r="T481" s="134" t="inlineStr">
        <is>
          <t>Locked in Batch 3 from provisional status with preclinical PK/neurobiology framing.</t>
        </is>
      </c>
    </row>
    <row r="482" ht="26" customHeight="1" s="76">
      <c r="A482" s="134" t="inlineStr">
        <is>
          <t>withanoside iv</t>
        </is>
      </c>
      <c r="B482" s="134" t="inlineStr">
        <is>
          <t>withanoside IV</t>
        </is>
      </c>
      <c r="C482" s="134" t="n"/>
      <c r="D482" s="134" t="inlineStr">
        <is>
          <t>withanolide glycoside / steroidal lactone glycoside</t>
        </is>
      </c>
      <c r="E482" s="134" t="inlineStr">
        <is>
          <t>proposed mechanism based on preclinical data: neuroprotective and neurite-outgrowth-associated effects are reported in Withania studies, but no established human mechanism exists.</t>
        </is>
      </c>
      <c r="F482" s="134" t="inlineStr">
        <is>
          <t>neuroprotective; adaptogen; multi-target signaling modulation</t>
        </is>
      </c>
      <c r="G482" s="134" t="inlineStr">
        <is>
          <t>neuroregeneration-related signaling; unresolved at isolated-compound level</t>
        </is>
      </c>
      <c r="H482" s="134" t="inlineStr">
        <is>
          <t>No robust isolated-compound human pharmacokinetic data identified.</t>
        </is>
      </c>
      <c r="I482" s="134" t="inlineStr">
        <is>
          <t>Use herb-level ashwagandha safety framing only; isolated-compound human safety data remain limited.</t>
        </is>
      </c>
      <c r="J482" s="134" t="inlineStr">
        <is>
          <t>No compound-specific clinical drug interactions established.</t>
        </is>
      </c>
      <c r="K482" s="134" t="inlineStr">
        <is>
          <t>Moderate</t>
        </is>
      </c>
      <c r="L482" s="134" t="inlineStr">
        <is>
          <t>preclinical</t>
        </is>
      </c>
      <c r="M482" s="134" t="inlineStr">
        <is>
          <t>https://pubchem.ncbi.nlm.nih.gov/compound/Withanoside-IV | https://pubmed.ncbi.nlm.nih.gov/?term=withanoside+IV | https://www.nccih.nih.gov/health/ashwagandha</t>
        </is>
      </c>
      <c r="N482" s="134" t="inlineStr">
        <is>
          <t>tier1_locked</t>
        </is>
      </c>
      <c r="O482" s="134" t="inlineStr">
        <is>
          <t>PubChem + PubMed + NCCIH</t>
        </is>
      </c>
      <c r="P482" s="134" t="inlineStr">
        <is>
          <t>herb_monograph_master_advanced_v11_full_integration_batch5.xlsx</t>
        </is>
      </c>
      <c r="Q482" s="134" t="inlineStr">
        <is>
          <t>ashwagandha</t>
        </is>
      </c>
      <c r="R482" s="134" t="n">
        <v>1</v>
      </c>
      <c r="S482" s="134" t="inlineStr">
        <is>
          <t>Yes</t>
        </is>
      </c>
      <c r="T482" s="134" t="inlineStr">
        <is>
          <t>Upgraded from provisional herb-layer record during full Batch 5 integration pass.</t>
        </is>
      </c>
    </row>
    <row r="483" ht="26" customHeight="1" s="76">
      <c r="A483" s="134" t="inlineStr">
        <is>
          <t>actein</t>
        </is>
      </c>
      <c r="B483" s="134" t="inlineStr">
        <is>
          <t>actein</t>
        </is>
      </c>
      <c r="C483" s="134" t="n"/>
      <c r="D483" s="134" t="inlineStr">
        <is>
          <t>triterpene glycoside</t>
        </is>
      </c>
      <c r="E483" s="134" t="inlineStr">
        <is>
          <t>Proposed mechanism based on preclinical data: actein exhibits anti-inflammatory and anti-proliferative activity via modulation of NF-kB signaling, calcium homeostasis, and nitric oxide pathways, with apoptosis-related effects reported in vitro.</t>
        </is>
      </c>
      <c r="F483" s="134" t="inlineStr">
        <is>
          <t>inflammatory_pathway_modulation; multi-target signaling modulation</t>
        </is>
      </c>
      <c r="G483" s="134" t="inlineStr">
        <is>
          <t>NF-kB; calcium signaling; nitric oxide</t>
        </is>
      </c>
      <c r="H483" s="134" t="inlineStr">
        <is>
          <t>Limited human data; absorption and metabolism are not well characterized.</t>
        </is>
      </c>
      <c r="I483" s="134" t="inlineStr">
        <is>
          <t>No independent human toxicity profile is established; safety is generally inferred from black cohosh extract use.</t>
        </is>
      </c>
      <c r="J483" s="134" t="inlineStr">
        <is>
          <t>No well-established clinical interactions; theoretical overlap with anti-inflammatory and hormonal therapies.</t>
        </is>
      </c>
      <c r="K483" s="134" t="inlineStr">
        <is>
          <t>Medium</t>
        </is>
      </c>
      <c r="L483" s="134" t="inlineStr">
        <is>
          <t>preclinical</t>
        </is>
      </c>
      <c r="M483" s="134" t="inlineStr">
        <is>
          <t>https://pubmed.ncbi.nlm.nih.gov/21614156/ | https://www.ema.europa.eu/en/documents/herbal-report/final-assessment-report-actaea-racemosa-l-rhizoma_en.pdf</t>
        </is>
      </c>
      <c r="N483" s="134" t="inlineStr">
        <is>
          <t>tier1_locked</t>
        </is>
      </c>
      <c r="O483" s="134" t="inlineStr">
        <is>
          <t>PubMed mechanism review; EMA assessment context</t>
        </is>
      </c>
      <c r="P483" s="134" t="inlineStr">
        <is>
          <t>locked_compounds_batch1_2026-04-07</t>
        </is>
      </c>
      <c r="Q483" s="134" t="inlineStr">
        <is>
          <t>black-cohosh</t>
        </is>
      </c>
      <c r="R483" s="134" t="n">
        <v>1</v>
      </c>
      <c r="S483" s="134" t="inlineStr">
        <is>
          <t>Yes</t>
        </is>
      </c>
      <c r="T483" s="134" t="inlineStr">
        <is>
          <t>Locked from provisional status in batch 1 using primary-source-supported compound framing.</t>
        </is>
      </c>
    </row>
    <row r="484" ht="26" customHeight="1" s="76">
      <c r="A484" s="134" t="inlineStr">
        <is>
          <t>23-epi-26-deoxyactein</t>
        </is>
      </c>
      <c r="B484" s="134" t="inlineStr">
        <is>
          <t>23-epi-26-deoxyactein</t>
        </is>
      </c>
      <c r="C484" s="134" t="n"/>
      <c r="D484" s="134" t="inlineStr">
        <is>
          <t>triterpene glycoside</t>
        </is>
      </c>
      <c r="E484" s="134" t="inlineStr">
        <is>
          <t>Proposed mechanism based on preclinical data: 23-epi-26-deoxyactein shows anti-inflammatory pathway effects and suppression of nitric oxide signaling in vitro, with broader black cohosh mechanistic relevance still not fully resolved in humans.</t>
        </is>
      </c>
      <c r="F484" s="134" t="inlineStr">
        <is>
          <t>inflammatory_pathway_modulation; multi-target signaling modulation</t>
        </is>
      </c>
      <c r="G484" s="134" t="inlineStr">
        <is>
          <t>NF-kB; inflammatory cytokines; nitric oxide</t>
        </is>
      </c>
      <c r="H484" s="134" t="inlineStr">
        <is>
          <t>Pharmacokinetic profile is not well characterized in humans.</t>
        </is>
      </c>
      <c r="I484" s="134" t="inlineStr">
        <is>
          <t>No independent human toxicity profile is established; safety is generally inferred from black cohosh extract use.</t>
        </is>
      </c>
      <c r="J484" s="134" t="inlineStr">
        <is>
          <t>No well-established clinical interactions are confirmed.</t>
        </is>
      </c>
      <c r="K484" s="134" t="inlineStr">
        <is>
          <t>Medium</t>
        </is>
      </c>
      <c r="L484" s="134" t="inlineStr">
        <is>
          <t>preclinical</t>
        </is>
      </c>
      <c r="M484" s="134" t="inlineStr">
        <is>
          <t>https://pubmed.ncbi.nlm.nih.gov/21614156/</t>
        </is>
      </c>
      <c r="N484" s="134" t="inlineStr">
        <is>
          <t>tier1_locked</t>
        </is>
      </c>
      <c r="O484" s="134" t="inlineStr">
        <is>
          <t>PubMed mechanism review</t>
        </is>
      </c>
      <c r="P484" s="134" t="inlineStr">
        <is>
          <t>locked_compounds_batch1_2026-04-07</t>
        </is>
      </c>
      <c r="Q484" s="134" t="inlineStr">
        <is>
          <t>black-cohosh</t>
        </is>
      </c>
      <c r="R484" s="134" t="n">
        <v>1</v>
      </c>
      <c r="S484" s="134" t="inlineStr">
        <is>
          <t>Yes</t>
        </is>
      </c>
      <c r="T484" s="134" t="inlineStr">
        <is>
          <t>Locked from provisional status in batch 1 using primary-source-supported compound framing.</t>
        </is>
      </c>
    </row>
    <row r="485" ht="26" customHeight="1" s="76">
      <c r="A485" s="134" t="inlineStr">
        <is>
          <t>cimifugoside</t>
        </is>
      </c>
      <c r="B485" s="134" t="inlineStr">
        <is>
          <t>cimifugoside</t>
        </is>
      </c>
      <c r="C485" s="134" t="n"/>
      <c r="D485" s="134" t="inlineStr">
        <is>
          <t>triterpene glycoside</t>
        </is>
      </c>
      <c r="E485" s="134" t="inlineStr">
        <is>
          <t>Proposed mechanism based on preclinical data: cimifugoside is a black cohosh triterpene glycoside that may contribute to anti-inflammatory and anti-proliferative activity seen in Actaea racemosa extracts. Human mechanism data are not established.</t>
        </is>
      </c>
      <c r="F485" s="134" t="inlineStr">
        <is>
          <t>inflammatory_pathway_modulation; hormonal</t>
        </is>
      </c>
      <c r="G485" s="134" t="inlineStr">
        <is>
          <t>NF-κB modulation; inflammatory cytokine signaling</t>
        </is>
      </c>
      <c r="H485" s="134" t="inlineStr">
        <is>
          <t>Human pharmacokinetic data not well characterized.</t>
        </is>
      </c>
      <c r="I485" s="134" t="inlineStr">
        <is>
          <t>No standalone human safety profile established; safety is inferred from black cohosh extract use.</t>
        </is>
      </c>
      <c r="J485" s="134" t="inlineStr">
        <is>
          <t>No confirmed compound-specific interactions; theoretical overlap with hormonal and anti-inflammatory agents.</t>
        </is>
      </c>
      <c r="K485" s="134" t="inlineStr">
        <is>
          <t>Medium</t>
        </is>
      </c>
      <c r="L485" s="134" t="inlineStr">
        <is>
          <t>preclinical</t>
        </is>
      </c>
      <c r="M485" s="134" t="inlineStr">
        <is>
          <t>PubMed black cohosh phytochemistry/mechanism literature; EMA Actaea racemosa monograph</t>
        </is>
      </c>
      <c r="N485" s="134" t="inlineStr">
        <is>
          <t>tier1+review</t>
        </is>
      </c>
      <c r="O485" s="134" t="inlineStr">
        <is>
          <t>Locked from provisional using primary literature and monograph context</t>
        </is>
      </c>
      <c r="P485" s="134" t="inlineStr">
        <is>
          <t>herb_monograph_master_advanced_v10_locked_batch1.xlsx</t>
        </is>
      </c>
      <c r="Q485" s="134" t="inlineStr">
        <is>
          <t>black-cohosh</t>
        </is>
      </c>
      <c r="R485" s="134" t="n">
        <v>1</v>
      </c>
      <c r="S485" s="134" t="inlineStr">
        <is>
          <t>Yes</t>
        </is>
      </c>
      <c r="T485" s="134" t="inlineStr">
        <is>
          <t>Locked in Batch 2 from provisional status.</t>
        </is>
      </c>
    </row>
    <row r="486" ht="26" customHeight="1" s="76">
      <c r="A486" s="134" t="inlineStr">
        <is>
          <t>fukinolic acid</t>
        </is>
      </c>
      <c r="B486" s="134" t="inlineStr">
        <is>
          <t>fukinolic acid</t>
        </is>
      </c>
      <c r="C486" s="134" t="n"/>
      <c r="D486" s="134" t="inlineStr">
        <is>
          <t>phenolic acid derivative</t>
        </is>
      </c>
      <c r="E486" s="134" t="inlineStr">
        <is>
          <t>Proposed mechanism based on preclinical data: fukinolic acid is a phenolic constituent reported in black cohosh preparations and may contribute antioxidant and signaling effects, but the mechanistic evidence is limited and mixed.</t>
        </is>
      </c>
      <c r="F486" s="134" t="inlineStr">
        <is>
          <t>oxidative_stress_modulation; inflammatory_pathway_modulation</t>
        </is>
      </c>
      <c r="G486" s="134" t="inlineStr">
        <is>
          <t>general or unknown targets</t>
        </is>
      </c>
      <c r="H486" s="134" t="inlineStr">
        <is>
          <t>Human pharmacokinetic data not locked.</t>
        </is>
      </c>
      <c r="I486" s="134" t="inlineStr">
        <is>
          <t>No standalone human safety profile established; use caution because evidence is limited.</t>
        </is>
      </c>
      <c r="J486" s="134" t="inlineStr">
        <is>
          <t>No confirmed compound-specific interaction profile established.</t>
        </is>
      </c>
      <c r="K486" s="134" t="inlineStr">
        <is>
          <t>Medium</t>
        </is>
      </c>
      <c r="L486" s="134" t="inlineStr">
        <is>
          <t>preclinical</t>
        </is>
      </c>
      <c r="M486" s="134" t="inlineStr">
        <is>
          <t>PubMed black cohosh phytochemistry literature; EMA Actaea racemosa monograph</t>
        </is>
      </c>
      <c r="N486" s="134" t="inlineStr">
        <is>
          <t>tier1+review</t>
        </is>
      </c>
      <c r="O486" s="134" t="inlineStr">
        <is>
          <t>Locked from provisional using primary literature and monograph context</t>
        </is>
      </c>
      <c r="P486" s="134" t="inlineStr">
        <is>
          <t>herb_monograph_master_advanced_v10_locked_batch1.xlsx</t>
        </is>
      </c>
      <c r="Q486" s="134" t="inlineStr">
        <is>
          <t>black-cohosh</t>
        </is>
      </c>
      <c r="R486" s="134" t="n">
        <v>1</v>
      </c>
      <c r="S486" s="134" t="inlineStr">
        <is>
          <t>Yes</t>
        </is>
      </c>
      <c r="T486" s="134" t="inlineStr">
        <is>
          <t>Locked in Batch 2 from provisional status.</t>
        </is>
      </c>
    </row>
    <row r="487" ht="26" customHeight="1" s="76">
      <c r="A487" s="134" t="inlineStr">
        <is>
          <t>chicoric acid</t>
        </is>
      </c>
      <c r="B487" s="134" t="inlineStr">
        <is>
          <t>chicoric acid</t>
        </is>
      </c>
      <c r="C487" s="134" t="str"/>
      <c r="D487" s="134" t="inlineStr">
        <is>
          <t>provisional_from_herb_monograph</t>
        </is>
      </c>
      <c r="E487" s="134" t="n"/>
      <c r="F487" s="134" t="n"/>
      <c r="G487" s="134" t="n"/>
      <c r="H487" s="134" t="n"/>
      <c r="I487" s="134" t="n"/>
      <c r="J487" s="134" t="n"/>
      <c r="K487" s="134" t="inlineStr">
        <is>
          <t>Low</t>
        </is>
      </c>
      <c r="L487" s="134" t="inlineStr">
        <is>
          <t>herb_level_reference_only</t>
        </is>
      </c>
      <c r="M487" s="134" t="n"/>
      <c r="N487" s="134" t="inlineStr">
        <is>
          <t>derived_from_curated_herb_monograph</t>
        </is>
      </c>
      <c r="O487" s="134" t="inlineStr">
        <is>
          <t>herb_monograph_activeCompounds</t>
        </is>
      </c>
      <c r="P487" s="134" t="inlineStr">
        <is>
          <t>herb_monograph_master_advanced_v8_compound_layer.xlsx</t>
        </is>
      </c>
      <c r="Q487" s="134" t="inlineStr">
        <is>
          <t>echinacea-purpurea</t>
        </is>
      </c>
      <c r="R487" s="134" t="n">
        <v>1</v>
      </c>
      <c r="S487" s="134" t="inlineStr">
        <is>
          <t>Yes</t>
        </is>
      </c>
      <c r="T487" s="134" t="inlineStr">
        <is>
          <t>Provisional compound record created during V3 normalization from herb activeCompounds entry: chicoric acid</t>
        </is>
      </c>
    </row>
    <row r="488" ht="26" customHeight="1" s="76">
      <c r="A488" s="134" t="inlineStr">
        <is>
          <t>echinacoside</t>
        </is>
      </c>
      <c r="B488" s="134" t="inlineStr">
        <is>
          <t>echinacoside</t>
        </is>
      </c>
      <c r="C488" s="134" t="str"/>
      <c r="D488" s="134" t="inlineStr">
        <is>
          <t>provisional_from_herb_monograph</t>
        </is>
      </c>
      <c r="E488" s="134" t="n"/>
      <c r="F488" s="134" t="n"/>
      <c r="G488" s="134" t="n"/>
      <c r="H488" s="134" t="n"/>
      <c r="I488" s="134" t="n"/>
      <c r="J488" s="134" t="n"/>
      <c r="K488" s="134" t="inlineStr">
        <is>
          <t>Low</t>
        </is>
      </c>
      <c r="L488" s="134" t="inlineStr">
        <is>
          <t>herb_level_reference_only</t>
        </is>
      </c>
      <c r="M488" s="134" t="n"/>
      <c r="N488" s="134" t="inlineStr">
        <is>
          <t>derived_from_curated_herb_monograph</t>
        </is>
      </c>
      <c r="O488" s="134" t="inlineStr">
        <is>
          <t>herb_monograph_activeCompounds</t>
        </is>
      </c>
      <c r="P488" s="134" t="inlineStr">
        <is>
          <t>herb_monograph_master_advanced_v8_compound_layer.xlsx</t>
        </is>
      </c>
      <c r="Q488" s="134" t="inlineStr">
        <is>
          <t>echinacea-purpurea</t>
        </is>
      </c>
      <c r="R488" s="134" t="n">
        <v>1</v>
      </c>
      <c r="S488" s="134" t="inlineStr">
        <is>
          <t>Yes</t>
        </is>
      </c>
      <c r="T488" s="134" t="inlineStr">
        <is>
          <t>Provisional compound record created during V3 normalization from herb activeCompounds entry: echinacoside</t>
        </is>
      </c>
    </row>
    <row r="489" ht="26" customHeight="1" s="76">
      <c r="A489" s="134" t="inlineStr">
        <is>
          <t>caffeic acid</t>
        </is>
      </c>
      <c r="B489" s="134" t="inlineStr">
        <is>
          <t>caffeic acid</t>
        </is>
      </c>
      <c r="C489" s="134" t="str"/>
      <c r="D489" s="134" t="inlineStr">
        <is>
          <t>provisional_from_herb_monograph</t>
        </is>
      </c>
      <c r="E489" s="134" t="n"/>
      <c r="F489" s="134" t="n"/>
      <c r="G489" s="134" t="n"/>
      <c r="H489" s="134" t="n"/>
      <c r="I489" s="134" t="n"/>
      <c r="J489" s="134" t="n"/>
      <c r="K489" s="134" t="inlineStr">
        <is>
          <t>Low</t>
        </is>
      </c>
      <c r="L489" s="134" t="inlineStr">
        <is>
          <t>herb_level_reference_only</t>
        </is>
      </c>
      <c r="M489" s="134" t="n"/>
      <c r="N489" s="134" t="inlineStr">
        <is>
          <t>derived_from_curated_herb_monograph</t>
        </is>
      </c>
      <c r="O489" s="134" t="inlineStr">
        <is>
          <t>herb_monograph_activeCompounds</t>
        </is>
      </c>
      <c r="P489" s="134" t="inlineStr">
        <is>
          <t>herb_monograph_master_advanced_v8_compound_layer.xlsx</t>
        </is>
      </c>
      <c r="Q489" s="134" t="inlineStr">
        <is>
          <t>echinacea-purpurea</t>
        </is>
      </c>
      <c r="R489" s="134" t="n">
        <v>1</v>
      </c>
      <c r="S489" s="134" t="inlineStr">
        <is>
          <t>Yes</t>
        </is>
      </c>
      <c r="T489" s="134" t="inlineStr">
        <is>
          <t>Provisional compound record created during V3 normalization from herb activeCompounds entry: caffeic acid</t>
        </is>
      </c>
    </row>
    <row r="490" ht="26" customHeight="1" s="76">
      <c r="A490" s="134" t="inlineStr">
        <is>
          <t>diallyl sulfide</t>
        </is>
      </c>
      <c r="B490" s="134" t="inlineStr">
        <is>
          <t>diallyl sulfide</t>
        </is>
      </c>
      <c r="C490" s="134" t="str"/>
      <c r="D490" s="134" t="inlineStr">
        <is>
          <t>provisional_from_herb_monograph</t>
        </is>
      </c>
      <c r="E490" s="134" t="n"/>
      <c r="F490" s="134" t="n"/>
      <c r="G490" s="134" t="n"/>
      <c r="H490" s="134" t="n"/>
      <c r="I490" s="134" t="n"/>
      <c r="J490" s="134" t="n"/>
      <c r="K490" s="134" t="inlineStr">
        <is>
          <t>Low</t>
        </is>
      </c>
      <c r="L490" s="134" t="inlineStr">
        <is>
          <t>herb_level_reference_only</t>
        </is>
      </c>
      <c r="M490" s="134" t="n"/>
      <c r="N490" s="134" t="inlineStr">
        <is>
          <t>derived_from_curated_herb_monograph</t>
        </is>
      </c>
      <c r="O490" s="134" t="inlineStr">
        <is>
          <t>herb_monograph_activeCompounds</t>
        </is>
      </c>
      <c r="P490" s="134" t="inlineStr">
        <is>
          <t>herb_monograph_master_advanced_v8_compound_layer.xlsx</t>
        </is>
      </c>
      <c r="Q490" s="134" t="inlineStr">
        <is>
          <t>garlic</t>
        </is>
      </c>
      <c r="R490" s="134" t="n">
        <v>1</v>
      </c>
      <c r="S490" s="134" t="inlineStr">
        <is>
          <t>Yes</t>
        </is>
      </c>
      <c r="T490" s="134" t="inlineStr">
        <is>
          <t>Provisional compound record created during V3 normalization from herb activeCompounds entry: diallyl sulfide</t>
        </is>
      </c>
    </row>
    <row r="491" ht="26" customHeight="1" s="76">
      <c r="A491" s="134" t="inlineStr">
        <is>
          <t>diallyl disulfide</t>
        </is>
      </c>
      <c r="B491" s="134" t="inlineStr">
        <is>
          <t>diallyl disulfide</t>
        </is>
      </c>
      <c r="C491" s="134" t="str"/>
      <c r="D491" s="134" t="inlineStr">
        <is>
          <t>provisional_from_herb_monograph</t>
        </is>
      </c>
      <c r="E491" s="134" t="n"/>
      <c r="F491" s="134" t="n"/>
      <c r="G491" s="134" t="n"/>
      <c r="H491" s="134" t="n"/>
      <c r="I491" s="134" t="n"/>
      <c r="J491" s="134" t="n"/>
      <c r="K491" s="134" t="inlineStr">
        <is>
          <t>Low</t>
        </is>
      </c>
      <c r="L491" s="134" t="inlineStr">
        <is>
          <t>herb_level_reference_only</t>
        </is>
      </c>
      <c r="M491" s="134" t="n"/>
      <c r="N491" s="134" t="inlineStr">
        <is>
          <t>derived_from_curated_herb_monograph</t>
        </is>
      </c>
      <c r="O491" s="134" t="inlineStr">
        <is>
          <t>herb_monograph_activeCompounds</t>
        </is>
      </c>
      <c r="P491" s="134" t="inlineStr">
        <is>
          <t>herb_monograph_master_advanced_v8_compound_layer.xlsx</t>
        </is>
      </c>
      <c r="Q491" s="134" t="inlineStr">
        <is>
          <t>garlic</t>
        </is>
      </c>
      <c r="R491" s="134" t="n">
        <v>1</v>
      </c>
      <c r="S491" s="134" t="inlineStr">
        <is>
          <t>Yes</t>
        </is>
      </c>
      <c r="T491" s="134" t="inlineStr">
        <is>
          <t>Provisional compound record created during V3 normalization from herb activeCompounds entry: diallyl disulfide</t>
        </is>
      </c>
    </row>
    <row r="492" ht="26" customHeight="1" s="76">
      <c r="A492" s="134" t="inlineStr">
        <is>
          <t>diallyl trisulfide</t>
        </is>
      </c>
      <c r="B492" s="134" t="inlineStr">
        <is>
          <t>diallyl trisulfide</t>
        </is>
      </c>
      <c r="C492" s="134" t="str"/>
      <c r="D492" s="134" t="inlineStr">
        <is>
          <t>provisional_from_herb_monograph</t>
        </is>
      </c>
      <c r="E492" s="134" t="n"/>
      <c r="F492" s="134" t="n"/>
      <c r="G492" s="134" t="n"/>
      <c r="H492" s="134" t="n"/>
      <c r="I492" s="134" t="n"/>
      <c r="J492" s="134" t="n"/>
      <c r="K492" s="134" t="inlineStr">
        <is>
          <t>Low</t>
        </is>
      </c>
      <c r="L492" s="134" t="inlineStr">
        <is>
          <t>herb_level_reference_only</t>
        </is>
      </c>
      <c r="M492" s="134" t="n"/>
      <c r="N492" s="134" t="inlineStr">
        <is>
          <t>derived_from_curated_herb_monograph</t>
        </is>
      </c>
      <c r="O492" s="134" t="inlineStr">
        <is>
          <t>herb_monograph_activeCompounds</t>
        </is>
      </c>
      <c r="P492" s="134" t="inlineStr">
        <is>
          <t>herb_monograph_master_advanced_v8_compound_layer.xlsx</t>
        </is>
      </c>
      <c r="Q492" s="134" t="inlineStr">
        <is>
          <t>garlic</t>
        </is>
      </c>
      <c r="R492" s="134" t="n">
        <v>1</v>
      </c>
      <c r="S492" s="134" t="inlineStr">
        <is>
          <t>Yes</t>
        </is>
      </c>
      <c r="T492" s="134" t="inlineStr">
        <is>
          <t>Provisional compound record created during V3 normalization from herb activeCompounds entry: diallyl trisulfide</t>
        </is>
      </c>
    </row>
    <row r="493" ht="26" customHeight="1" s="76">
      <c r="A493" s="134" t="inlineStr">
        <is>
          <t>s-allyl-cysteine</t>
        </is>
      </c>
      <c r="B493" s="134" t="inlineStr">
        <is>
          <t>S-allyl-cysteine</t>
        </is>
      </c>
      <c r="C493" s="134" t="n"/>
      <c r="D493" s="134" t="inlineStr">
        <is>
          <t>organosulfur amino acid</t>
        </is>
      </c>
      <c r="E493" s="134" t="inlineStr">
        <is>
          <t>proposed mechanism based on preclinical data: antioxidant and cardiometabolic-support signaling reported in garlic literature; no established human therapeutic mechanism.</t>
        </is>
      </c>
      <c r="F493" s="134" t="inlineStr">
        <is>
          <t>oxidative_stress_modulation; cardiovascular_support</t>
        </is>
      </c>
      <c r="G493" s="134" t="inlineStr">
        <is>
          <t>oxidative stress pathways; nitric oxide signaling</t>
        </is>
      </c>
      <c r="H493" s="134" t="inlineStr">
        <is>
          <t>Oral absorption is reported; isolated-compound human PK remains limited.</t>
        </is>
      </c>
      <c r="I493" s="134" t="inlineStr">
        <is>
          <t>Use garlic-level safety framing; dietary exposure is generally well tolerated.</t>
        </is>
      </c>
      <c r="J493" s="134" t="inlineStr">
        <is>
          <t>Retain garlic-level caution for antiplatelet / anticoagulant contexts.</t>
        </is>
      </c>
      <c r="K493" s="134" t="inlineStr">
        <is>
          <t>Moderate</t>
        </is>
      </c>
      <c r="L493" s="134" t="inlineStr">
        <is>
          <t>compound_level</t>
        </is>
      </c>
      <c r="M493" s="134" t="inlineStr">
        <is>
          <t>https://pubchem.ncbi.nlm.nih.gov/compound/S-Allyl-Cysteine</t>
        </is>
      </c>
      <c r="N493" s="134" t="inlineStr">
        <is>
          <t>trusted_primary_web</t>
        </is>
      </c>
      <c r="O493" s="134" t="inlineStr">
        <is>
          <t>PubChem</t>
        </is>
      </c>
      <c r="P493" s="134" t="inlineStr">
        <is>
          <t>Pass24_residual_resolution_2026-04-07</t>
        </is>
      </c>
      <c r="Q493" s="134" t="inlineStr">
        <is>
          <t>garlic</t>
        </is>
      </c>
      <c r="R493" s="134" t="n">
        <v>1</v>
      </c>
      <c r="S493" s="134" t="inlineStr">
        <is>
          <t>Yes</t>
        </is>
      </c>
      <c r="T493" s="134" t="inlineStr">
        <is>
          <t>Residual provisional row upgraded to locked/source-backed canonical record; alias normalized from allyl-cysteine.</t>
        </is>
      </c>
    </row>
    <row r="494" ht="26" customHeight="1" s="76">
      <c r="A494" s="134" t="inlineStr">
        <is>
          <t>ginkgolide a</t>
        </is>
      </c>
      <c r="B494" s="134" t="inlineStr">
        <is>
          <t>ginkgolide A</t>
        </is>
      </c>
      <c r="C494" s="134" t="n"/>
      <c r="D494" s="134" t="inlineStr">
        <is>
          <t>diterpene trilactone / ginkgolide</t>
        </is>
      </c>
      <c r="E494" s="134" t="inlineStr">
        <is>
          <t>proposed mechanism based on preclinical data: platelet-activating factor receptor antagonism; ginkgolides also show glycine receptor channel blocking activity in preclinical models.</t>
        </is>
      </c>
      <c r="F494" s="134" t="inlineStr">
        <is>
          <t>paf receptor antagonism; neuroactive ion-channel modulation</t>
        </is>
      </c>
      <c r="G494" s="134" t="inlineStr">
        <is>
          <t>PAFR; glycine receptor chloride channel</t>
        </is>
      </c>
      <c r="H494" s="134" t="inlineStr">
        <is>
          <t>Human terpene-lactone PK is documented at extract level; isolated-compound human PK remains limited.</t>
        </is>
      </c>
      <c r="I494" s="134" t="inlineStr">
        <is>
          <t>Use herb-level ginkgo safety framing; ginkgo may increase bleeding risk and interact with anticoagulants/antiplatelets.</t>
        </is>
      </c>
      <c r="J494" s="134" t="inlineStr">
        <is>
          <t>No isolated-compound clinical interaction set established; retain herb-level ginkgo interaction caution.</t>
        </is>
      </c>
      <c r="K494" s="134" t="inlineStr">
        <is>
          <t>Moderate</t>
        </is>
      </c>
      <c r="L494" s="134" t="inlineStr">
        <is>
          <t>compound_level</t>
        </is>
      </c>
      <c r="M494" s="134" t="inlineStr">
        <is>
          <t>https://pubchem.ncbi.nlm.nih.gov/compound/Ginkgolide-A | https://pubmed.ncbi.nlm.nih.gov/13130392/ | https://pubmed.ncbi.nlm.nih.gov/30054600/ | https://www.nccih.nih.gov/health/ginkgo</t>
        </is>
      </c>
      <c r="N494" s="134" t="inlineStr">
        <is>
          <t>trusted_primary_web</t>
        </is>
      </c>
      <c r="O494" s="134" t="inlineStr">
        <is>
          <t>PubChem + PubMed + NCCIH</t>
        </is>
      </c>
      <c r="P494" s="134" t="inlineStr">
        <is>
          <t>Batch6_ginkgo_2026-04-07</t>
        </is>
      </c>
      <c r="Q494" s="134" t="inlineStr">
        <is>
          <t>ginkgo-biloba</t>
        </is>
      </c>
      <c r="R494" s="134" t="n">
        <v>1</v>
      </c>
      <c r="S494" s="134" t="inlineStr">
        <is>
          <t>Yes</t>
        </is>
      </c>
      <c r="T494" s="134" t="inlineStr">
        <is>
          <t>Locked in Batch 6 from provisional ginkgo row; source-normalized with conservative mechanism framing.</t>
        </is>
      </c>
    </row>
    <row r="495" ht="26" customHeight="1" s="76">
      <c r="A495" s="134" t="inlineStr">
        <is>
          <t>ginkgolide b</t>
        </is>
      </c>
      <c r="B495" s="134" t="inlineStr">
        <is>
          <t>ginkgolide B</t>
        </is>
      </c>
      <c r="C495" s="134" t="n"/>
      <c r="D495" s="134" t="inlineStr">
        <is>
          <t>diterpene trilactone / ginkgolide</t>
        </is>
      </c>
      <c r="E495" s="134" t="inlineStr">
        <is>
          <t>proposed mechanism based on preclinical data: potent platelet-activating factor receptor antagonism; among the more active ginkgolides in receptor-binding literature.</t>
        </is>
      </c>
      <c r="F495" s="134" t="inlineStr">
        <is>
          <t>paf receptor antagonism; inflammatory_pathway_modulation signaling</t>
        </is>
      </c>
      <c r="G495" s="134" t="inlineStr">
        <is>
          <t>PAFR</t>
        </is>
      </c>
      <c r="H495" s="134" t="inlineStr">
        <is>
          <t>Human terpene-lactone PK is documented at extract level; isolated-compound human PK remains limited.</t>
        </is>
      </c>
      <c r="I495" s="134" t="inlineStr">
        <is>
          <t>Use herb-level ginkgo safety framing; bleeding-risk and seizure cautions remain herb/extract-level.</t>
        </is>
      </c>
      <c r="J495" s="134" t="inlineStr">
        <is>
          <t>No isolated-compound clinical interaction set established; retain herb-level ginkgo interaction caution.</t>
        </is>
      </c>
      <c r="K495" s="134" t="inlineStr">
        <is>
          <t>Moderate</t>
        </is>
      </c>
      <c r="L495" s="134" t="inlineStr">
        <is>
          <t>compound_level</t>
        </is>
      </c>
      <c r="M495" s="134" t="inlineStr">
        <is>
          <t>https://pubchem.ncbi.nlm.nih.gov/compound/11973122 | https://pubmed.ncbi.nlm.nih.gov/12190325/ | https://pubmed.ncbi.nlm.nih.gov/30054600/ | https://www.nccih.nih.gov/health/ginkgo</t>
        </is>
      </c>
      <c r="N495" s="134" t="inlineStr">
        <is>
          <t>trusted_primary_web</t>
        </is>
      </c>
      <c r="O495" s="134" t="inlineStr">
        <is>
          <t>PubChem + PubMed + NCCIH</t>
        </is>
      </c>
      <c r="P495" s="134" t="inlineStr">
        <is>
          <t>Batch6_ginkgo_2026-04-07</t>
        </is>
      </c>
      <c r="Q495" s="134" t="inlineStr">
        <is>
          <t>ginkgo-biloba</t>
        </is>
      </c>
      <c r="R495" s="134" t="n">
        <v>1</v>
      </c>
      <c r="S495" s="134" t="inlineStr">
        <is>
          <t>Yes</t>
        </is>
      </c>
      <c r="T495" s="134" t="inlineStr">
        <is>
          <t>Locked in Batch 6 from provisional ginkgo row; strongest PAF-antagonist signal among ginkgolides.</t>
        </is>
      </c>
    </row>
    <row r="496" ht="26" customHeight="1" s="76">
      <c r="A496" s="134" t="inlineStr">
        <is>
          <t>ginkgolide c</t>
        </is>
      </c>
      <c r="B496" s="134" t="inlineStr">
        <is>
          <t>ginkgolide C</t>
        </is>
      </c>
      <c r="C496" s="134" t="n"/>
      <c r="D496" s="134" t="inlineStr">
        <is>
          <t>diterpene trilactone / ginkgolide</t>
        </is>
      </c>
      <c r="E496" s="134" t="inlineStr">
        <is>
          <t>proposed mechanism based on preclinical data: platelet-activating factor receptor antagonism with additional anti-inflammatory signaling reported in cell and animal models.</t>
        </is>
      </c>
      <c r="F496" s="134" t="inlineStr">
        <is>
          <t>paf receptor antagonism; inflammatory_pathway_modulation signaling</t>
        </is>
      </c>
      <c r="G496" s="134" t="inlineStr">
        <is>
          <t>PAFR; CD40/NFkB</t>
        </is>
      </c>
      <c r="H496" s="134" t="inlineStr">
        <is>
          <t>Human terpene-lactone PK is documented at extract level; isolated-compound human PK remains limited.</t>
        </is>
      </c>
      <c r="I496" s="134" t="inlineStr">
        <is>
          <t>Use herb-level ginkgo safety framing; isolated-compound human safety characterization is limited.</t>
        </is>
      </c>
      <c r="J496" s="134" t="inlineStr">
        <is>
          <t>No isolated-compound clinical interaction set established; retain herb-level ginkgo interaction caution.</t>
        </is>
      </c>
      <c r="K496" s="134" t="inlineStr">
        <is>
          <t>Moderate</t>
        </is>
      </c>
      <c r="L496" s="134" t="inlineStr">
        <is>
          <t>compound_level</t>
        </is>
      </c>
      <c r="M496" s="134" t="inlineStr">
        <is>
          <t>https://pubchem.ncbi.nlm.nih.gov/compound/Ginkgolide%20C | https://pubmed.ncbi.nlm.nih.gov/13130392/ | https://pubmed.ncbi.nlm.nih.gov/30054600/ | https://www.nccih.nih.gov/health/ginkgo</t>
        </is>
      </c>
      <c r="N496" s="134" t="inlineStr">
        <is>
          <t>trusted_primary_web</t>
        </is>
      </c>
      <c r="O496" s="134" t="inlineStr">
        <is>
          <t>PubChem + PubMed + NCCIH</t>
        </is>
      </c>
      <c r="P496" s="134" t="inlineStr">
        <is>
          <t>Batch6_ginkgo_2026-04-07</t>
        </is>
      </c>
      <c r="Q496" s="134" t="inlineStr">
        <is>
          <t>ginkgo-biloba</t>
        </is>
      </c>
      <c r="R496" s="134" t="n">
        <v>1</v>
      </c>
      <c r="S496" s="134" t="inlineStr">
        <is>
          <t>Yes</t>
        </is>
      </c>
      <c r="T496" s="134" t="inlineStr">
        <is>
          <t>Locked in Batch 6 from provisional ginkgo row; mechanism remains preclinical.</t>
        </is>
      </c>
    </row>
    <row r="497" ht="26" customHeight="1" s="76">
      <c r="A497" s="134" t="inlineStr">
        <is>
          <t>ginkgolide j</t>
        </is>
      </c>
      <c r="B497" s="134" t="inlineStr">
        <is>
          <t>ginkgolide J</t>
        </is>
      </c>
      <c r="C497" s="134" t="n"/>
      <c r="D497" s="134" t="inlineStr">
        <is>
          <t>diterpene trilactone / ginkgolide</t>
        </is>
      </c>
      <c r="E497" s="134" t="inlineStr">
        <is>
          <t>proposed mechanism based on preclinical data: platelet-activating factor receptor antagonism with limited direct isolated-compound literature compared with ginkgolides A-C.</t>
        </is>
      </c>
      <c r="F497" s="134" t="inlineStr">
        <is>
          <t>paf receptor antagonism; inflammatory_pathway_modulation signaling</t>
        </is>
      </c>
      <c r="G497" s="134" t="inlineStr">
        <is>
          <t>PAFR</t>
        </is>
      </c>
      <c r="H497" s="134" t="inlineStr">
        <is>
          <t>Human terpene-lactone PK is documented at extract level; isolated-compound human PK remains limited.</t>
        </is>
      </c>
      <c r="I497" s="134" t="inlineStr">
        <is>
          <t>Use herb-level ginkgo safety framing; bleeding-risk and seizure cautions remain herb/extract-level.</t>
        </is>
      </c>
      <c r="J497" s="134" t="inlineStr">
        <is>
          <t>No isolated-compound clinical interaction set established; retain herb-level ginkgo interaction caution.</t>
        </is>
      </c>
      <c r="K497" s="134" t="inlineStr">
        <is>
          <t>Moderate</t>
        </is>
      </c>
      <c r="L497" s="134" t="inlineStr">
        <is>
          <t>compound_level</t>
        </is>
      </c>
      <c r="M497" s="134" t="inlineStr">
        <is>
          <t>https://pubchem.ncbi.nlm.nih.gov/compound/Ginkgolide-J | https://pubmed.ncbi.nlm.nih.gov/?term=ginkgolide+J | https://www.nccih.nih.gov/health/ginkgo</t>
        </is>
      </c>
      <c r="N497" s="134" t="inlineStr">
        <is>
          <t>trusted_primary_web</t>
        </is>
      </c>
      <c r="O497" s="134" t="inlineStr">
        <is>
          <t>PubChem + PubMed + NCCIH</t>
        </is>
      </c>
      <c r="P497" s="134" t="inlineStr">
        <is>
          <t>Batch8_ginkgo_kava_2026-04-07</t>
        </is>
      </c>
      <c r="Q497" s="134" t="inlineStr">
        <is>
          <t>ginkgo-biloba</t>
        </is>
      </c>
      <c r="R497" s="134" t="n">
        <v>1</v>
      </c>
      <c r="S497" s="134" t="inlineStr">
        <is>
          <t>Yes</t>
        </is>
      </c>
      <c r="T497" s="134" t="inlineStr">
        <is>
          <t>Locked in Batch 8 from provisional ginkgo row; keep mechanism conservative because isolated-compound literature depth is lower than for ginkgolides A-C.</t>
        </is>
      </c>
    </row>
    <row r="498" ht="26" customHeight="1" s="76">
      <c r="A498" s="134" t="inlineStr">
        <is>
          <t>ginkgetin</t>
        </is>
      </c>
      <c r="B498" s="134" t="inlineStr">
        <is>
          <t>ginkgetin</t>
        </is>
      </c>
      <c r="C498" s="134" t="n"/>
      <c r="D498" s="134" t="inlineStr">
        <is>
          <t>biflavonoid</t>
        </is>
      </c>
      <c r="E498" s="134" t="inlineStr">
        <is>
          <t>proposed mechanism based on preclinical data: anti-inflammatory signaling with dual COX-2/5-lipoxygenase inhibition and suppression of degranulation reported in cell and animal models.</t>
        </is>
      </c>
      <c r="F498" s="134" t="inlineStr">
        <is>
          <t>inflammatory_pathway_modulation; eicosanoid pathway modulation</t>
        </is>
      </c>
      <c r="G498" s="134" t="inlineStr">
        <is>
          <t>COX-2; 5-lipoxygenase</t>
        </is>
      </c>
      <c r="H498" s="134" t="inlineStr">
        <is>
          <t>No robust human PK identified for isolated ginkgetin.</t>
        </is>
      </c>
      <c r="I498" s="134" t="inlineStr">
        <is>
          <t>Use herb-level ginkgo safety framing; isolated-compound human safety data are limited.</t>
        </is>
      </c>
      <c r="J498" s="134" t="inlineStr">
        <is>
          <t>No isolated-compound clinical interaction set established.</t>
        </is>
      </c>
      <c r="K498" s="134" t="inlineStr">
        <is>
          <t>Moderate</t>
        </is>
      </c>
      <c r="L498" s="134" t="inlineStr">
        <is>
          <t>compound_level</t>
        </is>
      </c>
      <c r="M498" s="134" t="inlineStr">
        <is>
          <t>https://pubchem.ncbi.nlm.nih.gov/compound/Ginkgetin | https://pubmed.ncbi.nlm.nih.gov/16327145/ | https://pubmed.ncbi.nlm.nih.gov/11988854/ | https://www.nccih.nih.gov/health/ginkgo</t>
        </is>
      </c>
      <c r="N498" s="134" t="inlineStr">
        <is>
          <t>trusted_primary_web</t>
        </is>
      </c>
      <c r="O498" s="134" t="inlineStr">
        <is>
          <t>PubChem + PubMed + NCCIH</t>
        </is>
      </c>
      <c r="P498" s="134" t="inlineStr">
        <is>
          <t>Batch6_ginkgo_2026-04-07</t>
        </is>
      </c>
      <c r="Q498" s="134" t="inlineStr">
        <is>
          <t>ginkgo-biloba</t>
        </is>
      </c>
      <c r="R498" s="134" t="n">
        <v>1</v>
      </c>
      <c r="S498" s="134" t="inlineStr">
        <is>
          <t>Yes</t>
        </is>
      </c>
      <c r="T498" s="134" t="inlineStr">
        <is>
          <t>Locked in Batch 6 from provisional ginkgo row; direct biflavonoid literature supports preclinical anti-inflammatory activity.</t>
        </is>
      </c>
    </row>
    <row r="499" ht="26" customHeight="1" s="76">
      <c r="A499" s="134" t="inlineStr">
        <is>
          <t>bilobetin</t>
        </is>
      </c>
      <c r="B499" s="134" t="inlineStr">
        <is>
          <t>bilobetin</t>
        </is>
      </c>
      <c r="C499" s="134" t="n"/>
      <c r="D499" s="134" t="inlineStr">
        <is>
          <t>biflavonoid</t>
        </is>
      </c>
      <c r="E499" s="134" t="inlineStr">
        <is>
          <t>proposed mechanism based on preclinical data: anti-inflammatory and redox-modulating activity reported in Ginkgo constituent studies; isolated-compound evidence is preclinical.</t>
        </is>
      </c>
      <c r="F499" s="134" t="inlineStr">
        <is>
          <t>inflammatory_pathway_modulation; oxidative_stress_modulation</t>
        </is>
      </c>
      <c r="G499" s="134" t="inlineStr">
        <is>
          <t>nitric oxide/inflammatory signaling</t>
        </is>
      </c>
      <c r="H499" s="134" t="inlineStr">
        <is>
          <t>No robust human PK identified for isolated bilobetin.</t>
        </is>
      </c>
      <c r="I499" s="134" t="inlineStr">
        <is>
          <t>Use herb-level ginkgo safety framing; isolated-compound human safety data are limited and preclinical literature raises unresolved hepatotoxicity/nephrotoxicity questions.</t>
        </is>
      </c>
      <c r="J499" s="134" t="inlineStr">
        <is>
          <t>No isolated-compound clinical interaction set established.</t>
        </is>
      </c>
      <c r="K499" s="134" t="inlineStr">
        <is>
          <t>Low-Moderate</t>
        </is>
      </c>
      <c r="L499" s="134" t="inlineStr">
        <is>
          <t>compound_level</t>
        </is>
      </c>
      <c r="M499" s="134" t="inlineStr">
        <is>
          <t>https://pubmed.ncbi.nlm.nih.gov/30693991/ | https://pubmed.ncbi.nlm.nih.gov/32573953/ | https://pubmed.ncbi.nlm.nih.gov/35319397/ | https://www.nccih.nih.gov/health/ginkgo</t>
        </is>
      </c>
      <c r="N499" s="134" t="inlineStr">
        <is>
          <t>trusted_primary_web</t>
        </is>
      </c>
      <c r="O499" s="134" t="inlineStr">
        <is>
          <t>PubMed + NCCIH</t>
        </is>
      </c>
      <c r="P499" s="134" t="inlineStr">
        <is>
          <t>Batch6_ginkgo_2026-04-07</t>
        </is>
      </c>
      <c r="Q499" s="134" t="inlineStr">
        <is>
          <t>ginkgo-biloba</t>
        </is>
      </c>
      <c r="R499" s="134" t="n">
        <v>1</v>
      </c>
      <c r="S499" s="134" t="inlineStr">
        <is>
          <t>Yes</t>
        </is>
      </c>
      <c r="T499" s="134" t="inlineStr">
        <is>
          <t>Locked in Batch 6 from provisional ginkgo row; keep safety uncertainty explicit.</t>
        </is>
      </c>
    </row>
    <row r="500" ht="26" customHeight="1" s="76">
      <c r="A500" s="134" t="inlineStr">
        <is>
          <t>sciadopitysin</t>
        </is>
      </c>
      <c r="B500" s="134" t="inlineStr">
        <is>
          <t>sciadopitysin</t>
        </is>
      </c>
      <c r="C500" s="134" t="n"/>
      <c r="D500" s="134" t="inlineStr">
        <is>
          <t>biflavonoid</t>
        </is>
      </c>
      <c r="E500" s="134" t="inlineStr">
        <is>
          <t>proposed mechanism based on preclinical data: anti-inflammatory and antioxidant signaling reported in biflavonoid literature; no established human mechanism.</t>
        </is>
      </c>
      <c r="F500" s="134" t="inlineStr">
        <is>
          <t>inflammatory_pathway_modulation; oxidative_stress_modulation; oxidative_stress_modulation</t>
        </is>
      </c>
      <c r="G500" s="134" t="inlineStr">
        <is>
          <t>NFkB; oxidative-stress signaling</t>
        </is>
      </c>
      <c r="H500" s="134" t="inlineStr">
        <is>
          <t>No robust human PK identified for isolated sciadopitysin.</t>
        </is>
      </c>
      <c r="I500" s="134" t="inlineStr">
        <is>
          <t>Use herb-level ginkgo safety framing; isolated-compound human safety data are limited.</t>
        </is>
      </c>
      <c r="J500" s="134" t="inlineStr">
        <is>
          <t>No isolated-compound clinical interaction set established.</t>
        </is>
      </c>
      <c r="K500" s="134" t="inlineStr">
        <is>
          <t>Moderate</t>
        </is>
      </c>
      <c r="L500" s="134" t="inlineStr">
        <is>
          <t>compound_level</t>
        </is>
      </c>
      <c r="M500" s="134" t="inlineStr">
        <is>
          <t>https://pubchem.ncbi.nlm.nih.gov/compound/Sciadopitysin | https://pubmed.ncbi.nlm.nih.gov/?term=sciadopitysin | https://www.nccih.nih.gov/health/ginkgo</t>
        </is>
      </c>
      <c r="N500" s="134" t="inlineStr">
        <is>
          <t>trusted_primary_web</t>
        </is>
      </c>
      <c r="O500" s="134" t="inlineStr">
        <is>
          <t>PubChem + PubMed + NCCIH</t>
        </is>
      </c>
      <c r="P500" s="134" t="inlineStr">
        <is>
          <t>Batch8_ginkgo_kava_2026-04-07</t>
        </is>
      </c>
      <c r="Q500" s="134" t="inlineStr">
        <is>
          <t>ginkgo-biloba</t>
        </is>
      </c>
      <c r="R500" s="134" t="n">
        <v>1</v>
      </c>
      <c r="S500" s="134" t="inlineStr">
        <is>
          <t>Yes</t>
        </is>
      </c>
      <c r="T500" s="134" t="inlineStr">
        <is>
          <t>Locked in Batch 8 from provisional ginkgo row; direct isolated-compound clinical evidence remains limited.</t>
        </is>
      </c>
    </row>
    <row r="501" ht="26" customHeight="1" s="76">
      <c r="A501" s="134" t="inlineStr">
        <is>
          <t>flavokavain a</t>
        </is>
      </c>
      <c r="B501" s="134" t="inlineStr">
        <is>
          <t>flavokavain A</t>
        </is>
      </c>
      <c r="C501" s="134" t="n"/>
      <c r="D501" s="134" t="inlineStr">
        <is>
          <t>chalcone</t>
        </is>
      </c>
      <c r="E501" s="134" t="inlineStr">
        <is>
          <t>proposed mechanism based on preclinical data: redox-active and cytostatic signaling with apoptosis-related effects reported in cell models; no established human mechanism.</t>
        </is>
      </c>
      <c r="F501" s="134" t="inlineStr">
        <is>
          <t>inflammatory_pathway_modulation; oxidative_stress_modulation; cytostatic signaling</t>
        </is>
      </c>
      <c r="G501" s="134" t="inlineStr">
        <is>
          <t>oxidative-stress signaling; apoptosis-related signaling</t>
        </is>
      </c>
      <c r="H501" s="134" t="inlineStr">
        <is>
          <t>No robust human PK identified for isolated flavokavain A.</t>
        </is>
      </c>
      <c r="I501" s="134" t="inlineStr">
        <is>
          <t>Use herb-level kava safety framing; isolated-compound human safety data are limited.</t>
        </is>
      </c>
      <c r="J501" s="134" t="inlineStr">
        <is>
          <t>No isolated-compound clinical interaction set established; retain herb-level kava interaction caution.</t>
        </is>
      </c>
      <c r="K501" s="134" t="inlineStr">
        <is>
          <t>Low-Moderate</t>
        </is>
      </c>
      <c r="L501" s="134" t="inlineStr">
        <is>
          <t>compound_level</t>
        </is>
      </c>
      <c r="M501" s="134" t="inlineStr">
        <is>
          <t>https://pubchem.ncbi.nlm.nih.gov/compound/Flavokawain-A | https://pubmed.ncbi.nlm.nih.gov/?term=flavokavain+A | https://www.nccih.nih.gov/health/kava</t>
        </is>
      </c>
      <c r="N501" s="134" t="inlineStr">
        <is>
          <t>trusted_primary_web</t>
        </is>
      </c>
      <c r="O501" s="134" t="inlineStr">
        <is>
          <t>PubChem + PubMed + NCCIH</t>
        </is>
      </c>
      <c r="P501" s="134" t="inlineStr">
        <is>
          <t>Batch8_ginkgo_kava_2026-04-07</t>
        </is>
      </c>
      <c r="Q501" s="134" t="inlineStr">
        <is>
          <t>kava</t>
        </is>
      </c>
      <c r="R501" s="134" t="n">
        <v>1</v>
      </c>
      <c r="S501" s="134" t="inlineStr">
        <is>
          <t>Yes</t>
        </is>
      </c>
      <c r="T501" s="134" t="inlineStr">
        <is>
          <t>Locked in Batch 8 from provisional kava row; evidence remains preclinical.</t>
        </is>
      </c>
    </row>
    <row r="502" ht="26" customHeight="1" s="76">
      <c r="A502" s="134" t="inlineStr">
        <is>
          <t>flavokavain b</t>
        </is>
      </c>
      <c r="B502" s="134" t="inlineStr">
        <is>
          <t>flavokavain B</t>
        </is>
      </c>
      <c r="C502" s="134" t="n"/>
      <c r="D502" s="134" t="inlineStr">
        <is>
          <t>chalcone</t>
        </is>
      </c>
      <c r="E502" s="134" t="inlineStr">
        <is>
          <t>proposed mechanism based on preclinical data: apoptosis-associated and anti-inflammatory signaling in cell models; no established human mechanism.</t>
        </is>
      </c>
      <c r="F502" s="134" t="inlineStr">
        <is>
          <t>inflammatory_pathway_modulation; oxidative_stress_modulation; cytostatic signaling</t>
        </is>
      </c>
      <c r="G502" s="134" t="inlineStr">
        <is>
          <t>oxidative-stress signaling; apoptosis-related signaling</t>
        </is>
      </c>
      <c r="H502" s="134" t="inlineStr">
        <is>
          <t>No robust human PK identified for isolated flavokavain B.</t>
        </is>
      </c>
      <c r="I502" s="134" t="inlineStr">
        <is>
          <t>Use herb-level kava safety framing; isolated-compound human safety data are limited and hepatotoxicity discussion remains unresolved at isolated-compound level.</t>
        </is>
      </c>
      <c r="J502" s="134" t="inlineStr">
        <is>
          <t>No isolated-compound clinical interaction set established; retain herb-level kava interaction caution.</t>
        </is>
      </c>
      <c r="K502" s="134" t="inlineStr">
        <is>
          <t>Low-Moderate</t>
        </is>
      </c>
      <c r="L502" s="134" t="inlineStr">
        <is>
          <t>compound_level</t>
        </is>
      </c>
      <c r="M502" s="134" t="inlineStr">
        <is>
          <t>https://pubchem.ncbi.nlm.nih.gov/compound/Flavokawain-B | https://pubmed.ncbi.nlm.nih.gov/?term=flavokavain+B | https://www.nccih.nih.gov/health/kava</t>
        </is>
      </c>
      <c r="N502" s="134" t="inlineStr">
        <is>
          <t>trusted_primary_web</t>
        </is>
      </c>
      <c r="O502" s="134" t="inlineStr">
        <is>
          <t>PubChem + PubMed + NCCIH</t>
        </is>
      </c>
      <c r="P502" s="134" t="inlineStr">
        <is>
          <t>Batch8_ginkgo_kava_2026-04-07</t>
        </is>
      </c>
      <c r="Q502" s="134" t="inlineStr">
        <is>
          <t>kava</t>
        </is>
      </c>
      <c r="R502" s="134" t="n">
        <v>1</v>
      </c>
      <c r="S502" s="134" t="inlineStr">
        <is>
          <t>Yes</t>
        </is>
      </c>
      <c r="T502" s="134" t="inlineStr">
        <is>
          <t>Locked in Batch 8 from provisional kava row; keep hepatotoxicity language cautious and unresolved.</t>
        </is>
      </c>
    </row>
    <row r="503" ht="26" customHeight="1" s="76">
      <c r="A503" s="134" t="inlineStr">
        <is>
          <t>flavokavain c</t>
        </is>
      </c>
      <c r="B503" s="134" t="inlineStr">
        <is>
          <t>flavokavain C</t>
        </is>
      </c>
      <c r="C503" s="134" t="n"/>
      <c r="D503" s="134" t="inlineStr">
        <is>
          <t>chalcone</t>
        </is>
      </c>
      <c r="E503" s="134" t="inlineStr">
        <is>
          <t>proposed mechanism based on preclinical data: anti-inflammatory and redox-modulating signaling reported in constituent-level literature; no established human mechanism.</t>
        </is>
      </c>
      <c r="F503" s="134" t="inlineStr">
        <is>
          <t>inflammatory_pathway_modulation; oxidative_stress_modulation</t>
        </is>
      </c>
      <c r="G503" s="134" t="inlineStr">
        <is>
          <t>oxidative-stress signaling; inflammatory signaling</t>
        </is>
      </c>
      <c r="H503" s="134" t="inlineStr">
        <is>
          <t>No robust human PK identified for isolated flavokavain C.</t>
        </is>
      </c>
      <c r="I503" s="134" t="inlineStr">
        <is>
          <t>Use herb-level kava safety framing; isolated-compound human safety data are limited.</t>
        </is>
      </c>
      <c r="J503" s="134" t="inlineStr">
        <is>
          <t>No isolated-compound clinical interaction set established; retain herb-level kava interaction caution.</t>
        </is>
      </c>
      <c r="K503" s="134" t="inlineStr">
        <is>
          <t>Low</t>
        </is>
      </c>
      <c r="L503" s="134" t="inlineStr">
        <is>
          <t>compound_level</t>
        </is>
      </c>
      <c r="M503" s="134" t="inlineStr">
        <is>
          <t>https://pubchem.ncbi.nlm.nih.gov/compound/Flavokawain-C | https://pubmed.ncbi.nlm.nih.gov/?term=flavokavain+C | https://www.nccih.nih.gov/health/kava</t>
        </is>
      </c>
      <c r="N503" s="134" t="inlineStr">
        <is>
          <t>trusted_primary_web</t>
        </is>
      </c>
      <c r="O503" s="134" t="inlineStr">
        <is>
          <t>PubChem + PubMed + NCCIH</t>
        </is>
      </c>
      <c r="P503" s="134" t="inlineStr">
        <is>
          <t>Batch8_ginkgo_kava_2026-04-07</t>
        </is>
      </c>
      <c r="Q503" s="134" t="inlineStr">
        <is>
          <t>kava</t>
        </is>
      </c>
      <c r="R503" s="134" t="n">
        <v>1</v>
      </c>
      <c r="S503" s="134" t="inlineStr">
        <is>
          <t>Yes</t>
        </is>
      </c>
      <c r="T503" s="134" t="inlineStr">
        <is>
          <t>Locked in Batch 8 from provisional kava row; evidence depth remains lower than for main kavalactones.</t>
        </is>
      </c>
    </row>
    <row r="504" ht="26" customHeight="1" s="76">
      <c r="A504" s="134" t="inlineStr">
        <is>
          <t>silybin a</t>
        </is>
      </c>
      <c r="B504" s="134" t="inlineStr">
        <is>
          <t>silybin A</t>
        </is>
      </c>
      <c r="C504" s="134" t="inlineStr">
        <is>
          <t>silibinin A</t>
        </is>
      </c>
      <c r="D504" s="134" t="inlineStr">
        <is>
          <t>flavonolignan</t>
        </is>
      </c>
      <c r="E504" s="134" t="inlineStr">
        <is>
          <t>proposed mechanism based on preclinical data: antioxidant, anti-inflammatory, and hepatoprotective signaling reported in silymarin literature; no isolated-compound human mechanism is established.</t>
        </is>
      </c>
      <c r="F504" s="134" t="inlineStr">
        <is>
          <t>inflammatory_pathway_modulation; oxidative_stress_modulation; hepatoprotective; oxidative_stress_modulation</t>
        </is>
      </c>
      <c r="G504" s="134" t="inlineStr">
        <is>
          <t>NRF2-associated signaling; NFkB; oxidative-stress signaling</t>
        </is>
      </c>
      <c r="H504" s="134" t="inlineStr">
        <is>
          <t>Human PK for silibinin/silybin mixtures is documented, but isolated stereoisomer-specific PK remains limited; oral bioavailability is constrained by poor aqueous solubility and formulation effects.</t>
        </is>
      </c>
      <c r="I504" s="134" t="inlineStr">
        <is>
          <t>Use herb-level milk thistle safety framing; isolated-compound human safety data remain limited. Potential caution with allergy to Asteraceae plants and with pregnancy/breastfeeding where evidence is insufficient.</t>
        </is>
      </c>
      <c r="J504" s="134" t="inlineStr">
        <is>
          <t>No isolated-compound clinical interaction set is established; retain herb-level caution for possible CYP2C9/CYP3A4-related interaction potential and possible warfarin interaction concerns.</t>
        </is>
      </c>
      <c r="K504" s="134" t="inlineStr">
        <is>
          <t>Moderate</t>
        </is>
      </c>
      <c r="L504" s="134" t="inlineStr">
        <is>
          <t>compound_level</t>
        </is>
      </c>
      <c r="M504" s="134" t="inlineStr">
        <is>
          <t>https://pubchem.ncbi.nlm.nih.gov/compound/Silybin-A | https://pubmed.ncbi.nlm.nih.gov/?term=silybin+A | https://www.nccih.nih.gov/health/milk-thistle</t>
        </is>
      </c>
      <c r="N504" s="134" t="inlineStr">
        <is>
          <t>trusted_primary_web</t>
        </is>
      </c>
      <c r="O504" s="134" t="inlineStr">
        <is>
          <t>PubChem + PubMed + NCCIH</t>
        </is>
      </c>
      <c r="P504" s="134" t="inlineStr">
        <is>
          <t>Batch10_milk_thistle_2026-04-07</t>
        </is>
      </c>
      <c r="Q504" s="134" t="inlineStr">
        <is>
          <t>milk-thistle</t>
        </is>
      </c>
      <c r="R504" s="134" t="n">
        <v>1</v>
      </c>
      <c r="S504" s="134" t="inlineStr">
        <is>
          <t>Yes</t>
        </is>
      </c>
      <c r="T504" s="134" t="inlineStr">
        <is>
          <t>Locked in Batch 10 from provisional milk thistle row; evidence is strongest at the silymarin/flavonolignan family level rather than isolated stereoisomer clinical mechanism.</t>
        </is>
      </c>
    </row>
    <row r="505" ht="26" customHeight="1" s="76">
      <c r="A505" s="134" t="inlineStr">
        <is>
          <t>silybin b</t>
        </is>
      </c>
      <c r="B505" s="134" t="inlineStr">
        <is>
          <t>silybin B</t>
        </is>
      </c>
      <c r="C505" s="134" t="inlineStr">
        <is>
          <t>silibinin B</t>
        </is>
      </c>
      <c r="D505" s="134" t="inlineStr">
        <is>
          <t>flavonolignan</t>
        </is>
      </c>
      <c r="E505" s="134" t="inlineStr">
        <is>
          <t>proposed mechanism based on preclinical data: antioxidant, anti-inflammatory, and hepatoprotective signaling reported in silymarin literature; no isolated-compound human mechanism is established.</t>
        </is>
      </c>
      <c r="F505" s="134" t="inlineStr">
        <is>
          <t>inflammatory_pathway_modulation; oxidative_stress_modulation; hepatoprotective; oxidative_stress_modulation</t>
        </is>
      </c>
      <c r="G505" s="134" t="inlineStr">
        <is>
          <t>NRF2-associated signaling; NFkB; oxidative-stress signaling</t>
        </is>
      </c>
      <c r="H505" s="134" t="inlineStr">
        <is>
          <t>Human PK for silibinin/silybin mixtures is documented, but isolated stereoisomer-specific PK remains limited; oral bioavailability is constrained by poor aqueous solubility and formulation effects.</t>
        </is>
      </c>
      <c r="I505" s="134" t="inlineStr">
        <is>
          <t>Use herb-level milk thistle safety framing; isolated-compound human safety data remain limited. Potential caution with allergy to Asteraceae plants and with pregnancy/breastfeeding where evidence is insufficient.</t>
        </is>
      </c>
      <c r="J505" s="134" t="inlineStr">
        <is>
          <t>No isolated-compound clinical interaction set is established; retain herb-level caution for possible CYP2C9/CYP3A4-related interaction potential and possible warfarin interaction concerns.</t>
        </is>
      </c>
      <c r="K505" s="134" t="inlineStr">
        <is>
          <t>Moderate</t>
        </is>
      </c>
      <c r="L505" s="134" t="inlineStr">
        <is>
          <t>compound_level</t>
        </is>
      </c>
      <c r="M505" s="134" t="inlineStr">
        <is>
          <t>https://pubchem.ncbi.nlm.nih.gov/compound/Silybin-B | https://pubmed.ncbi.nlm.nih.gov/?term=silybin+B | https://www.nccih.nih.gov/health/milk-thistle</t>
        </is>
      </c>
      <c r="N505" s="134" t="inlineStr">
        <is>
          <t>trusted_primary_web</t>
        </is>
      </c>
      <c r="O505" s="134" t="inlineStr">
        <is>
          <t>PubChem + PubMed + NCCIH</t>
        </is>
      </c>
      <c r="P505" s="134" t="inlineStr">
        <is>
          <t>Batch10_milk_thistle_2026-04-07</t>
        </is>
      </c>
      <c r="Q505" s="134" t="inlineStr">
        <is>
          <t>milk-thistle</t>
        </is>
      </c>
      <c r="R505" s="134" t="n">
        <v>1</v>
      </c>
      <c r="S505" s="134" t="inlineStr">
        <is>
          <t>Yes</t>
        </is>
      </c>
      <c r="T505" s="134" t="inlineStr">
        <is>
          <t>Locked in Batch 10 from provisional milk thistle row; evidence is strongest at the silymarin/flavonolignan family level rather than isolated stereoisomer clinical mechanism.</t>
        </is>
      </c>
    </row>
    <row r="506" ht="26" customHeight="1" s="76">
      <c r="A506" s="134" t="inlineStr">
        <is>
          <t>isosilybin a</t>
        </is>
      </c>
      <c r="B506" s="134" t="inlineStr">
        <is>
          <t>isosilybin A</t>
        </is>
      </c>
      <c r="C506" s="134" t="n"/>
      <c r="D506" s="134" t="inlineStr">
        <is>
          <t>flavonolignan</t>
        </is>
      </c>
      <c r="E506" s="134" t="inlineStr">
        <is>
          <t>proposed mechanism based on preclinical data: cytoprotective, anti-inflammatory, and redox-modulating signaling reported in flavonolignan literature; no established human mechanism.</t>
        </is>
      </c>
      <c r="F506" s="134" t="inlineStr">
        <is>
          <t>inflammatory_pathway_modulation; oxidative_stress_modulation; cytoprotective; oxidative_stress_modulation</t>
        </is>
      </c>
      <c r="G506" s="134" t="inlineStr">
        <is>
          <t>NFkB; oxidative-stress signaling</t>
        </is>
      </c>
      <c r="H506" s="134" t="inlineStr">
        <is>
          <t>No robust isolated-compound human PK identified; most PK discussion is at the broader silibinin/silymarin mixture level.</t>
        </is>
      </c>
      <c r="I506" s="134" t="inlineStr">
        <is>
          <t>Use herb-level milk thistle safety framing; isolated-compound human safety data are limited.</t>
        </is>
      </c>
      <c r="J506" s="134" t="inlineStr">
        <is>
          <t>No isolated-compound clinical interaction set is established; retain herb-level milk thistle interaction caution only.</t>
        </is>
      </c>
      <c r="K506" s="134" t="inlineStr">
        <is>
          <t>Moderate</t>
        </is>
      </c>
      <c r="L506" s="134" t="inlineStr">
        <is>
          <t>compound_level</t>
        </is>
      </c>
      <c r="M506" s="134" t="inlineStr">
        <is>
          <t>https://pubchem.ncbi.nlm.nih.gov/compound/Isosilybin-A | https://pubmed.ncbi.nlm.nih.gov/?term=isosilybin+A | https://www.nccih.nih.gov/health/milk-thistle</t>
        </is>
      </c>
      <c r="N506" s="134" t="inlineStr">
        <is>
          <t>trusted_primary_web</t>
        </is>
      </c>
      <c r="O506" s="134" t="inlineStr">
        <is>
          <t>PubChem + PubMed + NCCIH</t>
        </is>
      </c>
      <c r="P506" s="134" t="inlineStr">
        <is>
          <t>Batch10_milk_thistle_2026-04-07</t>
        </is>
      </c>
      <c r="Q506" s="134" t="inlineStr">
        <is>
          <t>milk-thistle</t>
        </is>
      </c>
      <c r="R506" s="134" t="n">
        <v>1</v>
      </c>
      <c r="S506" s="134" t="inlineStr">
        <is>
          <t>Yes</t>
        </is>
      </c>
      <c r="T506" s="134" t="inlineStr">
        <is>
          <t>Locked in Batch 10 from provisional milk thistle row; direct clinical evidence remains limited.</t>
        </is>
      </c>
    </row>
    <row r="507" ht="26" customHeight="1" s="76">
      <c r="A507" s="134" t="inlineStr">
        <is>
          <t>isosilybin b</t>
        </is>
      </c>
      <c r="B507" s="134" t="inlineStr">
        <is>
          <t>isosilybin B</t>
        </is>
      </c>
      <c r="C507" s="134" t="n"/>
      <c r="D507" s="134" t="inlineStr">
        <is>
          <t>flavonolignan</t>
        </is>
      </c>
      <c r="E507" s="134" t="inlineStr">
        <is>
          <t>proposed mechanism based on preclinical data: cytoprotective, anti-inflammatory, and redox-modulating signaling reported in flavonolignan literature; no established human mechanism.</t>
        </is>
      </c>
      <c r="F507" s="134" t="inlineStr">
        <is>
          <t>inflammatory_pathway_modulation; oxidative_stress_modulation; cytoprotective; oxidative_stress_modulation</t>
        </is>
      </c>
      <c r="G507" s="134" t="inlineStr">
        <is>
          <t>NFkB; oxidative-stress signaling</t>
        </is>
      </c>
      <c r="H507" s="134" t="inlineStr">
        <is>
          <t>No robust isolated-compound human PK identified; most PK discussion is at the broader silibinin/silymarin mixture level.</t>
        </is>
      </c>
      <c r="I507" s="134" t="inlineStr">
        <is>
          <t>Use herb-level milk thistle safety framing; isolated-compound human safety data are limited.</t>
        </is>
      </c>
      <c r="J507" s="134" t="inlineStr">
        <is>
          <t>No isolated-compound clinical interaction set is established; retain herb-level milk thistle interaction caution only.</t>
        </is>
      </c>
      <c r="K507" s="134" t="inlineStr">
        <is>
          <t>Moderate</t>
        </is>
      </c>
      <c r="L507" s="134" t="inlineStr">
        <is>
          <t>compound_level</t>
        </is>
      </c>
      <c r="M507" s="134" t="inlineStr">
        <is>
          <t>https://pubchem.ncbi.nlm.nih.gov/compound/Isosilybin-B | https://pubmed.ncbi.nlm.nih.gov/?term=isosilybin+B | https://www.nccih.nih.gov/health/milk-thistle</t>
        </is>
      </c>
      <c r="N507" s="134" t="inlineStr">
        <is>
          <t>trusted_primary_web</t>
        </is>
      </c>
      <c r="O507" s="134" t="inlineStr">
        <is>
          <t>PubChem + PubMed + NCCIH</t>
        </is>
      </c>
      <c r="P507" s="134" t="inlineStr">
        <is>
          <t>Batch10_milk_thistle_2026-04-07</t>
        </is>
      </c>
      <c r="Q507" s="134" t="inlineStr">
        <is>
          <t>milk-thistle</t>
        </is>
      </c>
      <c r="R507" s="134" t="n">
        <v>1</v>
      </c>
      <c r="S507" s="134" t="inlineStr">
        <is>
          <t>Yes</t>
        </is>
      </c>
      <c r="T507" s="134" t="inlineStr">
        <is>
          <t>Locked in Batch 10 from provisional milk thistle row; direct clinical evidence remains limited.</t>
        </is>
      </c>
    </row>
    <row r="508" ht="26" customHeight="1" s="76">
      <c r="A508" s="134" t="inlineStr">
        <is>
          <t>isosilychristin</t>
        </is>
      </c>
      <c r="B508" s="134" t="inlineStr">
        <is>
          <t>isosilychristin</t>
        </is>
      </c>
      <c r="C508" s="134" t="n"/>
      <c r="D508" s="134" t="inlineStr">
        <is>
          <t>flavonolignan</t>
        </is>
      </c>
      <c r="E508" s="134" t="inlineStr">
        <is>
          <t>proposed mechanism based on preclinical data: antioxidant and hepatoprotective signaling reported in flavonolignan literature; no established human mechanism.</t>
        </is>
      </c>
      <c r="F508" s="134" t="inlineStr">
        <is>
          <t>inflammatory_pathway_modulation; oxidative_stress_modulation; hepatoprotective; oxidative_stress_modulation</t>
        </is>
      </c>
      <c r="G508" s="134" t="inlineStr">
        <is>
          <t>oxidative-stress signaling; general or unknown targets</t>
        </is>
      </c>
      <c r="H508" s="134" t="inlineStr">
        <is>
          <t>No robust isolated-compound human PK identified.</t>
        </is>
      </c>
      <c r="I508" s="134" t="inlineStr">
        <is>
          <t>Use herb-level milk thistle safety framing; isolated-compound human safety data are limited.</t>
        </is>
      </c>
      <c r="J508" s="134" t="inlineStr">
        <is>
          <t>No isolated-compound clinical interaction set is established; retain herb-level milk thistle interaction caution only.</t>
        </is>
      </c>
      <c r="K508" s="134" t="inlineStr">
        <is>
          <t>Low-Moderate</t>
        </is>
      </c>
      <c r="L508" s="134" t="inlineStr">
        <is>
          <t>compound_level</t>
        </is>
      </c>
      <c r="M508" s="134" t="inlineStr">
        <is>
          <t>https://pubchem.ncbi.nlm.nih.gov/compound/Isosilychristin | https://pubmed.ncbi.nlm.nih.gov/?term=isosilychristin | https://www.nccih.nih.gov/health/milk-thistle</t>
        </is>
      </c>
      <c r="N508" s="134" t="inlineStr">
        <is>
          <t>trusted_primary_web</t>
        </is>
      </c>
      <c r="O508" s="134" t="inlineStr">
        <is>
          <t>PubChem + PubMed + NCCIH</t>
        </is>
      </c>
      <c r="P508" s="134" t="inlineStr">
        <is>
          <t>Batch10_milk_thistle_2026-04-07</t>
        </is>
      </c>
      <c r="Q508" s="134" t="inlineStr">
        <is>
          <t>milk-thistle</t>
        </is>
      </c>
      <c r="R508" s="134" t="n">
        <v>1</v>
      </c>
      <c r="S508" s="134" t="inlineStr">
        <is>
          <t>Yes</t>
        </is>
      </c>
      <c r="T508" s="134" t="inlineStr">
        <is>
          <t>Locked in Batch 10 from provisional milk thistle row; mechanistic evidence is still mostly constituent-level and preclinical.</t>
        </is>
      </c>
    </row>
    <row r="509" ht="26" customHeight="1" s="76">
      <c r="A509" s="134" t="inlineStr">
        <is>
          <t>isomenthone</t>
        </is>
      </c>
      <c r="B509" s="134" t="inlineStr">
        <is>
          <t>isomenthone</t>
        </is>
      </c>
      <c r="C509" s="134" t="str"/>
      <c r="D509" s="134" t="inlineStr">
        <is>
          <t>provisional_from_herb_monograph</t>
        </is>
      </c>
      <c r="E509" s="134" t="n"/>
      <c r="F509" s="134" t="n"/>
      <c r="G509" s="134" t="n"/>
      <c r="H509" s="134" t="n"/>
      <c r="I509" s="134" t="n"/>
      <c r="J509" s="134" t="n"/>
      <c r="K509" s="134" t="inlineStr">
        <is>
          <t>Low</t>
        </is>
      </c>
      <c r="L509" s="134" t="inlineStr">
        <is>
          <t>herb_level_reference_only</t>
        </is>
      </c>
      <c r="M509" s="134" t="n"/>
      <c r="N509" s="134" t="inlineStr">
        <is>
          <t>derived_from_curated_herb_monograph</t>
        </is>
      </c>
      <c r="O509" s="134" t="inlineStr">
        <is>
          <t>herb_monograph_activeCompounds</t>
        </is>
      </c>
      <c r="P509" s="134" t="inlineStr">
        <is>
          <t>herb_monograph_master_advanced_v8_compound_layer.xlsx</t>
        </is>
      </c>
      <c r="Q509" s="134" t="inlineStr">
        <is>
          <t>peppermint</t>
        </is>
      </c>
      <c r="R509" s="134" t="n">
        <v>1</v>
      </c>
      <c r="S509" s="134" t="inlineStr">
        <is>
          <t>Yes</t>
        </is>
      </c>
      <c r="T509" s="134" t="inlineStr">
        <is>
          <t>Provisional compound record created during V3 normalization from herb activeCompounds entry: isomenthone</t>
        </is>
      </c>
    </row>
    <row r="510" ht="26" customHeight="1" s="76">
      <c r="A510" s="134" t="inlineStr">
        <is>
          <t>menthyl acetate</t>
        </is>
      </c>
      <c r="B510" s="134" t="inlineStr">
        <is>
          <t>menthyl acetate</t>
        </is>
      </c>
      <c r="C510" s="134" t="str"/>
      <c r="D510" s="134" t="inlineStr">
        <is>
          <t>provisional_from_herb_monograph</t>
        </is>
      </c>
      <c r="E510" s="134" t="n"/>
      <c r="F510" s="134" t="n"/>
      <c r="G510" s="134" t="n"/>
      <c r="H510" s="134" t="n"/>
      <c r="I510" s="134" t="n"/>
      <c r="J510" s="134" t="n"/>
      <c r="K510" s="134" t="inlineStr">
        <is>
          <t>Low</t>
        </is>
      </c>
      <c r="L510" s="134" t="inlineStr">
        <is>
          <t>herb_level_reference_only</t>
        </is>
      </c>
      <c r="M510" s="134" t="n"/>
      <c r="N510" s="134" t="inlineStr">
        <is>
          <t>derived_from_curated_herb_monograph</t>
        </is>
      </c>
      <c r="O510" s="134" t="inlineStr">
        <is>
          <t>herb_monograph_activeCompounds</t>
        </is>
      </c>
      <c r="P510" s="134" t="inlineStr">
        <is>
          <t>herb_monograph_master_advanced_v8_compound_layer.xlsx</t>
        </is>
      </c>
      <c r="Q510" s="134" t="inlineStr">
        <is>
          <t>peppermint</t>
        </is>
      </c>
      <c r="R510" s="134" t="n">
        <v>1</v>
      </c>
      <c r="S510" s="134" t="inlineStr">
        <is>
          <t>Yes</t>
        </is>
      </c>
      <c r="T510" s="134" t="inlineStr">
        <is>
          <t>Provisional compound record created during V3 normalization from herb activeCompounds entry: menthyl acetate</t>
        </is>
      </c>
    </row>
    <row r="511" ht="26" customHeight="1" s="76">
      <c r="A511" s="134" t="inlineStr">
        <is>
          <t>1,8-cineole</t>
        </is>
      </c>
      <c r="B511" s="134" t="inlineStr">
        <is>
          <t>1,8-cineole</t>
        </is>
      </c>
      <c r="C511" s="134" t="inlineStr">
        <is>
          <t>eucalyptol</t>
        </is>
      </c>
      <c r="D511" s="134" t="inlineStr">
        <is>
          <t>monoterpene oxide</t>
        </is>
      </c>
      <c r="E511" s="134" t="inlineStr">
        <is>
          <t>proposed mechanism based on preclinical data and limited human use context: anti-inflammatory and bronchodilatory effects associated with cineole-containing preparations.</t>
        </is>
      </c>
      <c r="F511" s="134" t="inlineStr">
        <is>
          <t>inflammatory_pathway_modulation; respiratory_support</t>
        </is>
      </c>
      <c r="G511" s="134" t="inlineStr">
        <is>
          <t>NFkB; cytokine signaling</t>
        </is>
      </c>
      <c r="H511" s="134" t="inlineStr">
        <is>
          <t>Rapid oral absorption is reported; isolated-compound PK remains limited in this workbook context.</t>
        </is>
      </c>
      <c r="I511" s="134" t="inlineStr">
        <is>
          <t>Use peppermint/eucalyptus-level safety framing; generally tolerated at normal exposure levels.</t>
        </is>
      </c>
      <c r="J511" s="134" t="inlineStr">
        <is>
          <t>Retain caution for potential CYP-mediated interaction context rather than claiming a defined isolated-compound interaction profile.</t>
        </is>
      </c>
      <c r="K511" s="134" t="inlineStr">
        <is>
          <t>Moderate</t>
        </is>
      </c>
      <c r="L511" s="134" t="inlineStr">
        <is>
          <t>compound_level</t>
        </is>
      </c>
      <c r="M511" s="134" t="inlineStr">
        <is>
          <t>https://pubchem.ncbi.nlm.nih.gov/compound/1,8-Cineole</t>
        </is>
      </c>
      <c r="N511" s="134" t="inlineStr">
        <is>
          <t>trusted_primary_web</t>
        </is>
      </c>
      <c r="O511" s="134" t="inlineStr">
        <is>
          <t>PubChem</t>
        </is>
      </c>
      <c r="P511" s="134" t="inlineStr">
        <is>
          <t>Pass24_residual_resolution_2026-04-07</t>
        </is>
      </c>
      <c r="Q511" s="134" t="inlineStr">
        <is>
          <t>peppermint; eucalyptus</t>
        </is>
      </c>
      <c r="R511" s="134" t="n">
        <v>2</v>
      </c>
      <c r="S511" s="134" t="inlineStr">
        <is>
          <t>Yes</t>
        </is>
      </c>
      <c r="T511" s="134" t="inlineStr">
        <is>
          <t>Residual provisional row upgraded to locked/source-backed canonical record; alias normalized from eucalyptol.</t>
        </is>
      </c>
    </row>
    <row r="512" ht="26" customHeight="1" s="76">
      <c r="A512" s="134" t="inlineStr">
        <is>
          <t>menthofuran</t>
        </is>
      </c>
      <c r="B512" s="134" t="inlineStr">
        <is>
          <t>menthofuran</t>
        </is>
      </c>
      <c r="C512" s="134" t="n"/>
      <c r="D512" s="134" t="inlineStr">
        <is>
          <t>monoterpene furan</t>
        </is>
      </c>
      <c r="E512" s="134" t="inlineStr">
        <is>
          <t>proposed mechanism based on preclinical data: metabolic activation to reactive intermediates associated with hepatotoxicity risk at high exposure; no established human therapeutic mechanism.</t>
        </is>
      </c>
      <c r="F512" s="134" t="inlineStr">
        <is>
          <t>hepatotoxicity_risk; metabolic_activation</t>
        </is>
      </c>
      <c r="G512" s="134" t="inlineStr">
        <is>
          <t>CYP-mediated metabolism; reactive metabolite formation</t>
        </is>
      </c>
      <c r="H512" s="134" t="inlineStr">
        <is>
          <t>No robust isolated-compound human PK identified; metabolism is safety-relevant.</t>
        </is>
      </c>
      <c r="I512" s="134" t="inlineStr">
        <is>
          <t>Use peppermint-level safety framing; high-exposure hepatotoxicity concern is the main reason to retain this row.</t>
        </is>
      </c>
      <c r="J512" s="134" t="inlineStr">
        <is>
          <t>Flag with hepatotoxic co-exposures; do not treat as a routine blend-positive compound.</t>
        </is>
      </c>
      <c r="K512" s="134" t="inlineStr">
        <is>
          <t>Moderate</t>
        </is>
      </c>
      <c r="L512" s="134" t="inlineStr">
        <is>
          <t>compound_level</t>
        </is>
      </c>
      <c r="M512" s="134" t="inlineStr">
        <is>
          <t>https://pubchem.ncbi.nlm.nih.gov/compound/Menthofuran</t>
        </is>
      </c>
      <c r="N512" s="134" t="inlineStr">
        <is>
          <t>trusted_primary_web</t>
        </is>
      </c>
      <c r="O512" s="134" t="inlineStr">
        <is>
          <t>PubChem</t>
        </is>
      </c>
      <c r="P512" s="134" t="inlineStr">
        <is>
          <t>Pass24_residual_resolution_2026-04-07</t>
        </is>
      </c>
      <c r="Q512" s="134" t="inlineStr">
        <is>
          <t>peppermint</t>
        </is>
      </c>
      <c r="R512" s="134" t="n">
        <v>1</v>
      </c>
      <c r="S512" s="134" t="inlineStr">
        <is>
          <t>Yes</t>
        </is>
      </c>
      <c r="T512" s="134" t="inlineStr">
        <is>
          <t>Residual provisional row upgraded to locked/source-backed safety-critical record.</t>
        </is>
      </c>
    </row>
    <row r="513" ht="26" customHeight="1" s="76">
      <c r="A513" s="134" t="inlineStr">
        <is>
          <t>rosarin</t>
        </is>
      </c>
      <c r="B513" s="134" t="inlineStr">
        <is>
          <t>rosarin</t>
        </is>
      </c>
      <c r="C513" s="134" t="inlineStr">
        <is>
          <t>rhodioloside B; rosarin glycoside</t>
        </is>
      </c>
      <c r="D513" s="134" t="inlineStr">
        <is>
          <t>phenylpropanoid glycoside</t>
        </is>
      </c>
      <c r="E513" s="134" t="inlineStr">
        <is>
          <t>No established human mechanism. proposed mechanism based on preclinical data: antioxidant/stress-response activity inferred from Rhodiola constituent studies; used more reliably as a chemotaxonomic and extract-standardization marker than as a standalone validated pharmacologic agent.</t>
        </is>
      </c>
      <c r="F513" s="134" t="inlineStr">
        <is>
          <t>adaptogen; oxidative_stress_modulation; multi-target signaling modulation</t>
        </is>
      </c>
      <c r="G513" s="134" t="inlineStr">
        <is>
          <t>unresolved at single-compound level</t>
        </is>
      </c>
      <c r="H513" s="134" t="inlineStr">
        <is>
          <t>No robust standalone human PK identified; treat as unresolved.</t>
        </is>
      </c>
      <c r="I513" s="134" t="inlineStr">
        <is>
          <t>No compound-specific human safety dataset identified; use herb-level Rhodiola safety framing only.</t>
        </is>
      </c>
      <c r="J513" s="134" t="inlineStr">
        <is>
          <t>No compound-specific clinical drug interactions established.</t>
        </is>
      </c>
      <c r="K513" s="134" t="inlineStr">
        <is>
          <t>Moderate</t>
        </is>
      </c>
      <c r="L513" s="134" t="inlineStr">
        <is>
          <t>phytochemical identity strong; pharmacology limited</t>
        </is>
      </c>
      <c r="M513" s="134" t="inlineStr">
        <is>
          <t>https://pubchem.ncbi.nlm.nih.gov/compound/Rosarin | https://pubmed.ncbi.nlm.nih.gov/?term=rosarin+rhodiola | https://www.nccih.nih.gov/health/rhodiola</t>
        </is>
      </c>
      <c r="N513" s="134" t="inlineStr">
        <is>
          <t>tier1_locked</t>
        </is>
      </c>
      <c r="O513" s="134" t="inlineStr">
        <is>
          <t>PubChem + PubMed + NCCIH</t>
        </is>
      </c>
      <c r="P513" s="134" t="inlineStr">
        <is>
          <t>herb_monograph_master_advanced_v11_locked_batch4.xlsx</t>
        </is>
      </c>
      <c r="Q513" s="134" t="inlineStr">
        <is>
          <t>rhodiola-rosea</t>
        </is>
      </c>
      <c r="R513" s="134" t="n">
        <v>1</v>
      </c>
      <c r="S513" s="134" t="inlineStr">
        <is>
          <t>Yes</t>
        </is>
      </c>
      <c r="T513" s="134" t="inlineStr">
        <is>
          <t>Locked in Batch 3 from provisional status; value is primarily normalization and Rhodiola marker integrity.</t>
        </is>
      </c>
    </row>
    <row r="514" ht="26" customHeight="1" s="76">
      <c r="A514" s="134" t="inlineStr">
        <is>
          <t>rosin</t>
        </is>
      </c>
      <c r="B514" s="134" t="inlineStr">
        <is>
          <t>rosin</t>
        </is>
      </c>
      <c r="C514" s="134" t="inlineStr">
        <is>
          <t>cinnamyl alcohol beta-D-glucoside; rosin glycoside</t>
        </is>
      </c>
      <c r="D514" s="134" t="inlineStr">
        <is>
          <t>phenylpropanoid glycoside</t>
        </is>
      </c>
      <c r="E514" s="134" t="inlineStr">
        <is>
          <t>No established human mechanism. proposed mechanism based on preclinical data: antioxidant/stress-response contribution inferred from Rhodiola constituent work; current evidence is insufficient to assign a validated single-compound pathway model.</t>
        </is>
      </c>
      <c r="F514" s="134" t="inlineStr">
        <is>
          <t>adaptogen; oxidative_stress_modulation; multi-target signaling modulation</t>
        </is>
      </c>
      <c r="G514" s="134" t="inlineStr">
        <is>
          <t>unresolved at single-compound level</t>
        </is>
      </c>
      <c r="H514" s="134" t="inlineStr">
        <is>
          <t>No robust standalone human PK identified; treat as unresolved.</t>
        </is>
      </c>
      <c r="I514" s="134" t="inlineStr">
        <is>
          <t>No compound-specific human safety dataset identified; keep safety attribution at the Rhodiola herb/extract layer.</t>
        </is>
      </c>
      <c r="J514" s="134" t="inlineStr">
        <is>
          <t>No compound-specific clinical drug interactions established.</t>
        </is>
      </c>
      <c r="K514" s="134" t="inlineStr">
        <is>
          <t>Moderate</t>
        </is>
      </c>
      <c r="L514" s="134" t="inlineStr">
        <is>
          <t>phytochemical identity strong; pharmacology limited</t>
        </is>
      </c>
      <c r="M514" s="134" t="inlineStr">
        <is>
          <t>https://pubchem.ncbi.nlm.nih.gov/?term=rosin+rhodiola | https://pubmed.ncbi.nlm.nih.gov/?term=rosin+rhodiola | https://www.nccih.nih.gov/health/rhodiola</t>
        </is>
      </c>
      <c r="N514" s="134" t="inlineStr">
        <is>
          <t>tier1_locked</t>
        </is>
      </c>
      <c r="O514" s="134" t="inlineStr">
        <is>
          <t>PubChem + PubMed + NCCIH</t>
        </is>
      </c>
      <c r="P514" s="134" t="inlineStr">
        <is>
          <t>herb_monograph_master_advanced_v11_locked_batch4.xlsx</t>
        </is>
      </c>
      <c r="Q514" s="134" t="inlineStr">
        <is>
          <t>rhodiola-rosea</t>
        </is>
      </c>
      <c r="R514" s="134" t="n">
        <v>1</v>
      </c>
      <c r="S514" s="134" t="inlineStr">
        <is>
          <t>Yes</t>
        </is>
      </c>
      <c r="T514" s="134" t="inlineStr">
        <is>
          <t>Locked in Batch 3 from provisional status; primarily a marker-integrity / normalization win.</t>
        </is>
      </c>
    </row>
    <row r="515" ht="26" customHeight="1" s="76">
      <c r="A515" s="134" t="inlineStr">
        <is>
          <t>tyrosol</t>
        </is>
      </c>
      <c r="B515" s="134" t="inlineStr">
        <is>
          <t>tyrosol</t>
        </is>
      </c>
      <c r="C515" s="134" t="inlineStr">
        <is>
          <t>p-tyrosol; 4-(2-hydroxyethyl)phenol; 2-(4-hydroxyphenyl)ethanol</t>
        </is>
      </c>
      <c r="D515" s="134" t="inlineStr">
        <is>
          <t>simple phenolic alcohol / phenethyl alcohol</t>
        </is>
      </c>
      <c r="E515" s="134" t="inlineStr">
        <is>
          <t>proposed mechanism based on preclinical data: antioxidant and cytoprotective signaling, including Nrf2/HO-1-associated effects and ROS attenuation; human target-level confirmation is limited.</t>
        </is>
      </c>
      <c r="F515" s="134" t="inlineStr">
        <is>
          <t>oxidative_stress_modulation; cytoprotective; multi-target signaling modulation</t>
        </is>
      </c>
      <c r="G515" s="134" t="inlineStr">
        <is>
          <t>NRF2; HO-1; oxidative-stress response pathways</t>
        </is>
      </c>
      <c r="H515" s="134" t="inlineStr">
        <is>
          <t>Human absorption is documented after oral intake from olive oil matrices; metabolism and disposition are better characterized than purified supplement-style dosing.</t>
        </is>
      </c>
      <c r="I515" s="134" t="inlineStr">
        <is>
          <t>Compound-specific intervention safety data are limited; dietary exposure appears well tolerated.</t>
        </is>
      </c>
      <c r="J515" s="134" t="inlineStr">
        <is>
          <t>No established clinical drug interactions identified for isolated tyrosol.</t>
        </is>
      </c>
      <c r="K515" s="134" t="inlineStr">
        <is>
          <t>Moderate</t>
        </is>
      </c>
      <c r="L515" s="134" t="inlineStr">
        <is>
          <t>human absorption + preclinical mechanism</t>
        </is>
      </c>
      <c r="M515" s="134" t="inlineStr">
        <is>
          <t>https://pubchem.ncbi.nlm.nih.gov/compound/Tyrosol | https://pubmed.ncbi.nlm.nih.gov/?term=tyrosol+absorption | https://pubmed.ncbi.nlm.nih.gov/?term=tyrosol+Nrf2</t>
        </is>
      </c>
      <c r="N515" s="134" t="inlineStr">
        <is>
          <t>tier1_locked</t>
        </is>
      </c>
      <c r="O515" s="134" t="inlineStr">
        <is>
          <t>PubChem + PubMed</t>
        </is>
      </c>
      <c r="P515" s="134" t="inlineStr">
        <is>
          <t>herb_monograph_master_advanced_v11_locked_batch4.xlsx</t>
        </is>
      </c>
      <c r="Q515" s="134" t="inlineStr">
        <is>
          <t>rhodiola-rosea</t>
        </is>
      </c>
      <c r="R515" s="134" t="n">
        <v>1</v>
      </c>
      <c r="S515" s="134" t="inlineStr">
        <is>
          <t>Yes</t>
        </is>
      </c>
      <c r="T515" s="134" t="inlineStr">
        <is>
          <t>Locked in Batch 3 from provisional status; stronger human absorption support than most Rhodiola provisional compounds.</t>
        </is>
      </c>
    </row>
    <row r="516" ht="26" customHeight="1" s="76">
      <c r="A516" s="134" t="inlineStr">
        <is>
          <t>beta-sitosterol</t>
        </is>
      </c>
      <c r="B516" s="134" t="inlineStr">
        <is>
          <t>beta-sitosterol</t>
        </is>
      </c>
      <c r="C516" s="134" t="inlineStr">
        <is>
          <t>β-sitosterol</t>
        </is>
      </c>
      <c r="D516" s="134" t="inlineStr">
        <is>
          <t>phytosterol</t>
        </is>
      </c>
      <c r="E516" s="134" t="inlineStr">
        <is>
          <t>Beta-sitosterol is a phytosterol associated with anti-inflammatory and androgen-related signaling effects in saw palmetto and other botanicals; in clinical literature it is also studied for lower urinary tract symptom support.</t>
        </is>
      </c>
      <c r="F516" s="134" t="inlineStr">
        <is>
          <t>inflammatory_pathway_modulation; hormonal</t>
        </is>
      </c>
      <c r="G516" s="134" t="inlineStr">
        <is>
          <t>5-alpha-reductase-related biology; inflammatory signaling</t>
        </is>
      </c>
      <c r="H516" s="134" t="inlineStr">
        <is>
          <t>Orally absorbed to a limited extent relative to cholesterol; human PK is known but not exhaustively detailed here.</t>
        </is>
      </c>
      <c r="I516" s="134" t="inlineStr">
        <is>
          <t>Generally well tolerated in typical supplemental exposure ranges.</t>
        </is>
      </c>
      <c r="J516" s="134" t="inlineStr">
        <is>
          <t>No major compound-specific interaction profile is locked here; theoretical overlap with hormone-active therapies remains possible.</t>
        </is>
      </c>
      <c r="K516" s="134" t="inlineStr">
        <is>
          <t>High</t>
        </is>
      </c>
      <c r="L516" s="134" t="inlineStr">
        <is>
          <t>human + preclinical</t>
        </is>
      </c>
      <c r="M516" s="134" t="inlineStr">
        <is>
          <t>PubMed beta-sitosterol literature; PubChem</t>
        </is>
      </c>
      <c r="N516" s="134" t="inlineStr">
        <is>
          <t>tier1+review</t>
        </is>
      </c>
      <c r="O516" s="134" t="inlineStr">
        <is>
          <t>Locked from provisional using primary literature and compound references</t>
        </is>
      </c>
      <c r="P516" s="134" t="inlineStr">
        <is>
          <t>herb_monograph_master_advanced_v10_locked_batch1.xlsx</t>
        </is>
      </c>
      <c r="Q516" s="134" t="inlineStr">
        <is>
          <t>saw-palmetto</t>
        </is>
      </c>
      <c r="R516" s="134" t="n">
        <v>1</v>
      </c>
      <c r="S516" s="134" t="inlineStr">
        <is>
          <t>Yes</t>
        </is>
      </c>
      <c r="T516" s="134" t="inlineStr">
        <is>
          <t>Locked in Batch 2 from provisional status.</t>
        </is>
      </c>
    </row>
    <row r="517" ht="26" customHeight="1" s="76">
      <c r="A517" s="134" t="inlineStr">
        <is>
          <t>pseudohypericin</t>
        </is>
      </c>
      <c r="B517" s="134" t="inlineStr">
        <is>
          <t>pseudohypericin</t>
        </is>
      </c>
      <c r="C517" s="134" t="n"/>
      <c r="D517" s="134" t="inlineStr">
        <is>
          <t>naphthodianthrone</t>
        </is>
      </c>
      <c r="E517" s="134" t="inlineStr">
        <is>
          <t>proposed mechanism based on preclinical data: photodynamic, antiviral, and redox-active signaling; no established human mechanism.</t>
        </is>
      </c>
      <c r="F517" s="134" t="inlineStr">
        <is>
          <t>photodynamic activity; oxidative_stress_modulation</t>
        </is>
      </c>
      <c r="G517" s="134" t="inlineStr">
        <is>
          <t>photosensitization-related pathways; oxidative-stress signaling</t>
        </is>
      </c>
      <c r="H517" s="134" t="inlineStr">
        <is>
          <t>No robust isolated-compound human PK identified.</t>
        </is>
      </c>
      <c r="I517" s="134" t="inlineStr">
        <is>
          <t>Use St Johns wort herb-level safety framing; photosensitivity remains the most relevant caution signal.</t>
        </is>
      </c>
      <c r="J517" s="134" t="inlineStr">
        <is>
          <t>No isolated-compound clinical interaction set is established; retain herb-level St Johns wort interaction caution only.</t>
        </is>
      </c>
      <c r="K517" s="134" t="inlineStr">
        <is>
          <t>Low-Moderate</t>
        </is>
      </c>
      <c r="L517" s="134" t="inlineStr">
        <is>
          <t>compound_level</t>
        </is>
      </c>
      <c r="M517" s="134" t="inlineStr">
        <is>
          <t>https://pubchem.ncbi.nlm.nih.gov/compound/Pseudohypericin | https://www.ncbi.nlm.nih.gov/books/NBK548880/</t>
        </is>
      </c>
      <c r="N517" s="134" t="inlineStr">
        <is>
          <t>trusted_primary_web</t>
        </is>
      </c>
      <c r="O517" s="134" t="inlineStr">
        <is>
          <t>PubChem + NCBI Bookshelf</t>
        </is>
      </c>
      <c r="P517" s="134" t="inlineStr">
        <is>
          <t>Batch13_st_johns_wort_2026-04-07</t>
        </is>
      </c>
      <c r="Q517" s="134" t="inlineStr">
        <is>
          <t>st-johns-wort</t>
        </is>
      </c>
      <c r="R517" s="134" t="n">
        <v>1</v>
      </c>
      <c r="S517" s="134" t="inlineStr">
        <is>
          <t>Yes</t>
        </is>
      </c>
      <c r="T517" s="134" t="inlineStr">
        <is>
          <t>Locked in Batch 13 from provisional St Johns wort row; evidence remains mostly constituent-level and preclinical.</t>
        </is>
      </c>
    </row>
    <row r="518" ht="26" customHeight="1" s="76">
      <c r="A518" s="134" t="inlineStr">
        <is>
          <t>demethoxycurcumin</t>
        </is>
      </c>
      <c r="B518" s="134" t="inlineStr">
        <is>
          <t>demethoxycurcumin</t>
        </is>
      </c>
      <c r="C518" s="134" t="str"/>
      <c r="D518" s="134" t="inlineStr">
        <is>
          <t>provisional_from_herb_monograph</t>
        </is>
      </c>
      <c r="E518" s="134" t="n"/>
      <c r="F518" s="134" t="n"/>
      <c r="G518" s="134" t="n"/>
      <c r="H518" s="134" t="n"/>
      <c r="I518" s="134" t="n"/>
      <c r="J518" s="134" t="n"/>
      <c r="K518" s="134" t="inlineStr">
        <is>
          <t>Low</t>
        </is>
      </c>
      <c r="L518" s="134" t="inlineStr">
        <is>
          <t>herb_level_reference_only</t>
        </is>
      </c>
      <c r="M518" s="134" t="n"/>
      <c r="N518" s="134" t="inlineStr">
        <is>
          <t>derived_from_curated_herb_monograph</t>
        </is>
      </c>
      <c r="O518" s="134" t="inlineStr">
        <is>
          <t>herb_monograph_activeCompounds</t>
        </is>
      </c>
      <c r="P518" s="134" t="inlineStr">
        <is>
          <t>herb_monograph_master_advanced_v8_compound_layer.xlsx</t>
        </is>
      </c>
      <c r="Q518" s="134" t="inlineStr">
        <is>
          <t>turmeric</t>
        </is>
      </c>
      <c r="R518" s="134" t="n">
        <v>1</v>
      </c>
      <c r="S518" s="134" t="inlineStr">
        <is>
          <t>Yes</t>
        </is>
      </c>
      <c r="T518" s="134" t="inlineStr">
        <is>
          <t>Provisional compound record created during V3 normalization from herb activeCompounds entry: demethoxycurcumin</t>
        </is>
      </c>
    </row>
    <row r="519" ht="26" customHeight="1" s="76">
      <c r="A519" s="134" t="inlineStr">
        <is>
          <t>bisdemethoxycurcumin</t>
        </is>
      </c>
      <c r="B519" s="134" t="inlineStr">
        <is>
          <t>bisdemethoxycurcumin</t>
        </is>
      </c>
      <c r="C519" s="134" t="str"/>
      <c r="D519" s="134" t="inlineStr">
        <is>
          <t>provisional_from_herb_monograph</t>
        </is>
      </c>
      <c r="E519" s="134" t="n"/>
      <c r="F519" s="134" t="n"/>
      <c r="G519" s="134" t="n"/>
      <c r="H519" s="134" t="n"/>
      <c r="I519" s="134" t="n"/>
      <c r="J519" s="134" t="n"/>
      <c r="K519" s="134" t="inlineStr">
        <is>
          <t>Low</t>
        </is>
      </c>
      <c r="L519" s="134" t="inlineStr">
        <is>
          <t>herb_level_reference_only</t>
        </is>
      </c>
      <c r="M519" s="134" t="n"/>
      <c r="N519" s="134" t="inlineStr">
        <is>
          <t>derived_from_curated_herb_monograph</t>
        </is>
      </c>
      <c r="O519" s="134" t="inlineStr">
        <is>
          <t>herb_monograph_activeCompounds</t>
        </is>
      </c>
      <c r="P519" s="134" t="inlineStr">
        <is>
          <t>herb_monograph_master_advanced_v8_compound_layer.xlsx</t>
        </is>
      </c>
      <c r="Q519" s="134" t="inlineStr">
        <is>
          <t>turmeric</t>
        </is>
      </c>
      <c r="R519" s="134" t="n">
        <v>1</v>
      </c>
      <c r="S519" s="134" t="inlineStr">
        <is>
          <t>Yes</t>
        </is>
      </c>
      <c r="T519" s="134" t="inlineStr">
        <is>
          <t>Provisional compound record created during V3 normalization from herb activeCompounds entry: bisdemethoxycurcumin</t>
        </is>
      </c>
    </row>
    <row r="520" ht="26" customHeight="1" s="76">
      <c r="A520" s="134" t="inlineStr">
        <is>
          <t>valerenal</t>
        </is>
      </c>
      <c r="B520" s="134" t="inlineStr">
        <is>
          <t>valerenal</t>
        </is>
      </c>
      <c r="C520" s="134" t="str"/>
      <c r="D520" s="134" t="inlineStr">
        <is>
          <t>provisional_from_herb_monograph</t>
        </is>
      </c>
      <c r="E520" s="134" t="n"/>
      <c r="F520" s="134" t="n"/>
      <c r="G520" s="134" t="n"/>
      <c r="H520" s="134" t="n"/>
      <c r="I520" s="134" t="n"/>
      <c r="J520" s="134" t="n"/>
      <c r="K520" s="134" t="inlineStr">
        <is>
          <t>Low</t>
        </is>
      </c>
      <c r="L520" s="134" t="inlineStr">
        <is>
          <t>herb_level_reference_only</t>
        </is>
      </c>
      <c r="M520" s="134" t="n"/>
      <c r="N520" s="134" t="inlineStr">
        <is>
          <t>derived_from_curated_herb_monograph</t>
        </is>
      </c>
      <c r="O520" s="134" t="inlineStr">
        <is>
          <t>herb_monograph_activeCompounds</t>
        </is>
      </c>
      <c r="P520" s="134" t="inlineStr">
        <is>
          <t>herb_monograph_master_advanced_v8_compound_layer.xlsx</t>
        </is>
      </c>
      <c r="Q520" s="134" t="inlineStr">
        <is>
          <t>valerian</t>
        </is>
      </c>
      <c r="R520" s="134" t="n">
        <v>1</v>
      </c>
      <c r="S520" s="134" t="inlineStr">
        <is>
          <t>Yes</t>
        </is>
      </c>
      <c r="T520" s="134" t="inlineStr">
        <is>
          <t>Provisional compound record created during V3 normalization from herb activeCompounds entry: valerenal</t>
        </is>
      </c>
    </row>
    <row r="521" ht="26" customHeight="1" s="76">
      <c r="A521" s="134" t="inlineStr">
        <is>
          <t>valtrate</t>
        </is>
      </c>
      <c r="B521" s="134" t="inlineStr">
        <is>
          <t>valtrate</t>
        </is>
      </c>
      <c r="C521" s="134" t="str"/>
      <c r="D521" s="134" t="inlineStr">
        <is>
          <t>valepotriates</t>
        </is>
      </c>
      <c r="E521" s="134" t="n"/>
      <c r="F521" s="134" t="n"/>
      <c r="G521" s="134" t="n"/>
      <c r="H521" s="134" t="n"/>
      <c r="I521" s="134" t="n"/>
      <c r="J521" s="134" t="n"/>
      <c r="K521" s="134" t="inlineStr">
        <is>
          <t>Low</t>
        </is>
      </c>
      <c r="L521" s="134" t="inlineStr">
        <is>
          <t>herb_level_reference_only</t>
        </is>
      </c>
      <c r="M521" s="134" t="n"/>
      <c r="N521" s="134" t="inlineStr">
        <is>
          <t>derived_from_curated_herb_monograph</t>
        </is>
      </c>
      <c r="O521" s="134" t="inlineStr">
        <is>
          <t>herb_monograph_activeCompounds</t>
        </is>
      </c>
      <c r="P521" s="134" t="inlineStr">
        <is>
          <t>herb_monograph_master_advanced_v8_compound_layer.xlsx</t>
        </is>
      </c>
      <c r="Q521" s="134" t="inlineStr">
        <is>
          <t>valerian</t>
        </is>
      </c>
      <c r="R521" s="134" t="n">
        <v>1</v>
      </c>
      <c r="S521" s="134" t="inlineStr">
        <is>
          <t>Yes</t>
        </is>
      </c>
      <c r="T521" s="134" t="inlineStr">
        <is>
          <t>Provisional compound record created during V3 normalization from herb activeCompounds entry: valepotriates (valtrate, isovaltrate)</t>
        </is>
      </c>
    </row>
    <row r="522" ht="26" customHeight="1" s="76">
      <c r="A522" s="134" t="inlineStr">
        <is>
          <t>isovaltrate</t>
        </is>
      </c>
      <c r="B522" s="134" t="inlineStr">
        <is>
          <t>isovaltrate</t>
        </is>
      </c>
      <c r="C522" s="134" t="str"/>
      <c r="D522" s="134" t="inlineStr">
        <is>
          <t>valepotriates</t>
        </is>
      </c>
      <c r="E522" s="134" t="n"/>
      <c r="F522" s="134" t="n"/>
      <c r="G522" s="134" t="n"/>
      <c r="H522" s="134" t="n"/>
      <c r="I522" s="134" t="n"/>
      <c r="J522" s="134" t="n"/>
      <c r="K522" s="134" t="inlineStr">
        <is>
          <t>Low</t>
        </is>
      </c>
      <c r="L522" s="134" t="inlineStr">
        <is>
          <t>herb_level_reference_only</t>
        </is>
      </c>
      <c r="M522" s="134" t="n"/>
      <c r="N522" s="134" t="inlineStr">
        <is>
          <t>derived_from_curated_herb_monograph</t>
        </is>
      </c>
      <c r="O522" s="134" t="inlineStr">
        <is>
          <t>herb_monograph_activeCompounds</t>
        </is>
      </c>
      <c r="P522" s="134" t="inlineStr">
        <is>
          <t>herb_monograph_master_advanced_v8_compound_layer.xlsx</t>
        </is>
      </c>
      <c r="Q522" s="134" t="inlineStr">
        <is>
          <t>valerian</t>
        </is>
      </c>
      <c r="R522" s="134" t="n">
        <v>1</v>
      </c>
      <c r="S522" s="134" t="inlineStr">
        <is>
          <t>Yes</t>
        </is>
      </c>
      <c r="T522" s="134" t="inlineStr">
        <is>
          <t>Provisional compound record created during V3 normalization from herb activeCompounds entry: valepotriates (valtrate, isovaltrate)</t>
        </is>
      </c>
    </row>
    <row r="523">
      <c r="A523" t="inlineStr">
        <is>
          <t>withanone</t>
        </is>
      </c>
      <c r="B523" t="inlineStr">
        <is>
          <t>withanone</t>
        </is>
      </c>
      <c r="C523" t="inlineStr">
        <is>
          <t>WTHN</t>
        </is>
      </c>
      <c r="D523" t="inlineStr">
        <is>
          <t>withanolide / steroidal lactone</t>
        </is>
      </c>
      <c r="E523" t="inlineStr">
        <is>
          <t>proposed mechanism based on preclinical data: redox-modulating and cytostatic effects with reported interactions in cancer-focused literature involving p53-related stress signaling, proteostasis disruption, and selective tumor-cell toxicity. No established human mechanism.</t>
        </is>
      </c>
      <c r="F523" t="inlineStr">
        <is>
          <t>multi-target signaling modulation; oxidative_stress_modulation</t>
        </is>
      </c>
      <c r="G523" t="inlineStr">
        <is>
          <t>p53-related stress signaling; oxidative stress pathways; proteostasis-related pathways</t>
        </is>
      </c>
      <c r="H523" t="inlineStr">
        <is>
          <t>No robust isolated-compound human PK identified; PK discussion is mostly review-level or preclinical.</t>
        </is>
      </c>
      <c r="I523" t="inlineStr">
        <is>
          <t>Pure-compound human safety data are limited; retain herb-level ashwagandha caution rather than inferring a mature safety profile for isolated withanone.</t>
        </is>
      </c>
      <c r="J523" t="inlineStr">
        <is>
          <t>No compound-specific clinical drug interactions established.</t>
        </is>
      </c>
      <c r="K523" t="inlineStr">
        <is>
          <t>Moderate</t>
        </is>
      </c>
      <c r="L523" t="inlineStr">
        <is>
          <t>preclinical</t>
        </is>
      </c>
      <c r="M523" t="inlineStr">
        <is>
          <t>https://pubchem.ncbi.nlm.nih.gov/compound/Withanone | https://pubmed.ncbi.nlm.nih.gov/?term=withanone | https://www.nccih.nih.gov/health/ashwagandha</t>
        </is>
      </c>
      <c r="N523" t="inlineStr">
        <is>
          <t>tier1_locked</t>
        </is>
      </c>
      <c r="O523" t="inlineStr">
        <is>
          <t>PubChem + PubMed + NCCIH</t>
        </is>
      </c>
      <c r="P523" t="inlineStr">
        <is>
          <t>herb_monograph_master_advanced_v11_locked_batch4.xlsx</t>
        </is>
      </c>
      <c r="Q523" t="inlineStr">
        <is>
          <t>ashwagandha</t>
        </is>
      </c>
      <c r="R523" t="n">
        <v>1</v>
      </c>
      <c r="S523" t="inlineStr">
        <is>
          <t>Yes</t>
        </is>
      </c>
      <c r="T523" t="inlineStr">
        <is>
          <t>Locked in Batch 4 from unresolved next-high-value Ashwagandha compounds.</t>
        </is>
      </c>
    </row>
    <row r="524">
      <c r="A524" t="inlineStr">
        <is>
          <t>triandrin</t>
        </is>
      </c>
      <c r="B524" t="inlineStr">
        <is>
          <t>triandrin</t>
        </is>
      </c>
      <c r="C524" t="inlineStr">
        <is>
          <t>sachaliside; (E)-triandrin</t>
        </is>
      </c>
      <c r="D524" t="inlineStr">
        <is>
          <t>phenylpropanoid glycoside</t>
        </is>
      </c>
      <c r="E524" t="inlineStr">
        <is>
          <t>proposed mechanism based on preclinical data: adaptogen-associated transcriptional and signaling effects inferred from Rhodiola constituent studies, including GPCR/cAMP-PLC-related response signatures in cell models. No established human mechanism.</t>
        </is>
      </c>
      <c r="F524" t="inlineStr">
        <is>
          <t>adaptogen; multi-target signaling modulation</t>
        </is>
      </c>
      <c r="G524" t="inlineStr">
        <is>
          <t>cAMP signaling; PLC signaling; GPCR-related stress-response signaling</t>
        </is>
      </c>
      <c r="H524" t="inlineStr">
        <is>
          <t>No robust standalone human PK identified.</t>
        </is>
      </c>
      <c r="I524" t="inlineStr">
        <is>
          <t>No compound-specific human safety dataset identified; keep safety attribution at the Rhodiola herb/extract layer.</t>
        </is>
      </c>
      <c r="J524" t="inlineStr">
        <is>
          <t>No compound-specific clinical drug interactions established.</t>
        </is>
      </c>
      <c r="K524" t="inlineStr">
        <is>
          <t>Moderate</t>
        </is>
      </c>
      <c r="L524" t="inlineStr">
        <is>
          <t>preclinical</t>
        </is>
      </c>
      <c r="M524" t="inlineStr">
        <is>
          <t>https://pubchem.ncbi.nlm.nih.gov/?term=triandrin | https://pubmed.ncbi.nlm.nih.gov/?term=triandrin+rhodiola | https://www.nccih.nih.gov/health/rhodiola</t>
        </is>
      </c>
      <c r="N524" t="inlineStr">
        <is>
          <t>tier1_locked</t>
        </is>
      </c>
      <c r="O524" t="inlineStr">
        <is>
          <t>PubChem + PubMed + NCCIH</t>
        </is>
      </c>
      <c r="P524" t="inlineStr">
        <is>
          <t>herb_monograph_master_advanced_v11_locked_batch4.xlsx</t>
        </is>
      </c>
      <c r="Q524" t="inlineStr">
        <is>
          <t>rhodiola-rosea</t>
        </is>
      </c>
      <c r="R524" t="n">
        <v>1</v>
      </c>
      <c r="S524" t="inlineStr">
        <is>
          <t>Yes</t>
        </is>
      </c>
      <c r="T524" t="inlineStr">
        <is>
          <t>Locked in Batch 4 as next-high-value Rhodiola compound.</t>
        </is>
      </c>
    </row>
    <row r="525">
      <c r="A525" t="inlineStr">
        <is>
          <t>hydroxytyrosol</t>
        </is>
      </c>
      <c r="B525" t="inlineStr">
        <is>
          <t>hydroxytyrosol</t>
        </is>
      </c>
      <c r="C525" t="inlineStr">
        <is>
          <t>3,4-dihydroxyphenylethanol; DOPET</t>
        </is>
      </c>
      <c r="D525" t="inlineStr">
        <is>
          <t>simple phenolic alcohol / catechol phenol</t>
        </is>
      </c>
      <c r="E525" t="inlineStr">
        <is>
          <t>proposed mechanism based on preclinical data: antioxidant and cytoprotective signaling with modulation of oxidative-stress and inflammatory pathways; human exposure and metabolism are well described, but target-level clinical mechanism is not fully established.</t>
        </is>
      </c>
      <c r="F525" t="inlineStr">
        <is>
          <t>oxidative_stress_modulation; inflammatory_pathway_modulation; multi-target signaling modulation</t>
        </is>
      </c>
      <c r="G525" t="inlineStr">
        <is>
          <t>oxidative-stress response pathways; NRF2-associated signaling; inflammation-related signaling</t>
        </is>
      </c>
      <c r="H525" t="inlineStr">
        <is>
          <t>Human PK is documented; absorption and bioavailability depend on food matrix and formulation, and plasma/urine disposition is dominated by conjugated metabolites.</t>
        </is>
      </c>
      <c r="I525" t="inlineStr">
        <is>
          <t>Human dietary and supplement exposure data exist, but purified-compound therapeutic safety boundaries remain less defined than general food exposure.</t>
        </is>
      </c>
      <c r="J525" t="inlineStr">
        <is>
          <t>No established clinical drug interactions identified for isolated hydroxytyrosol.</t>
        </is>
      </c>
      <c r="K525" t="inlineStr">
        <is>
          <t>Moderate-High</t>
        </is>
      </c>
      <c r="L525" t="inlineStr">
        <is>
          <t>human PK + preclinical mechanism</t>
        </is>
      </c>
      <c r="M525" t="inlineStr">
        <is>
          <t>https://pubchem.ncbi.nlm.nih.gov/compound/Hydroxytyrosol | https://pubmed.ncbi.nlm.nih.gov/?term=hydroxytyrosol+pharmacokinetics</t>
        </is>
      </c>
      <c r="N525" t="inlineStr">
        <is>
          <t>tier1_locked</t>
        </is>
      </c>
      <c r="O525" t="inlineStr">
        <is>
          <t>PubChem + PubMed</t>
        </is>
      </c>
      <c r="P525" t="inlineStr">
        <is>
          <t>herb_monograph_master_advanced_v11_locked_batch4.xlsx</t>
        </is>
      </c>
      <c r="R525" t="n">
        <v>0</v>
      </c>
      <c r="S525" t="inlineStr">
        <is>
          <t>No</t>
        </is>
      </c>
      <c r="T525" t="inlineStr">
        <is>
          <t>Locked in Batch 4 for compound-layer depth; no direct herb-map insertion applied in current workbook scope.</t>
        </is>
      </c>
    </row>
    <row r="526">
      <c r="A526" t="inlineStr">
        <is>
          <t>sitoindoside ix</t>
        </is>
      </c>
      <c r="B526" t="inlineStr">
        <is>
          <t>sitoindoside IX</t>
        </is>
      </c>
      <c r="C526" t="inlineStr">
        <is>
          <t>27-O-beta-D-glucopyranosyl withaferin A</t>
        </is>
      </c>
      <c r="D526" t="inlineStr">
        <is>
          <t>withanolide glycoside / withanolide saponin</t>
        </is>
      </c>
      <c r="E526" t="inlineStr">
        <is>
          <t>No established human mechanism. proposed mechanism based on preclinical data: neuroprotective and immunomodulatory activity inferred from Withania constituent studies; isolated-compound mechanistic literature is limited.</t>
        </is>
      </c>
      <c r="F526" t="inlineStr">
        <is>
          <t>neuroprotective; immunomodulatory; multi-target signaling modulation</t>
        </is>
      </c>
      <c r="G526" t="inlineStr">
        <is>
          <t>unresolved at isolated-compound level</t>
        </is>
      </c>
      <c r="H526" t="inlineStr">
        <is>
          <t>No robust isolated-compound human PK identified.</t>
        </is>
      </c>
      <c r="I526" t="inlineStr">
        <is>
          <t>Pure-compound human safety data are limited; use ashwagandha herb-level safety framing only.</t>
        </is>
      </c>
      <c r="J526" t="inlineStr">
        <is>
          <t>No compound-specific clinical drug interactions established.</t>
        </is>
      </c>
      <c r="K526" t="inlineStr">
        <is>
          <t>Moderate</t>
        </is>
      </c>
      <c r="L526" t="inlineStr">
        <is>
          <t>constituent-level + preclinical context</t>
        </is>
      </c>
      <c r="M526" t="inlineStr">
        <is>
          <t>https://pubchem.ncbi.nlm.nih.gov/compound/Sitoindoside-IX | https://pubmed.ncbi.nlm.nih.gov/?term=sitoindoside+IX | https://www.nccih.nih.gov/health/ashwagandha</t>
        </is>
      </c>
      <c r="N526" t="inlineStr">
        <is>
          <t>tier1_locked</t>
        </is>
      </c>
      <c r="O526" t="inlineStr">
        <is>
          <t>PubChem + PubMed + NCCIH</t>
        </is>
      </c>
      <c r="P526" t="inlineStr">
        <is>
          <t>herb_monograph_master_advanced_v11_locked_batch4.xlsx</t>
        </is>
      </c>
      <c r="Q526" t="inlineStr">
        <is>
          <t>ashwagandha</t>
        </is>
      </c>
      <c r="R526" t="n">
        <v>1</v>
      </c>
      <c r="S526" t="inlineStr">
        <is>
          <t>Yes</t>
        </is>
      </c>
      <c r="T526" t="inlineStr">
        <is>
          <t>Locked in Batch 4 to split generic sitoindosides into workbook-ready specific compounds.</t>
        </is>
      </c>
    </row>
    <row r="527">
      <c r="A527" t="inlineStr">
        <is>
          <t>sitoindoside x</t>
        </is>
      </c>
      <c r="B527" t="inlineStr">
        <is>
          <t>sitoindoside X</t>
        </is>
      </c>
      <c r="D527" t="inlineStr">
        <is>
          <t>steroidal glycoside / sitoindoside</t>
        </is>
      </c>
      <c r="E527" t="inlineStr">
        <is>
          <t>No established human mechanism. proposed mechanism based on preclinical data: neuroprotective and adaptogen-associated effects inferred from older Withania extract/constituent studies rather than strong isolated-compound literature.</t>
        </is>
      </c>
      <c r="F527" t="inlineStr">
        <is>
          <t>neuroprotective; adaptogen; multi-target signaling modulation</t>
        </is>
      </c>
      <c r="G527" t="inlineStr">
        <is>
          <t>unresolved at isolated-compound level</t>
        </is>
      </c>
      <c r="H527" t="inlineStr">
        <is>
          <t>No robust isolated-compound human PK identified.</t>
        </is>
      </c>
      <c r="I527" t="inlineStr">
        <is>
          <t>Pure-compound human safety data are limited; use ashwagandha herb-level safety framing only.</t>
        </is>
      </c>
      <c r="J527" t="inlineStr">
        <is>
          <t>No compound-specific clinical drug interactions established.</t>
        </is>
      </c>
      <c r="K527" t="inlineStr">
        <is>
          <t>Moderate</t>
        </is>
      </c>
      <c r="L527" t="inlineStr">
        <is>
          <t>constituent-level + preclinical context</t>
        </is>
      </c>
      <c r="M527" t="inlineStr">
        <is>
          <t>https://pubchem.ncbi.nlm.nih.gov/?term=sitoindoside+X | https://pubmed.ncbi.nlm.nih.gov/?term=sitoindoside+X | https://www.nccih.nih.gov/health/ashwagandha</t>
        </is>
      </c>
      <c r="N527" t="inlineStr">
        <is>
          <t>tier1_locked</t>
        </is>
      </c>
      <c r="O527" t="inlineStr">
        <is>
          <t>PubChem + PubMed + NCCIH</t>
        </is>
      </c>
      <c r="P527" t="inlineStr">
        <is>
          <t>herb_monograph_master_advanced_v11_locked_batch4.xlsx</t>
        </is>
      </c>
      <c r="Q527" t="inlineStr">
        <is>
          <t>ashwagandha</t>
        </is>
      </c>
      <c r="R527" t="n">
        <v>1</v>
      </c>
      <c r="S527" t="inlineStr">
        <is>
          <t>Yes</t>
        </is>
      </c>
      <c r="T527" t="inlineStr">
        <is>
          <t>Locked in Batch 4 to split generic sitoindosides into workbook-ready specific compounds.</t>
        </is>
      </c>
    </row>
    <row r="528">
      <c r="A528" t="inlineStr">
        <is>
          <t>rhodiosin</t>
        </is>
      </c>
      <c r="B528" t="inlineStr">
        <is>
          <t>rhodiosin</t>
        </is>
      </c>
      <c r="C528" t="inlineStr">
        <is>
          <t>herbacetin-7-O-glucorhamnoside</t>
        </is>
      </c>
      <c r="D528" t="inlineStr">
        <is>
          <t>flavonol glycoside</t>
        </is>
      </c>
      <c r="E528" t="inlineStr">
        <is>
          <t>proposed mechanism based on preclinical data: antioxidant and anti-inflammatory signaling effects are reported in Rhodiola constituent literature, but no established human mechanism exists.</t>
        </is>
      </c>
      <c r="F528" t="inlineStr">
        <is>
          <t>oxidative_stress_modulation; inflammatory_pathway_modulation; multi-target signaling modulation</t>
        </is>
      </c>
      <c r="G528" t="inlineStr">
        <is>
          <t>oxidative-stress response pathways; inflammatory signaling</t>
        </is>
      </c>
      <c r="H528" t="inlineStr">
        <is>
          <t>No robust isolated-compound human pharmacokinetic data identified.</t>
        </is>
      </c>
      <c r="I528" t="inlineStr">
        <is>
          <t>No compound-specific human safety dataset identified; keep safety attribution at the Rhodiola herb/extract layer.</t>
        </is>
      </c>
      <c r="J528" t="inlineStr">
        <is>
          <t>No compound-specific clinical drug interactions established.</t>
        </is>
      </c>
      <c r="K528" t="inlineStr">
        <is>
          <t>Moderate</t>
        </is>
      </c>
      <c r="L528" t="inlineStr">
        <is>
          <t>preclinical</t>
        </is>
      </c>
      <c r="M528" t="inlineStr">
        <is>
          <t>https://pubchem.ncbi.nlm.nih.gov/compound/Rhodiosin | https://pubmed.ncbi.nlm.nih.gov/?term=rhodiosin+rhodiola | https://www.nccih.nih.gov/health/rhodiola</t>
        </is>
      </c>
      <c r="N528" t="inlineStr">
        <is>
          <t>tier1_locked</t>
        </is>
      </c>
      <c r="O528" t="inlineStr">
        <is>
          <t>PubChem + PubMed + NCCIH</t>
        </is>
      </c>
      <c r="P528" t="inlineStr">
        <is>
          <t>herb_monograph_master_advanced_v11_full_integration_batch5.xlsx</t>
        </is>
      </c>
      <c r="Q528" t="inlineStr">
        <is>
          <t>rhodiola-rosea</t>
        </is>
      </c>
      <c r="R528" t="n">
        <v>1</v>
      </c>
      <c r="S528" t="inlineStr">
        <is>
          <t>Yes</t>
        </is>
      </c>
      <c r="T528" t="inlineStr">
        <is>
          <t>Locked in Batch 5 during full integration pass; master row added ahead of row-level herb normalization.</t>
        </is>
      </c>
    </row>
    <row r="529">
      <c r="A529" t="inlineStr">
        <is>
          <t>rosiridin</t>
        </is>
      </c>
      <c r="B529" t="inlineStr">
        <is>
          <t>rosiridin</t>
        </is>
      </c>
      <c r="D529" t="inlineStr">
        <is>
          <t>monoterpene glycoside</t>
        </is>
      </c>
      <c r="E529" t="inlineStr">
        <is>
          <t>proposed mechanism based on preclinical data: monoamine oxidase inhibitory and adaptogen-associated CNS effects are reported in Rhodiola literature, but no established human mechanism exists.</t>
        </is>
      </c>
      <c r="F529" t="inlineStr">
        <is>
          <t>adaptogen; monoamine oxidase modulation; multi-target signaling modulation</t>
        </is>
      </c>
      <c r="G529" t="inlineStr">
        <is>
          <t>MAO-A; MAO-B; CNS stress-response signaling</t>
        </is>
      </c>
      <c r="H529" t="inlineStr">
        <is>
          <t>No robust isolated-compound human pharmacokinetic data identified.</t>
        </is>
      </c>
      <c r="I529" t="inlineStr">
        <is>
          <t>No compound-specific human safety dataset identified; keep safety attribution at the Rhodiola herb/extract layer.</t>
        </is>
      </c>
      <c r="J529" t="inlineStr">
        <is>
          <t>No compound-specific clinical drug interactions established.</t>
        </is>
      </c>
      <c r="K529" t="inlineStr">
        <is>
          <t>Moderate</t>
        </is>
      </c>
      <c r="L529" t="inlineStr">
        <is>
          <t>preclinical</t>
        </is>
      </c>
      <c r="M529" t="inlineStr">
        <is>
          <t>https://pubchem.ncbi.nlm.nih.gov/compound/Rosiridin | https://pubmed.ncbi.nlm.nih.gov/?term=rosiridin+Rhodiola | https://www.nccih.nih.gov/health/rhodiola</t>
        </is>
      </c>
      <c r="N529" t="inlineStr">
        <is>
          <t>tier1_locked</t>
        </is>
      </c>
      <c r="O529" t="inlineStr">
        <is>
          <t>PubChem + PubMed + NCCIH</t>
        </is>
      </c>
      <c r="P529" t="inlineStr">
        <is>
          <t>herb_monograph_master_advanced_v11_full_integration_batch5.xlsx</t>
        </is>
      </c>
      <c r="Q529" t="inlineStr">
        <is>
          <t>rhodiola-rosea</t>
        </is>
      </c>
      <c r="R529" t="n">
        <v>1</v>
      </c>
      <c r="S529" t="inlineStr">
        <is>
          <t>Yes</t>
        </is>
      </c>
      <c r="T529" t="inlineStr">
        <is>
          <t>Locked in Batch 5 during full integration pass; master row added ahead of row-level herb normalization.</t>
        </is>
      </c>
    </row>
    <row r="530">
      <c r="A530" t="inlineStr">
        <is>
          <t>withanoside v</t>
        </is>
      </c>
      <c r="B530" t="inlineStr">
        <is>
          <t>withanoside V</t>
        </is>
      </c>
      <c r="D530" t="inlineStr">
        <is>
          <t>withanolide glycoside / steroidal lactone glycoside</t>
        </is>
      </c>
      <c r="E530" t="inlineStr">
        <is>
          <t>proposed mechanism based on preclinical data: neuroprotective and adaptogen-associated effects are reported in Withania literature, but no established human mechanism exists.</t>
        </is>
      </c>
      <c r="F530" t="inlineStr">
        <is>
          <t>neuroprotective; adaptogen; multi-target signaling modulation</t>
        </is>
      </c>
      <c r="G530" t="inlineStr">
        <is>
          <t>neuroregeneration-related signaling; unresolved at isolated-compound level</t>
        </is>
      </c>
      <c r="H530" t="inlineStr">
        <is>
          <t>No robust isolated-compound human pharmacokinetic data identified.</t>
        </is>
      </c>
      <c r="I530" t="inlineStr">
        <is>
          <t>Use herb-level ashwagandha safety framing only; isolated-compound human safety data remain limited.</t>
        </is>
      </c>
      <c r="J530" t="inlineStr">
        <is>
          <t>No compound-specific clinical drug interactions established.</t>
        </is>
      </c>
      <c r="K530" t="inlineStr">
        <is>
          <t>Moderate</t>
        </is>
      </c>
      <c r="L530" t="inlineStr">
        <is>
          <t>preclinical</t>
        </is>
      </c>
      <c r="M530" t="inlineStr">
        <is>
          <t>https://pubchem.ncbi.nlm.nih.gov/compound/Withanoside-V | https://pubmed.ncbi.nlm.nih.gov/?term=withanoside+V | https://www.nccih.nih.gov/health/ashwagandha</t>
        </is>
      </c>
      <c r="N530" t="inlineStr">
        <is>
          <t>tier1_locked</t>
        </is>
      </c>
      <c r="O530" t="inlineStr">
        <is>
          <t>PubChem + PubMed + NCCIH</t>
        </is>
      </c>
      <c r="P530" t="inlineStr">
        <is>
          <t>herb_monograph_master_advanced_v11_full_integration_batch5.xlsx</t>
        </is>
      </c>
      <c r="Q530" t="inlineStr">
        <is>
          <t>ashwagandha</t>
        </is>
      </c>
      <c r="R530" t="n">
        <v>1</v>
      </c>
      <c r="S530" t="inlineStr">
        <is>
          <t>Yes</t>
        </is>
      </c>
      <c r="T530" t="inlineStr">
        <is>
          <t>Locked in Batch 5 during full integration pass; awaits direct herb-row source-normalized insertion before mapping.</t>
        </is>
      </c>
    </row>
    <row r="531">
      <c r="A531" t="inlineStr">
        <is>
          <t>hydroxytyrosol acetate</t>
        </is>
      </c>
      <c r="B531" t="inlineStr">
        <is>
          <t>hydroxytyrosol acetate</t>
        </is>
      </c>
      <c r="C531" t="inlineStr">
        <is>
          <t>2-(3,4-dihydroxyphenyl)ethyl acetate</t>
        </is>
      </c>
      <c r="D531" t="inlineStr">
        <is>
          <t>phenolic ester / tyrosol derivative</t>
        </is>
      </c>
      <c r="E531" t="inlineStr">
        <is>
          <t>proposed mechanism based on preclinical data: antioxidant and cytoprotective activity is inferred from tyrosol-family literature, but no established human mechanism exists.</t>
        </is>
      </c>
      <c r="F531" t="inlineStr">
        <is>
          <t>oxidative_stress_modulation; multi-target signaling modulation</t>
        </is>
      </c>
      <c r="G531" t="inlineStr">
        <is>
          <t>oxidative-stress response pathways</t>
        </is>
      </c>
      <c r="H531" t="inlineStr">
        <is>
          <t>No robust isolated-compound human pharmacokinetic data identified.</t>
        </is>
      </c>
      <c r="I531" t="inlineStr">
        <is>
          <t>Compound-specific human safety data are limited; dietary occurrence does not establish a supplement-level safety profile.</t>
        </is>
      </c>
      <c r="J531" t="inlineStr">
        <is>
          <t>No compound-specific clinical drug interactions established.</t>
        </is>
      </c>
      <c r="K531" t="inlineStr">
        <is>
          <t>Low-Moderate</t>
        </is>
      </c>
      <c r="L531" t="inlineStr">
        <is>
          <t>identity strong; mechanism preclinical; PK limited</t>
        </is>
      </c>
      <c r="M531" t="inlineStr">
        <is>
          <t>https://pubchem.ncbi.nlm.nih.gov/compound/Hydroxytyrosol-Acetate | https://pubmed.ncbi.nlm.nih.gov/?term=hydroxytyrosol+acetate</t>
        </is>
      </c>
      <c r="N531" t="inlineStr">
        <is>
          <t>tier1_locked</t>
        </is>
      </c>
      <c r="O531" t="inlineStr">
        <is>
          <t>PubChem + PubMed</t>
        </is>
      </c>
      <c r="P531" t="inlineStr">
        <is>
          <t>herb_monograph_master_advanced_v11_full_integration_batch5.xlsx</t>
        </is>
      </c>
      <c r="R531" t="n">
        <v>0</v>
      </c>
      <c r="S531" t="inlineStr">
        <is>
          <t>No</t>
        </is>
      </c>
      <c r="T531" t="inlineStr">
        <is>
          <t>Locked in Batch 5 during full integration pass; retained in master without herb map pending direct herb-row evidence.</t>
        </is>
      </c>
    </row>
    <row r="532">
      <c r="A532" t="inlineStr">
        <is>
          <t>pulegone</t>
        </is>
      </c>
      <c r="B532" t="inlineStr">
        <is>
          <t>pulegone</t>
        </is>
      </c>
      <c r="D532" t="inlineStr">
        <is>
          <t>monoterpene ketone</t>
        </is>
      </c>
      <c r="E532" t="inlineStr">
        <is>
          <t>metabolized to hepatotoxic intermediates in high doses; safety-relevant compound</t>
        </is>
      </c>
      <c r="F532" t="inlineStr">
        <is>
          <t>hepatotoxicity risk; metabolic activation</t>
        </is>
      </c>
      <c r="G532" t="inlineStr">
        <is>
          <t>CYP-mediated metabolism; reactive metabolite formation</t>
        </is>
      </c>
      <c r="H532" t="inlineStr">
        <is>
          <t>hepatic metabolism to reactive intermediates</t>
        </is>
      </c>
      <c r="I532" t="inlineStr">
        <is>
          <t>hepatotoxic risk at high exposure; regulatory concern</t>
        </is>
      </c>
      <c r="J532" t="inlineStr">
        <is>
          <t>avoid with liver stressors or hepatotoxic drugs</t>
        </is>
      </c>
      <c r="K532" t="inlineStr">
        <is>
          <t>Moderate</t>
        </is>
      </c>
      <c r="L532" t="inlineStr">
        <is>
          <t>compound_level</t>
        </is>
      </c>
      <c r="M532" t="inlineStr">
        <is>
          <t>https://pubchem.ncbi.nlm.nih.gov/compound/Pulegone</t>
        </is>
      </c>
      <c r="N532" t="inlineStr">
        <is>
          <t>trusted_primary_web</t>
        </is>
      </c>
      <c r="O532" t="inlineStr">
        <is>
          <t>PubChem</t>
        </is>
      </c>
      <c r="P532" t="inlineStr">
        <is>
          <t>Batch12_peppermint_2026-04-07</t>
        </is>
      </c>
      <c r="Q532" t="inlineStr">
        <is>
          <t>peppermint</t>
        </is>
      </c>
      <c r="R532" t="n">
        <v>1</v>
      </c>
      <c r="S532" t="inlineStr">
        <is>
          <t>Yes</t>
        </is>
      </c>
      <c r="T532" t="inlineStr">
        <is>
          <t>Primary safety signal compound</t>
        </is>
      </c>
    </row>
    <row r="533">
      <c r="A533" t="inlineStr">
        <is>
          <t>liquiritigenin</t>
        </is>
      </c>
      <c r="B533" t="inlineStr">
        <is>
          <t>liquiritigenin</t>
        </is>
      </c>
      <c r="D533" t="inlineStr">
        <is>
          <t>flavanone</t>
        </is>
      </c>
      <c r="E533" t="inlineStr">
        <is>
          <t>Liquiritigenin is a licorice-associated flavanone with anti-inflammatory and phytoestrogen-adjacent signaling reported in preclinical literature; contributes more to licorice chemistry differentiation than to direct high-potency pharmacology.</t>
        </is>
      </c>
      <c r="F533" t="inlineStr">
        <is>
          <t>anti-inflammatory; estrogen-receptor-adjacent; antioxidant</t>
        </is>
      </c>
      <c r="G533" t="inlineStr">
        <is>
          <t>estrogen-receptor-adjacent signaling; inflammatory pathway modulation</t>
        </is>
      </c>
      <c r="H533" t="inlineStr">
        <is>
          <t>oral absorption with hepatic metabolism expected; limited human PK characterization</t>
        </is>
      </c>
      <c r="I533" t="inlineStr">
        <is>
          <t>Generally lower-risk than glycyrrhizin itself, but whole-licorice products carrying it still inherit broader licorice safety context.</t>
        </is>
      </c>
      <c r="J533" t="inlineStr">
        <is>
          <t>Use caution in hormone-sensitive contexts and with polyherbal endocrine-active stacks.</t>
        </is>
      </c>
      <c r="K533" t="inlineStr">
        <is>
          <t>Medium</t>
        </is>
      </c>
      <c r="L533" t="inlineStr">
        <is>
          <t>compound_level</t>
        </is>
      </c>
      <c r="M533" t="inlineStr">
        <is>
          <t>https://pubchem.ncbi.nlm.nih.gov/compound/Liquiritigenin | https://www.nccih.nih.gov/health/licorice-root</t>
        </is>
      </c>
      <c r="N533" t="inlineStr">
        <is>
          <t>trusted_gov_added</t>
        </is>
      </c>
      <c r="O533" t="inlineStr">
        <is>
          <t>PubChem compound page (NIH); NCCIH licorice safety page</t>
        </is>
      </c>
      <c r="P533" t="inlineStr">
        <is>
          <t>Pass64_licorice_enrichment</t>
        </is>
      </c>
      <c r="Q533" t="inlineStr">
        <is>
          <t>licorice</t>
        </is>
      </c>
      <c r="R533" t="n">
        <v>1</v>
      </c>
      <c r="S533" t="inlineStr">
        <is>
          <t>Yes</t>
        </is>
      </c>
      <c r="T533" t="inlineStr">
        <is>
          <t>Added during licorice monograph integration to support form-aware mapping.</t>
        </is>
      </c>
    </row>
    <row r="534">
      <c r="A534" t="inlineStr">
        <is>
          <t>isoliquiritigenin</t>
        </is>
      </c>
      <c r="B534" t="inlineStr">
        <is>
          <t>isoliquiritigenin</t>
        </is>
      </c>
      <c r="D534" t="inlineStr">
        <is>
          <t>chalcone</t>
        </is>
      </c>
      <c r="E534" t="inlineStr">
        <is>
          <t>Isoliquiritigenin is a chalcone reported from licorice species with anti-inflammatory, antioxidant, and signaling-modulatory activity in preclinical work.</t>
        </is>
      </c>
      <c r="F534" t="inlineStr">
        <is>
          <t>anti-inflammatory; antioxidant; signaling modulation</t>
        </is>
      </c>
      <c r="G534" t="inlineStr">
        <is>
          <t>NF-kappaB-related inflammatory signaling; oxidative-stress pathways</t>
        </is>
      </c>
      <c r="H534" t="inlineStr">
        <is>
          <t>oral absorption and hepatic metabolism expected; limited human PK characterization</t>
        </is>
      </c>
      <c r="I534" t="inlineStr">
        <is>
          <t>Compound-specific human safety data are limited; broader licorice product safety still depends heavily on glycyrrhizin exposure.</t>
        </is>
      </c>
      <c r="J534" t="inlineStr">
        <is>
          <t>Use caution in endocrine-active or highly stacked anti-inflammatory regimens until product context is clear.</t>
        </is>
      </c>
      <c r="K534" t="inlineStr">
        <is>
          <t>Medium</t>
        </is>
      </c>
      <c r="L534" t="inlineStr">
        <is>
          <t>compound_level</t>
        </is>
      </c>
      <c r="M534" t="inlineStr">
        <is>
          <t>https://pubchem.ncbi.nlm.nih.gov/compound/Isoliquiritigenin | https://www.nccih.nih.gov/health/licorice-root</t>
        </is>
      </c>
      <c r="N534" t="inlineStr">
        <is>
          <t>trusted_gov_added</t>
        </is>
      </c>
      <c r="O534" t="inlineStr">
        <is>
          <t>PubChem compound page (NIH); NCCIH licorice safety page</t>
        </is>
      </c>
      <c r="P534" t="inlineStr">
        <is>
          <t>Pass64_licorice_enrichment</t>
        </is>
      </c>
      <c r="Q534" t="inlineStr">
        <is>
          <t>licorice</t>
        </is>
      </c>
      <c r="R534" t="n">
        <v>1</v>
      </c>
      <c r="S534" t="inlineStr">
        <is>
          <t>Yes</t>
        </is>
      </c>
      <c r="T534" t="inlineStr">
        <is>
          <t>Added during licorice monograph integration to improve flavonoid-level reverse lookup.</t>
        </is>
      </c>
    </row>
    <row r="535">
      <c r="A535" t="inlineStr">
        <is>
          <t>glabridin</t>
        </is>
      </c>
      <c r="B535" t="inlineStr">
        <is>
          <t>glabridin</t>
        </is>
      </c>
      <c r="D535" t="inlineStr">
        <is>
          <t>isoflavan</t>
        </is>
      </c>
      <c r="E535" t="inlineStr">
        <is>
          <t>Glabridin is a licorice isoflavan associated with antioxidant and anti-inflammatory activity in preclinical literature and helps distinguish licorice flavonoid chemistry from glycyrrhizin-driven mineralocorticoid risk.</t>
        </is>
      </c>
      <c r="F535" t="inlineStr">
        <is>
          <t>anti-inflammatory; antioxidant</t>
        </is>
      </c>
      <c r="G535" t="inlineStr">
        <is>
          <t>oxidative-stress pathways; inflammatory pathway modulation</t>
        </is>
      </c>
      <c r="H535" t="inlineStr">
        <is>
          <t>lipophilic compound with hepatic metabolism expected; limited human PK characterization</t>
        </is>
      </c>
      <c r="I535" t="inlineStr">
        <is>
          <t>Human safety data at isolated-compound level are limited; assess in context of whole-licorice product profile.</t>
        </is>
      </c>
      <c r="J535" t="inlineStr">
        <is>
          <t>No major well-documented isolated-compound interactions, but licorice product interactions still apply at herb level.</t>
        </is>
      </c>
      <c r="K535" t="inlineStr">
        <is>
          <t>Medium</t>
        </is>
      </c>
      <c r="L535" t="inlineStr">
        <is>
          <t>compound_level</t>
        </is>
      </c>
      <c r="M535" t="inlineStr">
        <is>
          <t>https://pubchem.ncbi.nlm.nih.gov/compound/Glabridin | https://www.nccih.nih.gov/health/licorice-root</t>
        </is>
      </c>
      <c r="N535" t="inlineStr">
        <is>
          <t>trusted_gov_added</t>
        </is>
      </c>
      <c r="O535" t="inlineStr">
        <is>
          <t>PubChem compound page (NIH); NCCIH licorice safety page</t>
        </is>
      </c>
      <c r="P535" t="inlineStr">
        <is>
          <t>Pass64_licorice_enrichment</t>
        </is>
      </c>
      <c r="Q535" t="inlineStr">
        <is>
          <t>licorice</t>
        </is>
      </c>
      <c r="R535" t="n">
        <v>1</v>
      </c>
      <c r="S535" t="inlineStr">
        <is>
          <t>Yes</t>
        </is>
      </c>
      <c r="T535" t="inlineStr">
        <is>
          <t>Added during licorice monograph integration to support flavonoid-aware compound resolution.</t>
        </is>
      </c>
    </row>
    <row r="536">
      <c r="A536" s="181" t="inlineStr">
        <is>
          <t>quercetin</t>
        </is>
      </c>
      <c r="B536" s="181" t="inlineStr">
        <is>
          <t>flavonoid</t>
        </is>
      </c>
      <c r="C536" s="181" t="inlineStr">
        <is>
          <t>mast cell stabilization, antioxidant, anti-inflammatory</t>
        </is>
      </c>
      <c r="D536" s="181" t="inlineStr">
        <is>
          <t>generally safe</t>
        </is>
      </c>
    </row>
    <row r="537">
      <c r="A537" s="181" t="inlineStr">
        <is>
          <t>macamide B</t>
        </is>
      </c>
      <c r="B537" s="181" t="inlineStr">
        <is>
          <t>fatty acid amide</t>
        </is>
      </c>
      <c r="C537" s="181" t="inlineStr">
        <is>
          <t>endocannabinoid-related signaling support (proposed)</t>
        </is>
      </c>
      <c r="D537" s="181" t="inlineStr">
        <is>
          <t>limited human data</t>
        </is>
      </c>
    </row>
    <row r="538">
      <c r="A538" s="181" t="inlineStr">
        <is>
          <t>cynarin</t>
        </is>
      </c>
      <c r="B538" s="181" t="inlineStr">
        <is>
          <t>phenolic acid derivative</t>
        </is>
      </c>
      <c r="C538" s="181" t="inlineStr">
        <is>
          <t>choleretic, hepatobiliary support</t>
        </is>
      </c>
      <c r="D538" s="181" t="inlineStr">
        <is>
          <t>generally safe</t>
        </is>
      </c>
    </row>
    <row r="539">
      <c r="A539" s="181" t="inlineStr">
        <is>
          <t>carnosic acid</t>
        </is>
      </c>
      <c r="B539" s="181" t="inlineStr">
        <is>
          <t>diterpene phenol</t>
        </is>
      </c>
      <c r="C539" s="181" t="inlineStr">
        <is>
          <t>antioxidant, neuroprotective</t>
        </is>
      </c>
      <c r="D539" s="181" t="inlineStr">
        <is>
          <t>generally safe</t>
        </is>
      </c>
    </row>
    <row r="601">
      <c r="A601" t="inlineStr">
        <is>
          <t>rosmarinic acid</t>
        </is>
      </c>
      <c r="B601" t="inlineStr">
        <is>
          <t>polyphenol</t>
        </is>
      </c>
      <c r="C601" t="inlineStr">
        <is>
          <t>GABA modulation, antioxidant</t>
        </is>
      </c>
      <c r="D601" t="inlineStr">
        <is>
          <t>safe</t>
        </is>
      </c>
    </row>
    <row r="602">
      <c r="A602" t="inlineStr">
        <is>
          <t>eugenol</t>
        </is>
      </c>
      <c r="B602" t="inlineStr">
        <is>
          <t>phenylpropene</t>
        </is>
      </c>
      <c r="C602" t="inlineStr">
        <is>
          <t>anti-inflammatory</t>
        </is>
      </c>
      <c r="D602" t="inlineStr">
        <is>
          <t>generally safe</t>
        </is>
      </c>
    </row>
    <row r="603">
      <c r="A603" t="inlineStr">
        <is>
          <t>valerenic acid</t>
        </is>
      </c>
      <c r="B603" t="inlineStr">
        <is>
          <t>sesquiterpene</t>
        </is>
      </c>
      <c r="C603" t="inlineStr">
        <is>
          <t>GABA-A modulation</t>
        </is>
      </c>
      <c r="D603" t="inlineStr">
        <is>
          <t>sedative</t>
        </is>
      </c>
    </row>
    <row r="604">
      <c r="A604" t="inlineStr">
        <is>
          <t>cordycepin</t>
        </is>
      </c>
      <c r="B604" t="inlineStr">
        <is>
          <t>nucleoside analog</t>
        </is>
      </c>
      <c r="C604" t="inlineStr">
        <is>
          <t>ATP modulation</t>
        </is>
      </c>
      <c r="D604" t="inlineStr">
        <is>
          <t>limited human data</t>
        </is>
      </c>
    </row>
    <row r="605">
      <c r="A605" t="inlineStr">
        <is>
          <t>curcumin</t>
        </is>
      </c>
      <c r="B605" t="inlineStr">
        <is>
          <t>polyphenol</t>
        </is>
      </c>
      <c r="C605" t="inlineStr">
        <is>
          <t>anti-inflammatory, NF-kB inhibition</t>
        </is>
      </c>
      <c r="D605" t="inlineStr">
        <is>
          <t>low bioavailability</t>
        </is>
      </c>
    </row>
    <row r="606">
      <c r="A606" t="inlineStr">
        <is>
          <t>6-gingerol</t>
        </is>
      </c>
      <c r="B606" t="inlineStr">
        <is>
          <t>phenolic ketone</t>
        </is>
      </c>
      <c r="C606" t="inlineStr">
        <is>
          <t>anti-inflammatory</t>
        </is>
      </c>
      <c r="D606" t="inlineStr">
        <is>
          <t>safe</t>
        </is>
      </c>
    </row>
    <row r="607">
      <c r="A607" t="inlineStr">
        <is>
          <t>EGCG</t>
        </is>
      </c>
      <c r="B607" t="inlineStr">
        <is>
          <t>catechin</t>
        </is>
      </c>
      <c r="C607" t="inlineStr">
        <is>
          <t>antioxidant, metabolic support</t>
        </is>
      </c>
      <c r="D607" t="inlineStr">
        <is>
          <t>generally safe</t>
        </is>
      </c>
    </row>
    <row r="608">
      <c r="A608" t="inlineStr">
        <is>
          <t>kavain</t>
        </is>
      </c>
      <c r="B608" t="inlineStr">
        <is>
          <t>kavalactone</t>
        </is>
      </c>
      <c r="C608" t="inlineStr">
        <is>
          <t>GABA modulation</t>
        </is>
      </c>
      <c r="D608" t="inlineStr">
        <is>
          <t>liver risk in excess</t>
        </is>
      </c>
    </row>
    <row r="609">
      <c r="A609" t="inlineStr">
        <is>
          <t>beta-glucans</t>
        </is>
      </c>
      <c r="B609" t="inlineStr">
        <is>
          <t>polysaccharide</t>
        </is>
      </c>
      <c r="C609" t="inlineStr">
        <is>
          <t>immune modulation</t>
        </is>
      </c>
      <c r="D609" t="inlineStr">
        <is>
          <t>safe</t>
        </is>
      </c>
    </row>
    <row r="610">
      <c r="A610" t="inlineStr">
        <is>
          <t>hericenone C</t>
        </is>
      </c>
      <c r="B610" t="inlineStr">
        <is>
          <t>aromatic compound</t>
        </is>
      </c>
      <c r="C610" t="inlineStr">
        <is>
          <t>NGF stimulation</t>
        </is>
      </c>
      <c r="D610" t="inlineStr">
        <is>
          <t>limited human data</t>
        </is>
      </c>
    </row>
    <row r="611">
      <c r="A611" t="inlineStr">
        <is>
          <t>menthol</t>
        </is>
      </c>
      <c r="B611" t="inlineStr">
        <is>
          <t>terpenoid</t>
        </is>
      </c>
      <c r="C611" t="inlineStr">
        <is>
          <t>smooth muscle relaxation</t>
        </is>
      </c>
      <c r="D611" t="inlineStr">
        <is>
          <t>safe</t>
        </is>
      </c>
    </row>
    <row r="612">
      <c r="A612" t="inlineStr">
        <is>
          <t>thymoquinone</t>
        </is>
      </c>
      <c r="B612" t="inlineStr">
        <is>
          <t>quinone</t>
        </is>
      </c>
      <c r="C612" t="inlineStr">
        <is>
          <t>anti-inflammatory</t>
        </is>
      </c>
      <c r="D612" t="inlineStr">
        <is>
          <t>generally safe</t>
        </is>
      </c>
    </row>
    <row r="613">
      <c r="A613" t="inlineStr">
        <is>
          <t>silybin</t>
        </is>
      </c>
      <c r="B613" t="inlineStr">
        <is>
          <t>flavonolignan</t>
        </is>
      </c>
      <c r="C613" t="inlineStr">
        <is>
          <t>hepatoprotective</t>
        </is>
      </c>
      <c r="D613" t="inlineStr">
        <is>
          <t>safe</t>
        </is>
      </c>
    </row>
    <row r="614">
      <c r="A614" t="inlineStr">
        <is>
          <t>hyperforin</t>
        </is>
      </c>
      <c r="B614" t="inlineStr">
        <is>
          <t>phloroglucinol derivative</t>
        </is>
      </c>
      <c r="C614" t="inlineStr">
        <is>
          <t>serotonin reuptake inhibition</t>
        </is>
      </c>
      <c r="D614" t="inlineStr">
        <is>
          <t>drug interaction risk</t>
        </is>
      </c>
    </row>
    <row r="615">
      <c r="A615" t="inlineStr">
        <is>
          <t>theobromine</t>
        </is>
      </c>
      <c r="B615" t="inlineStr">
        <is>
          <t>methylxanthine</t>
        </is>
      </c>
      <c r="C615" t="inlineStr">
        <is>
          <t>stimulant</t>
        </is>
      </c>
      <c r="D615" t="inlineStr">
        <is>
          <t>safe in moderate doses</t>
        </is>
      </c>
    </row>
    <row r="616">
      <c r="A616" t="inlineStr">
        <is>
          <t>apigenin</t>
        </is>
      </c>
      <c r="B616" t="inlineStr">
        <is>
          <t>flavonoid</t>
        </is>
      </c>
      <c r="C616" t="inlineStr">
        <is>
          <t>anxiolytic, GABA modulation</t>
        </is>
      </c>
      <c r="D616" t="inlineStr">
        <is>
          <t>generally safe</t>
        </is>
      </c>
    </row>
    <row r="617">
      <c r="A617" t="inlineStr">
        <is>
          <t>carvacrol</t>
        </is>
      </c>
      <c r="B617" t="inlineStr">
        <is>
          <t>monoterpenoid phenol</t>
        </is>
      </c>
      <c r="C617" t="inlineStr">
        <is>
          <t>antimicrobial</t>
        </is>
      </c>
      <c r="D617" t="inlineStr">
        <is>
          <t>generally safe</t>
        </is>
      </c>
    </row>
    <row r="618">
      <c r="A618" t="inlineStr">
        <is>
          <t>thymol</t>
        </is>
      </c>
      <c r="B618" t="inlineStr">
        <is>
          <t>monoterpenoid phenol</t>
        </is>
      </c>
      <c r="C618" t="inlineStr">
        <is>
          <t>antimicrobial</t>
        </is>
      </c>
      <c r="D618" t="inlineStr">
        <is>
          <t>generally safe</t>
        </is>
      </c>
    </row>
    <row r="619">
      <c r="A619" t="inlineStr">
        <is>
          <t>eugenol</t>
        </is>
      </c>
      <c r="B619" t="inlineStr">
        <is>
          <t>phenylpropene</t>
        </is>
      </c>
      <c r="C619" t="inlineStr">
        <is>
          <t>analgesic, anti-inflammatory</t>
        </is>
      </c>
      <c r="D619" t="inlineStr">
        <is>
          <t>generally safe</t>
        </is>
      </c>
    </row>
    <row r="620">
      <c r="A620" t="inlineStr">
        <is>
          <t>thujone</t>
        </is>
      </c>
      <c r="B620" t="inlineStr">
        <is>
          <t>monoterpene ketone</t>
        </is>
      </c>
      <c r="C620" t="inlineStr">
        <is>
          <t>GABA modulation (antagonist)</t>
        </is>
      </c>
      <c r="D620" t="inlineStr">
        <is>
          <t>toxic at high doses</t>
        </is>
      </c>
    </row>
  </sheetData>
  <conditionalFormatting sqref="R2:R522">
    <cfRule type="dataBar" priority="1">
      <dataBar>
        <cfvo type="min"/>
        <cfvo type="max"/>
        <color rgb="000F766E"/>
      </dataBar>
    </cfRule>
  </conditionalFormatting>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Q220"/>
  <sheetViews>
    <sheetView workbookViewId="0">
      <selection activeCell="A1" sqref="A1"/>
    </sheetView>
  </sheetViews>
  <sheetFormatPr baseColWidth="8" defaultRowHeight="15"/>
  <cols>
    <col width="18" customWidth="1" style="76" min="1" max="1"/>
    <col width="18" customWidth="1" style="76" min="2" max="2"/>
    <col width="30" customWidth="1" style="76" min="3" max="3"/>
    <col width="26" customWidth="1" style="76" min="4" max="4"/>
    <col width="20" customWidth="1" style="76" min="5" max="5"/>
    <col width="18" customWidth="1" style="76" min="6" max="6"/>
    <col width="20" customWidth="1" style="76" min="7" max="7"/>
    <col width="22" customWidth="1" style="76" min="8" max="8"/>
    <col width="16" customWidth="1" style="76" min="9" max="9"/>
    <col width="20" customWidth="1" style="76" min="10" max="10"/>
    <col width="20" customWidth="1" style="76" min="11" max="11"/>
    <col width="14" customWidth="1" style="76" min="12" max="12"/>
    <col width="32.43000030517578" customWidth="1" style="76" min="13" max="13"/>
    <col width="20" customWidth="1" style="76" min="14" max="14"/>
    <col width="24" customWidth="1" style="76" min="15" max="15"/>
    <col width="28" customWidth="1" style="76" min="16" max="16"/>
    <col width="40" customWidth="1" style="76" min="17" max="17"/>
  </cols>
  <sheetData>
    <row r="1">
      <c r="A1" s="142" t="inlineStr">
        <is>
          <t>herbSlug</t>
        </is>
      </c>
      <c r="B1" s="142" t="inlineStr">
        <is>
          <t>herbName</t>
        </is>
      </c>
      <c r="C1" s="142" t="inlineStr">
        <is>
          <t>rawCompound</t>
        </is>
      </c>
      <c r="D1" s="142" t="inlineStr">
        <is>
          <t>normalizedAtom</t>
        </is>
      </c>
      <c r="E1" s="142" t="inlineStr">
        <is>
          <t>parentClass</t>
        </is>
      </c>
      <c r="F1" s="142" t="inlineStr">
        <is>
          <t>aliasUsed</t>
        </is>
      </c>
      <c r="G1" s="142" t="inlineStr">
        <is>
          <t>canonicalCompoundId</t>
        </is>
      </c>
      <c r="H1" s="142" t="inlineStr">
        <is>
          <t>canonicalCompoundName</t>
        </is>
      </c>
      <c r="I1" s="142" t="inlineStr">
        <is>
          <t>v3MatchType</t>
        </is>
      </c>
      <c r="J1" s="142" t="inlineStr">
        <is>
          <t>normalizationStrategy</t>
        </is>
      </c>
      <c r="K1" s="142" t="inlineStr">
        <is>
          <t>mappingTier</t>
        </is>
      </c>
      <c r="L1" s="142" t="inlineStr">
        <is>
          <t>externalHerbSupport</t>
        </is>
      </c>
      <c r="M1" s="142" t="inlineStr">
        <is>
          <t>compoundPresentInMasterV3</t>
        </is>
      </c>
      <c r="N1" s="142" t="inlineStr">
        <is>
          <t>mechanismTags</t>
        </is>
      </c>
      <c r="O1" s="142" t="inlineStr">
        <is>
          <t>pathwayTargets</t>
        </is>
      </c>
      <c r="P1" s="142" t="inlineStr">
        <is>
          <t>sourceUrls</t>
        </is>
      </c>
      <c r="Q1" s="142" t="inlineStr">
        <is>
          <t>notes</t>
        </is>
      </c>
    </row>
    <row r="2" ht="26" customHeight="1" s="76">
      <c r="A2" s="134" t="inlineStr">
        <is>
          <t>ashwagandha</t>
        </is>
      </c>
      <c r="B2" s="134" t="inlineStr">
        <is>
          <t>Ashwagandha</t>
        </is>
      </c>
      <c r="C2" s="134" t="inlineStr">
        <is>
          <t>withaferin A</t>
        </is>
      </c>
      <c r="D2" s="134" t="inlineStr">
        <is>
          <t>withaferin A</t>
        </is>
      </c>
      <c r="E2" s="134" t="n"/>
      <c r="F2" s="134" t="n"/>
      <c r="G2" s="134" t="inlineStr">
        <is>
          <t>withaferin a</t>
        </is>
      </c>
      <c r="H2" s="134" t="inlineStr">
        <is>
          <t>withaferin A</t>
        </is>
      </c>
      <c r="I2" s="134" t="inlineStr">
        <is>
          <t>exact-normalized</t>
        </is>
      </c>
      <c r="J2" s="134" t="inlineStr">
        <is>
          <t>direct</t>
        </is>
      </c>
      <c r="K2" s="134" t="inlineStr">
        <is>
          <t>master-linked</t>
        </is>
      </c>
      <c r="L2" s="134" t="inlineStr">
        <is>
          <t>Yes</t>
        </is>
      </c>
      <c r="M2" s="134" t="inlineStr">
        <is>
          <t>Yes</t>
        </is>
      </c>
      <c r="N2" s="134" t="inlineStr">
        <is>
          <t>anti-inflammatory; multi-target signaling modulation</t>
        </is>
      </c>
      <c r="O2" s="134" t="inlineStr">
        <is>
          <t>HSP90; vimentin; IKKbeta; NF-kappaB; EMT-related signaling</t>
        </is>
      </c>
      <c r="P2" s="134" t="inlineStr">
        <is>
          <t>https://pubchem.ncbi.nlm.nih.gov/compound/Withaferin-A | https://pubmed.ncbi.nlm.nih.gov/?term=withaferin+A+HSP90 | https://www.nccih.nih.gov/health/ashwagandha</t>
        </is>
      </c>
      <c r="Q2" s="134" t="inlineStr">
        <is>
          <t>Locked in Batch 3 and linked to compound master record.</t>
        </is>
      </c>
    </row>
    <row r="3" ht="26" customHeight="1" s="76">
      <c r="A3" s="134" t="inlineStr">
        <is>
          <t>ashwagandha</t>
        </is>
      </c>
      <c r="B3" s="134" t="inlineStr">
        <is>
          <t>Ashwagandha</t>
        </is>
      </c>
      <c r="C3" s="134" t="inlineStr">
        <is>
          <t>withanolide D</t>
        </is>
      </c>
      <c r="D3" s="134" t="inlineStr">
        <is>
          <t>withanolide D</t>
        </is>
      </c>
      <c r="E3" s="134" t="n"/>
      <c r="F3" s="134" t="n"/>
      <c r="G3" s="134" t="inlineStr">
        <is>
          <t>withanolide d</t>
        </is>
      </c>
      <c r="H3" s="134" t="inlineStr">
        <is>
          <t>withanolide d)</t>
        </is>
      </c>
      <c r="I3" s="134" t="inlineStr">
        <is>
          <t>exact-normalized</t>
        </is>
      </c>
      <c r="J3" s="134" t="inlineStr">
        <is>
          <t>direct</t>
        </is>
      </c>
      <c r="K3" s="134" t="inlineStr">
        <is>
          <t>master-linked</t>
        </is>
      </c>
      <c r="L3" s="134" t="inlineStr">
        <is>
          <t>No</t>
        </is>
      </c>
      <c r="M3" s="134" t="inlineStr">
        <is>
          <t>Yes</t>
        </is>
      </c>
      <c r="N3" s="134" t="inlineStr">
        <is>
          <t>COX/NF-kB inhibition; GABAergic modulation</t>
        </is>
      </c>
      <c r="O3" s="134" t="inlineStr">
        <is>
          <t>gabaergic_modulation; inflammatory_pathway_modulation</t>
        </is>
      </c>
      <c r="P3" s="134" t="inlineStr">
        <is>
          <t>https://plants.sc.egov.usda.gov/home/search?query=Withania%20Somnifera | https://plants.sc.egov.usda.gov/home/search?query=ashwagandha | https://pubchem.ncbi.nlm.nih.gov/#query=withanolide%20d</t>
        </is>
      </c>
      <c r="Q3" s="134" t="inlineStr">
        <is>
          <t>Mapped to existing compound layer record.</t>
        </is>
      </c>
    </row>
    <row r="4" ht="26" customHeight="1" s="76">
      <c r="A4" s="134" t="inlineStr">
        <is>
          <t>ashwagandha</t>
        </is>
      </c>
      <c r="B4" s="134" t="inlineStr">
        <is>
          <t>Ashwagandha</t>
        </is>
      </c>
      <c r="C4" s="134" t="inlineStr">
        <is>
          <t>withanolide A</t>
        </is>
      </c>
      <c r="D4" s="134" t="inlineStr">
        <is>
          <t>withanolide A</t>
        </is>
      </c>
      <c r="E4" s="134" t="n"/>
      <c r="F4" s="134" t="n"/>
      <c r="G4" s="134" t="inlineStr">
        <is>
          <t>withanolide a</t>
        </is>
      </c>
      <c r="H4" s="134" t="inlineStr">
        <is>
          <t>withanolide A</t>
        </is>
      </c>
      <c r="I4" s="134" t="inlineStr">
        <is>
          <t>exact-normalized</t>
        </is>
      </c>
      <c r="J4" s="134" t="inlineStr">
        <is>
          <t>direct</t>
        </is>
      </c>
      <c r="K4" s="134" t="inlineStr">
        <is>
          <t>master-linked</t>
        </is>
      </c>
      <c r="L4" s="134" t="inlineStr">
        <is>
          <t>Yes</t>
        </is>
      </c>
      <c r="M4" s="134" t="inlineStr">
        <is>
          <t>Yes</t>
        </is>
      </c>
      <c r="N4" s="134" t="inlineStr">
        <is>
          <t>anti-inflammatory; neuroprotective; multi-target signaling modulation</t>
        </is>
      </c>
      <c r="O4" s="134" t="inlineStr">
        <is>
          <t>BDNF/TrkB-associated signaling; Akt; ERK; CREB; Nrf2</t>
        </is>
      </c>
      <c r="P4" s="134" t="inlineStr">
        <is>
          <t>https://pubchem.ncbi.nlm.nih.gov/compound/Withanolide-A | https://pubmed.ncbi.nlm.nih.gov/?term=withanolide+A+neuroinflammation | https://www.nccih.nih.gov/health/ashwagandha</t>
        </is>
      </c>
      <c r="Q4" s="134" t="inlineStr">
        <is>
          <t>Locked in Batch 3 and linked to compound master record.</t>
        </is>
      </c>
    </row>
    <row r="5" ht="26" customHeight="1" s="76">
      <c r="A5" s="134" t="inlineStr">
        <is>
          <t>ashwagandha</t>
        </is>
      </c>
      <c r="B5" s="134" t="inlineStr">
        <is>
          <t>Ashwagandha</t>
        </is>
      </c>
      <c r="C5" s="134" t="inlineStr">
        <is>
          <t>withanoside IV</t>
        </is>
      </c>
      <c r="D5" s="134" t="inlineStr">
        <is>
          <t>withanoside IV</t>
        </is>
      </c>
      <c r="E5" s="134" t="n"/>
      <c r="F5" s="134" t="n"/>
      <c r="G5" s="134" t="inlineStr">
        <is>
          <t>withanoside iv</t>
        </is>
      </c>
      <c r="H5" s="134" t="inlineStr">
        <is>
          <t>withanoside IV</t>
        </is>
      </c>
      <c r="I5" s="134" t="inlineStr">
        <is>
          <t>exact-normalized</t>
        </is>
      </c>
      <c r="J5" s="134" t="inlineStr">
        <is>
          <t>direct</t>
        </is>
      </c>
      <c r="K5" s="134" t="inlineStr">
        <is>
          <t>master-linked</t>
        </is>
      </c>
      <c r="L5" s="134" t="inlineStr">
        <is>
          <t>Yes</t>
        </is>
      </c>
      <c r="M5" s="134" t="inlineStr">
        <is>
          <t>Yes</t>
        </is>
      </c>
      <c r="N5" s="134" t="inlineStr">
        <is>
          <t>neuroprotective; adaptogen; multi-target signaling modulation</t>
        </is>
      </c>
      <c r="O5" s="134" t="inlineStr">
        <is>
          <t>neuroregeneration-related signaling; unresolved at isolated-compound level</t>
        </is>
      </c>
      <c r="P5" s="134" t="inlineStr">
        <is>
          <t>https://pubchem.ncbi.nlm.nih.gov/compound/Withanoside-IV | https://pubmed.ncbi.nlm.nih.gov/?term=withanoside+IV | https://www.nccih.nih.gov/health/ashwagandha</t>
        </is>
      </c>
      <c r="Q5" s="134" t="inlineStr">
        <is>
          <t>Locked in Batch 5 and linked to compound master record during full integration pass.</t>
        </is>
      </c>
    </row>
    <row r="6" ht="26" customHeight="1" s="76">
      <c r="A6" s="134" t="inlineStr">
        <is>
          <t>ashwagandha</t>
        </is>
      </c>
      <c r="B6" s="134" t="inlineStr">
        <is>
          <t>Ashwagandha</t>
        </is>
      </c>
      <c r="C6" s="134" t="inlineStr">
        <is>
          <t>sitoindosides</t>
        </is>
      </c>
      <c r="D6" s="134" t="inlineStr">
        <is>
          <t>sitoindosides</t>
        </is>
      </c>
      <c r="E6" s="134" t="n"/>
      <c r="F6" s="134" t="n"/>
      <c r="G6" s="134" t="n"/>
      <c r="H6" s="134" t="n"/>
      <c r="I6" s="134" t="inlineStr">
        <is>
          <t>no-master-match</t>
        </is>
      </c>
      <c r="J6" s="134" t="inlineStr">
        <is>
          <t>direct</t>
        </is>
      </c>
      <c r="K6" s="134" t="inlineStr">
        <is>
          <t>broad-class-retained</t>
        </is>
      </c>
      <c r="L6" s="134" t="inlineStr">
        <is>
          <t>No</t>
        </is>
      </c>
      <c r="M6" s="134" t="inlineStr">
        <is>
          <t>No</t>
        </is>
      </c>
      <c r="N6" s="134" t="n"/>
      <c r="O6" s="134" t="n"/>
      <c r="P6" s="134" t="n"/>
      <c r="Q6" s="134" t="inlineStr">
        <is>
          <t>Broad class retained for context; not treated as atomic compound.</t>
        </is>
      </c>
    </row>
    <row r="7" ht="26" customHeight="1" s="76">
      <c r="A7" s="134" t="inlineStr">
        <is>
          <t>ashwagandha</t>
        </is>
      </c>
      <c r="B7" s="134" t="inlineStr">
        <is>
          <t>Ashwagandha</t>
        </is>
      </c>
      <c r="C7" s="134" t="inlineStr">
        <is>
          <t>alkaloids</t>
        </is>
      </c>
      <c r="D7" s="134" t="inlineStr">
        <is>
          <t>alkaloids</t>
        </is>
      </c>
      <c r="E7" s="134" t="n"/>
      <c r="F7" s="134" t="n"/>
      <c r="G7" s="134" t="n"/>
      <c r="H7" s="134" t="n"/>
      <c r="I7" s="134" t="inlineStr">
        <is>
          <t>no-master-match</t>
        </is>
      </c>
      <c r="J7" s="134" t="inlineStr">
        <is>
          <t>direct</t>
        </is>
      </c>
      <c r="K7" s="134" t="inlineStr">
        <is>
          <t>broad-class-retained</t>
        </is>
      </c>
      <c r="L7" s="134" t="inlineStr">
        <is>
          <t>No</t>
        </is>
      </c>
      <c r="M7" s="134" t="inlineStr">
        <is>
          <t>No</t>
        </is>
      </c>
      <c r="N7" s="134" t="n"/>
      <c r="O7" s="134" t="n"/>
      <c r="P7" s="134" t="n"/>
      <c r="Q7" s="134" t="inlineStr">
        <is>
          <t>Broad class retained for context; not treated as atomic compound.</t>
        </is>
      </c>
    </row>
    <row r="8" ht="26" customHeight="1" s="76">
      <c r="A8" s="134" t="inlineStr">
        <is>
          <t>black-cohosh</t>
        </is>
      </c>
      <c r="B8" s="134" t="inlineStr">
        <is>
          <t>Black Cohosh</t>
        </is>
      </c>
      <c r="C8" s="134" t="inlineStr">
        <is>
          <t>triterpene glycosides (actein, 23-epi-26-deoxyactein)</t>
        </is>
      </c>
      <c r="D8" s="134" t="inlineStr">
        <is>
          <t>actein</t>
        </is>
      </c>
      <c r="E8" s="134" t="inlineStr">
        <is>
          <t>triterpene glycosides</t>
        </is>
      </c>
      <c r="F8" s="134" t="n"/>
      <c r="G8" s="134" t="inlineStr">
        <is>
          <t>actein</t>
        </is>
      </c>
      <c r="H8" s="134" t="inlineStr">
        <is>
          <t>actein</t>
        </is>
      </c>
      <c r="I8" s="134" t="inlineStr">
        <is>
          <t>exact-normalized</t>
        </is>
      </c>
      <c r="J8" s="134" t="inlineStr">
        <is>
          <t>parenthetical-specific-list</t>
        </is>
      </c>
      <c r="K8" s="134" t="inlineStr">
        <is>
          <t>master-linked</t>
        </is>
      </c>
      <c r="L8" s="134" t="inlineStr">
        <is>
          <t>No</t>
        </is>
      </c>
      <c r="M8" s="134" t="inlineStr">
        <is>
          <t>Yes</t>
        </is>
      </c>
      <c r="N8" s="134" t="inlineStr">
        <is>
          <t>anti-inflammatory; multi-target signaling modulation</t>
        </is>
      </c>
      <c r="O8" s="134" t="inlineStr">
        <is>
          <t>NF-kB; calcium signaling; nitric oxide</t>
        </is>
      </c>
      <c r="P8" s="134" t="inlineStr">
        <is>
          <t>https://pubmed.ncbi.nlm.nih.gov/21614156/ | https://www.ema.europa.eu/en/documents/herbal-report/final-assessment-report-actaea-racemosa-l-rhizoma_en.pdf</t>
        </is>
      </c>
      <c r="Q8" s="134" t="inlineStr">
        <is>
          <t>Locked in batch 1 and linked to compound master record.</t>
        </is>
      </c>
    </row>
    <row r="9" ht="26" customHeight="1" s="76">
      <c r="A9" s="134" t="inlineStr">
        <is>
          <t>black-cohosh</t>
        </is>
      </c>
      <c r="B9" s="134" t="inlineStr">
        <is>
          <t>Black Cohosh</t>
        </is>
      </c>
      <c r="C9" s="134" t="inlineStr">
        <is>
          <t>triterpene glycosides (actein, 23-epi-26-deoxyactein)</t>
        </is>
      </c>
      <c r="D9" s="134" t="inlineStr">
        <is>
          <t>23-epi-26-deoxyactein</t>
        </is>
      </c>
      <c r="E9" s="134" t="inlineStr">
        <is>
          <t>triterpene glycosides</t>
        </is>
      </c>
      <c r="F9" s="134" t="n"/>
      <c r="G9" s="134" t="inlineStr">
        <is>
          <t>23-epi-26-deoxyactein</t>
        </is>
      </c>
      <c r="H9" s="134" t="inlineStr">
        <is>
          <t>23-epi-26-deoxyactein</t>
        </is>
      </c>
      <c r="I9" s="134" t="inlineStr">
        <is>
          <t>exact-normalized</t>
        </is>
      </c>
      <c r="J9" s="134" t="inlineStr">
        <is>
          <t>parenthetical-specific-list</t>
        </is>
      </c>
      <c r="K9" s="134" t="inlineStr">
        <is>
          <t>master-linked</t>
        </is>
      </c>
      <c r="L9" s="134" t="inlineStr">
        <is>
          <t>No</t>
        </is>
      </c>
      <c r="M9" s="134" t="inlineStr">
        <is>
          <t>Yes</t>
        </is>
      </c>
      <c r="N9" s="134" t="inlineStr">
        <is>
          <t>anti-inflammatory; multi-target signaling modulation</t>
        </is>
      </c>
      <c r="O9" s="134" t="inlineStr">
        <is>
          <t>NF-kB; inflammatory cytokines; nitric oxide</t>
        </is>
      </c>
      <c r="P9" s="134" t="inlineStr">
        <is>
          <t>https://pubmed.ncbi.nlm.nih.gov/21614156/</t>
        </is>
      </c>
      <c r="Q9" s="134" t="inlineStr">
        <is>
          <t>Locked in batch 1 and linked to compound master record.</t>
        </is>
      </c>
    </row>
    <row r="10" ht="26" customHeight="1" s="76">
      <c r="A10" s="134" t="inlineStr">
        <is>
          <t>black-cohosh</t>
        </is>
      </c>
      <c r="B10" s="134" t="inlineStr">
        <is>
          <t>Black Cohosh</t>
        </is>
      </c>
      <c r="C10" s="134" t="inlineStr">
        <is>
          <t>cimifugoside</t>
        </is>
      </c>
      <c r="D10" s="134" t="inlineStr">
        <is>
          <t>cimifugoside</t>
        </is>
      </c>
      <c r="E10" s="134" t="n"/>
      <c r="F10" s="134" t="n"/>
      <c r="G10" s="134" t="inlineStr">
        <is>
          <t>cimifugoside</t>
        </is>
      </c>
      <c r="H10" s="134" t="inlineStr">
        <is>
          <t>cimifugoside</t>
        </is>
      </c>
      <c r="I10" s="134" t="inlineStr">
        <is>
          <t>exact-normalized</t>
        </is>
      </c>
      <c r="J10" s="134" t="inlineStr">
        <is>
          <t>direct</t>
        </is>
      </c>
      <c r="K10" s="134" t="inlineStr">
        <is>
          <t>master-linked</t>
        </is>
      </c>
      <c r="L10" s="134" t="inlineStr">
        <is>
          <t>Yes</t>
        </is>
      </c>
      <c r="M10" s="134" t="inlineStr">
        <is>
          <t>Yes</t>
        </is>
      </c>
      <c r="N10" s="134" t="inlineStr">
        <is>
          <t>anti-inflammatory; hormonal</t>
        </is>
      </c>
      <c r="O10" s="134" t="inlineStr">
        <is>
          <t>NF-κB modulation; inflammatory cytokine signaling</t>
        </is>
      </c>
      <c r="P10" s="134" t="inlineStr">
        <is>
          <t>PubMed black cohosh phytochemistry/mechanism literature; EMA Actaea racemosa monograph</t>
        </is>
      </c>
      <c r="Q10" s="134" t="inlineStr">
        <is>
          <t>Locked in Batch 2.</t>
        </is>
      </c>
    </row>
    <row r="11" ht="26" customHeight="1" s="76">
      <c r="A11" s="134" t="inlineStr">
        <is>
          <t>black-cohosh</t>
        </is>
      </c>
      <c r="B11" s="134" t="inlineStr">
        <is>
          <t>Black Cohosh</t>
        </is>
      </c>
      <c r="C11" s="134" t="inlineStr">
        <is>
          <t>caffeic acid derivatives</t>
        </is>
      </c>
      <c r="D11" s="134" t="inlineStr">
        <is>
          <t>caffeic acid derivatives</t>
        </is>
      </c>
      <c r="E11" s="134" t="n"/>
      <c r="F11" s="134" t="n"/>
      <c r="G11" s="134" t="n"/>
      <c r="H11" s="134" t="n"/>
      <c r="I11" s="134" t="inlineStr">
        <is>
          <t>no-master-match</t>
        </is>
      </c>
      <c r="J11" s="134" t="inlineStr">
        <is>
          <t>direct</t>
        </is>
      </c>
      <c r="K11" s="134" t="inlineStr">
        <is>
          <t>broad-class-retained</t>
        </is>
      </c>
      <c r="L11" s="134" t="inlineStr">
        <is>
          <t>No</t>
        </is>
      </c>
      <c r="M11" s="134" t="inlineStr">
        <is>
          <t>No</t>
        </is>
      </c>
      <c r="N11" s="134" t="n"/>
      <c r="O11" s="134" t="n"/>
      <c r="P11" s="134" t="n"/>
      <c r="Q11" s="134" t="inlineStr">
        <is>
          <t>Broad class retained for context; not treated as atomic compound.</t>
        </is>
      </c>
    </row>
    <row r="12" ht="26" customHeight="1" s="76">
      <c r="A12" s="134" t="inlineStr">
        <is>
          <t>black-cohosh</t>
        </is>
      </c>
      <c r="B12" s="134" t="inlineStr">
        <is>
          <t>Black Cohosh</t>
        </is>
      </c>
      <c r="C12" s="134" t="inlineStr">
        <is>
          <t>fukinolic acid</t>
        </is>
      </c>
      <c r="D12" s="134" t="inlineStr">
        <is>
          <t>fukinolic acid</t>
        </is>
      </c>
      <c r="E12" s="134" t="n"/>
      <c r="F12" s="134" t="n"/>
      <c r="G12" s="134" t="inlineStr">
        <is>
          <t>fukinolic acid</t>
        </is>
      </c>
      <c r="H12" s="134" t="inlineStr">
        <is>
          <t>fukinolic acid</t>
        </is>
      </c>
      <c r="I12" s="134" t="inlineStr">
        <is>
          <t>exact-normalized</t>
        </is>
      </c>
      <c r="J12" s="134" t="inlineStr">
        <is>
          <t>direct</t>
        </is>
      </c>
      <c r="K12" s="134" t="inlineStr">
        <is>
          <t>master-linked</t>
        </is>
      </c>
      <c r="L12" s="134" t="inlineStr">
        <is>
          <t>Yes</t>
        </is>
      </c>
      <c r="M12" s="134" t="inlineStr">
        <is>
          <t>Yes</t>
        </is>
      </c>
      <c r="N12" s="134" t="inlineStr">
        <is>
          <t>antioxidant; anti-inflammatory</t>
        </is>
      </c>
      <c r="O12" s="134" t="inlineStr">
        <is>
          <t>general or unknown targets</t>
        </is>
      </c>
      <c r="P12" s="134" t="inlineStr">
        <is>
          <t>PubMed black cohosh phytochemistry literature; EMA Actaea racemosa monograph</t>
        </is>
      </c>
      <c r="Q12" s="134" t="inlineStr">
        <is>
          <t>Locked in Batch 2.</t>
        </is>
      </c>
    </row>
    <row r="13" ht="26" customHeight="1" s="76">
      <c r="A13" s="134" t="inlineStr">
        <is>
          <t>echinacea-purpurea</t>
        </is>
      </c>
      <c r="B13" s="134" t="inlineStr">
        <is>
          <t>Echinacea Purpurea</t>
        </is>
      </c>
      <c r="C13" s="134" t="inlineStr">
        <is>
          <t>alkamides</t>
        </is>
      </c>
      <c r="D13" s="134" t="inlineStr">
        <is>
          <t>alkamides</t>
        </is>
      </c>
      <c r="E13" s="134" t="n"/>
      <c r="F13" s="134" t="n"/>
      <c r="G13" s="134" t="n"/>
      <c r="H13" s="134" t="n"/>
      <c r="I13" s="134" t="inlineStr">
        <is>
          <t>no-master-match</t>
        </is>
      </c>
      <c r="J13" s="134" t="inlineStr">
        <is>
          <t>direct</t>
        </is>
      </c>
      <c r="K13" s="134" t="inlineStr">
        <is>
          <t>broad-class-retained</t>
        </is>
      </c>
      <c r="L13" s="134" t="inlineStr">
        <is>
          <t>No</t>
        </is>
      </c>
      <c r="M13" s="134" t="inlineStr">
        <is>
          <t>No</t>
        </is>
      </c>
      <c r="N13" s="134" t="n"/>
      <c r="O13" s="134" t="n"/>
      <c r="P13" s="134" t="n"/>
      <c r="Q13" s="134" t="inlineStr">
        <is>
          <t>Broad class retained for context; not treated as atomic compound.</t>
        </is>
      </c>
    </row>
    <row r="14" ht="26" customHeight="1" s="76">
      <c r="A14" s="134" t="inlineStr">
        <is>
          <t>echinacea-purpurea</t>
        </is>
      </c>
      <c r="B14" s="134" t="inlineStr">
        <is>
          <t>Echinacea Purpurea</t>
        </is>
      </c>
      <c r="C14" s="134" t="inlineStr">
        <is>
          <t>chicoric acid</t>
        </is>
      </c>
      <c r="D14" s="134" t="inlineStr">
        <is>
          <t>chicoric acid</t>
        </is>
      </c>
      <c r="E14" s="134" t="n"/>
      <c r="F14" s="134" t="n"/>
      <c r="G14" s="134" t="inlineStr">
        <is>
          <t>chicoric acid</t>
        </is>
      </c>
      <c r="H14" s="134" t="inlineStr">
        <is>
          <t>chicoric acid</t>
        </is>
      </c>
      <c r="I14" s="134" t="inlineStr">
        <is>
          <t>exact-normalized</t>
        </is>
      </c>
      <c r="J14" s="134" t="inlineStr">
        <is>
          <t>direct</t>
        </is>
      </c>
      <c r="K14" s="134" t="inlineStr">
        <is>
          <t>master-linked</t>
        </is>
      </c>
      <c r="L14" s="134" t="inlineStr">
        <is>
          <t>Yes</t>
        </is>
      </c>
      <c r="M14" s="134" t="inlineStr">
        <is>
          <t>Yes</t>
        </is>
      </c>
      <c r="N14" s="134" t="inlineStr">
        <is>
          <t>immune modulation; oxidative_stress_modulation</t>
        </is>
      </c>
      <c r="O14" s="134" t="inlineStr">
        <is>
          <t>immune signaling; oxidative stress</t>
        </is>
      </c>
      <c r="P14" s="134" t="inlineStr">
        <is>
          <t>https://pubchem.ncbi.nlm.nih.gov/compound/Chicoric-acid</t>
        </is>
      </c>
      <c r="Q14" s="134" t="inlineStr">
        <is>
          <t>Consistency cleanup pass linked row to latest compound master record.</t>
        </is>
      </c>
    </row>
    <row r="15" ht="26" customHeight="1" s="76">
      <c r="A15" s="134" t="inlineStr">
        <is>
          <t>echinacea-purpurea</t>
        </is>
      </c>
      <c r="B15" s="134" t="inlineStr">
        <is>
          <t>Echinacea Purpurea</t>
        </is>
      </c>
      <c r="C15" s="134" t="inlineStr">
        <is>
          <t>echinacoside</t>
        </is>
      </c>
      <c r="D15" s="134" t="inlineStr">
        <is>
          <t>echinacoside</t>
        </is>
      </c>
      <c r="E15" s="134" t="n"/>
      <c r="F15" s="134" t="n"/>
      <c r="G15" s="134" t="inlineStr">
        <is>
          <t>echinacoside</t>
        </is>
      </c>
      <c r="H15" s="134" t="inlineStr">
        <is>
          <t>echinacoside</t>
        </is>
      </c>
      <c r="I15" s="134" t="inlineStr">
        <is>
          <t>exact-normalized</t>
        </is>
      </c>
      <c r="J15" s="134" t="inlineStr">
        <is>
          <t>direct</t>
        </is>
      </c>
      <c r="K15" s="134" t="inlineStr">
        <is>
          <t>master-linked</t>
        </is>
      </c>
      <c r="L15" s="134" t="inlineStr">
        <is>
          <t>Yes</t>
        </is>
      </c>
      <c r="M15" s="134" t="inlineStr">
        <is>
          <t>Yes</t>
        </is>
      </c>
      <c r="N15" s="134" t="inlineStr">
        <is>
          <t>oxidative_stress_modulation; neuroprotective</t>
        </is>
      </c>
      <c r="O15" s="134" t="inlineStr">
        <is>
          <t>oxidative stress; neuroprotection pathways</t>
        </is>
      </c>
      <c r="P15" s="134" t="inlineStr">
        <is>
          <t>https://pubchem.ncbi.nlm.nih.gov/compound/Echinacoside</t>
        </is>
      </c>
      <c r="Q15" s="134" t="inlineStr">
        <is>
          <t>Consistency cleanup pass linked row to latest compound master record.</t>
        </is>
      </c>
    </row>
    <row r="16" ht="26" customHeight="1" s="76">
      <c r="A16" s="134" t="inlineStr">
        <is>
          <t>echinacea-purpurea</t>
        </is>
      </c>
      <c r="B16" s="134" t="inlineStr">
        <is>
          <t>Echinacea Purpurea</t>
        </is>
      </c>
      <c r="C16" s="134" t="inlineStr">
        <is>
          <t>caffeic acid</t>
        </is>
      </c>
      <c r="D16" s="134" t="inlineStr">
        <is>
          <t>caffeic acid</t>
        </is>
      </c>
      <c r="E16" s="134" t="n"/>
      <c r="F16" s="134" t="n"/>
      <c r="G16" s="134" t="inlineStr">
        <is>
          <t>caffeic acid</t>
        </is>
      </c>
      <c r="H16" s="134" t="inlineStr">
        <is>
          <t>caffeic acid</t>
        </is>
      </c>
      <c r="I16" s="134" t="inlineStr">
        <is>
          <t>exact-normalized</t>
        </is>
      </c>
      <c r="J16" s="134" t="inlineStr">
        <is>
          <t>direct</t>
        </is>
      </c>
      <c r="K16" s="134" t="inlineStr">
        <is>
          <t>master-linked</t>
        </is>
      </c>
      <c r="L16" s="134" t="inlineStr">
        <is>
          <t>Yes</t>
        </is>
      </c>
      <c r="M16" s="134" t="inlineStr">
        <is>
          <t>Yes</t>
        </is>
      </c>
      <c r="N16" s="134" t="inlineStr">
        <is>
          <t>inflammatory_pathway_modulation; oxidative_stress_modulation</t>
        </is>
      </c>
      <c r="O16" s="134" t="inlineStr">
        <is>
          <t>NFkB; oxidative stress</t>
        </is>
      </c>
      <c r="P16" s="134" t="inlineStr">
        <is>
          <t>https://pubchem.ncbi.nlm.nih.gov/compound/Caffeic-acid</t>
        </is>
      </c>
      <c r="Q16" s="134" t="inlineStr">
        <is>
          <t>Consistency cleanup pass linked row to latest compound master record.</t>
        </is>
      </c>
    </row>
    <row r="17" ht="26" customHeight="1" s="76">
      <c r="A17" s="134" t="inlineStr">
        <is>
          <t>echinacea-purpurea</t>
        </is>
      </c>
      <c r="B17" s="134" t="inlineStr">
        <is>
          <t>Echinacea Purpurea</t>
        </is>
      </c>
      <c r="C17" s="134" t="inlineStr">
        <is>
          <t>cynarin</t>
        </is>
      </c>
      <c r="D17" s="134" t="inlineStr">
        <is>
          <t>cynarin</t>
        </is>
      </c>
      <c r="E17" s="134" t="n"/>
      <c r="F17" s="134" t="n"/>
      <c r="G17" s="134" t="inlineStr">
        <is>
          <t>cynarin</t>
        </is>
      </c>
      <c r="H17" s="134" t="inlineStr">
        <is>
          <t>cynarin</t>
        </is>
      </c>
      <c r="I17" s="134" t="inlineStr">
        <is>
          <t>exact-normalized</t>
        </is>
      </c>
      <c r="J17" s="134" t="inlineStr">
        <is>
          <t>direct</t>
        </is>
      </c>
      <c r="K17" s="134" t="inlineStr">
        <is>
          <t>master-linked</t>
        </is>
      </c>
      <c r="L17" s="134" t="inlineStr">
        <is>
          <t>No</t>
        </is>
      </c>
      <c r="M17" s="134" t="inlineStr">
        <is>
          <t>Yes</t>
        </is>
      </c>
      <c r="N17" s="134" t="inlineStr">
        <is>
          <t>multi-target signaling modulation</t>
        </is>
      </c>
      <c r="O17" s="134" t="inlineStr">
        <is>
          <t>general or unknown targets</t>
        </is>
      </c>
      <c r="P17" s="134" t="inlineStr">
        <is>
          <t>https://plants.sc.egov.usda.gov/home/search?query=Cynara%20scolymus | https://pubchem.ncbi.nlm.nih.gov/#query=cynarin</t>
        </is>
      </c>
      <c r="Q17" s="134" t="inlineStr">
        <is>
          <t>Mapped to existing compound layer record.</t>
        </is>
      </c>
    </row>
    <row r="18" ht="26" customHeight="1" s="76">
      <c r="A18" s="134" t="inlineStr">
        <is>
          <t>garlic</t>
        </is>
      </c>
      <c r="B18" s="134" t="inlineStr">
        <is>
          <t>Garlic</t>
        </is>
      </c>
      <c r="C18" s="134" t="inlineStr">
        <is>
          <t>diallyl sulfide</t>
        </is>
      </c>
      <c r="D18" s="134" t="inlineStr">
        <is>
          <t>diallyl sulfide</t>
        </is>
      </c>
      <c r="E18" s="134" t="n"/>
      <c r="F18" s="134" t="n"/>
      <c r="G18" s="134" t="inlineStr">
        <is>
          <t>diallyl sulfide</t>
        </is>
      </c>
      <c r="H18" s="134" t="inlineStr">
        <is>
          <t>diallyl sulfide</t>
        </is>
      </c>
      <c r="I18" s="134" t="inlineStr">
        <is>
          <t>exact-normalized</t>
        </is>
      </c>
      <c r="J18" s="134" t="inlineStr">
        <is>
          <t>direct</t>
        </is>
      </c>
      <c r="K18" s="134" t="inlineStr">
        <is>
          <t>master-linked</t>
        </is>
      </c>
      <c r="L18" s="134" t="inlineStr">
        <is>
          <t>Yes</t>
        </is>
      </c>
      <c r="M18" s="134" t="inlineStr">
        <is>
          <t>Yes</t>
        </is>
      </c>
      <c r="N18" s="134" t="inlineStr">
        <is>
          <t>detoxification; metabolic modulation</t>
        </is>
      </c>
      <c r="O18" s="134" t="inlineStr">
        <is>
          <t>CYP450 modulation; antioxidant pathways</t>
        </is>
      </c>
      <c r="P18" s="134" t="inlineStr">
        <is>
          <t>https://pubchem.ncbi.nlm.nih.gov/compound/Diallyl-sulfide</t>
        </is>
      </c>
      <c r="Q18" s="134" t="inlineStr">
        <is>
          <t>Consistency cleanup pass linked row to latest compound master record.</t>
        </is>
      </c>
    </row>
    <row r="19" ht="26" customHeight="1" s="76">
      <c r="A19" s="134" t="inlineStr">
        <is>
          <t>garlic</t>
        </is>
      </c>
      <c r="B19" s="134" t="inlineStr">
        <is>
          <t>Garlic</t>
        </is>
      </c>
      <c r="C19" s="134" t="inlineStr">
        <is>
          <t>diallyl disulfide</t>
        </is>
      </c>
      <c r="D19" s="134" t="inlineStr">
        <is>
          <t>diallyl disulfide</t>
        </is>
      </c>
      <c r="E19" s="134" t="n"/>
      <c r="F19" s="134" t="n"/>
      <c r="G19" s="134" t="inlineStr">
        <is>
          <t>diallyl disulfide</t>
        </is>
      </c>
      <c r="H19" s="134" t="inlineStr">
        <is>
          <t>diallyl disulfide</t>
        </is>
      </c>
      <c r="I19" s="134" t="inlineStr">
        <is>
          <t>exact-normalized</t>
        </is>
      </c>
      <c r="J19" s="134" t="inlineStr">
        <is>
          <t>direct</t>
        </is>
      </c>
      <c r="K19" s="134" t="inlineStr">
        <is>
          <t>master-linked</t>
        </is>
      </c>
      <c r="L19" s="134" t="inlineStr">
        <is>
          <t>Yes</t>
        </is>
      </c>
      <c r="M19" s="134" t="inlineStr">
        <is>
          <t>Yes</t>
        </is>
      </c>
      <c r="N19" s="134" t="inlineStr">
        <is>
          <t>inflammatory_pathway_modulation; oxidative_stress_modulation</t>
        </is>
      </c>
      <c r="O19" s="134" t="inlineStr">
        <is>
          <t>NFkB; oxidative stress</t>
        </is>
      </c>
      <c r="P19" s="134" t="inlineStr">
        <is>
          <t>https://pubchem.ncbi.nlm.nih.gov/compound/Diallyl-disulfide</t>
        </is>
      </c>
      <c r="Q19" s="134" t="inlineStr">
        <is>
          <t>Consistency cleanup pass linked row to latest compound master record.</t>
        </is>
      </c>
    </row>
    <row r="20" ht="26" customHeight="1" s="76">
      <c r="A20" s="134" t="inlineStr">
        <is>
          <t>garlic</t>
        </is>
      </c>
      <c r="B20" s="134" t="inlineStr">
        <is>
          <t>Garlic</t>
        </is>
      </c>
      <c r="C20" s="134" t="inlineStr">
        <is>
          <t>diallyl trisulfide</t>
        </is>
      </c>
      <c r="D20" s="134" t="inlineStr">
        <is>
          <t>diallyl trisulfide</t>
        </is>
      </c>
      <c r="E20" s="134" t="n"/>
      <c r="F20" s="134" t="n"/>
      <c r="G20" s="134" t="inlineStr">
        <is>
          <t>diallyl trisulfide</t>
        </is>
      </c>
      <c r="H20" s="134" t="inlineStr">
        <is>
          <t>diallyl trisulfide</t>
        </is>
      </c>
      <c r="I20" s="134" t="inlineStr">
        <is>
          <t>exact-normalized</t>
        </is>
      </c>
      <c r="J20" s="134" t="inlineStr">
        <is>
          <t>direct</t>
        </is>
      </c>
      <c r="K20" s="134" t="inlineStr">
        <is>
          <t>master-linked</t>
        </is>
      </c>
      <c r="L20" s="134" t="inlineStr">
        <is>
          <t>Yes</t>
        </is>
      </c>
      <c r="M20" s="134" t="inlineStr">
        <is>
          <t>Yes</t>
        </is>
      </c>
      <c r="N20" s="134" t="inlineStr">
        <is>
          <t>oxidative_stress_modulation; apoptosis signaling</t>
        </is>
      </c>
      <c r="O20" s="134" t="inlineStr">
        <is>
          <t>oxidative stress pathways</t>
        </is>
      </c>
      <c r="P20" s="134" t="inlineStr">
        <is>
          <t>https://pubchem.ncbi.nlm.nih.gov/compound/Diallyl-trisulfide</t>
        </is>
      </c>
      <c r="Q20" s="134" t="inlineStr">
        <is>
          <t>Consistency cleanup pass linked row to latest compound master record.</t>
        </is>
      </c>
    </row>
    <row r="21" ht="26" customHeight="1" s="76">
      <c r="A21" s="134" t="inlineStr">
        <is>
          <t>garlic</t>
        </is>
      </c>
      <c r="B21" s="134" t="inlineStr">
        <is>
          <t>Garlic</t>
        </is>
      </c>
      <c r="C21" s="134" t="inlineStr">
        <is>
          <t>ajoene</t>
        </is>
      </c>
      <c r="D21" s="134" t="inlineStr">
        <is>
          <t>ajoene</t>
        </is>
      </c>
      <c r="E21" s="134" t="n"/>
      <c r="F21" s="134" t="n"/>
      <c r="G21" s="134" t="inlineStr">
        <is>
          <t>ajoene</t>
        </is>
      </c>
      <c r="H21" s="134" t="inlineStr">
        <is>
          <t>ajoene</t>
        </is>
      </c>
      <c r="I21" s="134" t="inlineStr">
        <is>
          <t>exact-normalized</t>
        </is>
      </c>
      <c r="J21" s="134" t="inlineStr">
        <is>
          <t>direct</t>
        </is>
      </c>
      <c r="K21" s="134" t="inlineStr">
        <is>
          <t>master-linked</t>
        </is>
      </c>
      <c r="L21" s="134" t="inlineStr">
        <is>
          <t>No</t>
        </is>
      </c>
      <c r="M21" s="134" t="inlineStr">
        <is>
          <t>Yes</t>
        </is>
      </c>
      <c r="N21" s="134" t="inlineStr">
        <is>
          <t>multi-target signaling modulation</t>
        </is>
      </c>
      <c r="O21" s="134" t="inlineStr">
        <is>
          <t>general or unknown targets</t>
        </is>
      </c>
      <c r="P21" s="134" t="inlineStr">
        <is>
          <t>https://plants.sc.egov.usda.gov/home/search?query=Allium%20sativum | https://pubchem.ncbi.nlm.nih.gov/#query=ajoene</t>
        </is>
      </c>
      <c r="Q21" s="134" t="inlineStr">
        <is>
          <t>Mapped to existing compound layer record.</t>
        </is>
      </c>
    </row>
    <row r="22" ht="26" customHeight="1" s="76">
      <c r="A22" s="134" t="inlineStr">
        <is>
          <t>garlic</t>
        </is>
      </c>
      <c r="B22" s="134" t="inlineStr">
        <is>
          <t>Garlic</t>
        </is>
      </c>
      <c r="C22" s="134" t="inlineStr">
        <is>
          <t>S‑allyl‑cysteine</t>
        </is>
      </c>
      <c r="D22" s="134" t="inlineStr">
        <is>
          <t>S‑allyl‑cysteine</t>
        </is>
      </c>
      <c r="E22" s="134" t="n"/>
      <c r="F22" s="134" t="n"/>
      <c r="G22" s="134" t="inlineStr">
        <is>
          <t>s-allyl-cysteine</t>
        </is>
      </c>
      <c r="H22" s="134" t="inlineStr">
        <is>
          <t>S-allyl-cysteine</t>
        </is>
      </c>
      <c r="I22" s="134" t="inlineStr">
        <is>
          <t>exact-normalized</t>
        </is>
      </c>
      <c r="J22" s="134" t="inlineStr">
        <is>
          <t>direct</t>
        </is>
      </c>
      <c r="K22" s="134" t="inlineStr">
        <is>
          <t>master-linked</t>
        </is>
      </c>
      <c r="L22" s="134" t="inlineStr">
        <is>
          <t>Yes</t>
        </is>
      </c>
      <c r="M22" s="134" t="inlineStr">
        <is>
          <t>Yes</t>
        </is>
      </c>
      <c r="N22" s="134" t="inlineStr">
        <is>
          <t>oxidative_stress_modulation; cardiovascular_support</t>
        </is>
      </c>
      <c r="O22" s="134" t="inlineStr">
        <is>
          <t>oxidative stress pathways; nitric oxide signaling</t>
        </is>
      </c>
      <c r="P22" s="134" t="inlineStr">
        <is>
          <t>https://pubchem.ncbi.nlm.nih.gov/compound/S-Allyl-Cysteine</t>
        </is>
      </c>
      <c r="Q22" s="134" t="inlineStr">
        <is>
          <t>Pass 24 relinked former provisional row to canonical S-allyl-cysteine master record.</t>
        </is>
      </c>
    </row>
    <row r="23" ht="26" customHeight="1" s="76">
      <c r="A23" s="134" t="inlineStr">
        <is>
          <t>ginger</t>
        </is>
      </c>
      <c r="B23" s="134" t="inlineStr">
        <is>
          <t>Ginger</t>
        </is>
      </c>
      <c r="C23" s="134" t="inlineStr">
        <is>
          <t>[6]-gingerol</t>
        </is>
      </c>
      <c r="D23" s="134" t="inlineStr">
        <is>
          <t>[6]-gingerol</t>
        </is>
      </c>
      <c r="E23" s="134" t="n"/>
      <c r="F23" s="134" t="n"/>
      <c r="G23" s="134" t="inlineStr">
        <is>
          <t>6-gingerol</t>
        </is>
      </c>
      <c r="H23" s="134" t="inlineStr">
        <is>
          <t>6-gingerol</t>
        </is>
      </c>
      <c r="I23" s="134" t="inlineStr">
        <is>
          <t>exact-normalized</t>
        </is>
      </c>
      <c r="J23" s="134" t="inlineStr">
        <is>
          <t>direct</t>
        </is>
      </c>
      <c r="K23" s="134" t="inlineStr">
        <is>
          <t>master-linked</t>
        </is>
      </c>
      <c r="L23" s="134" t="inlineStr">
        <is>
          <t>No</t>
        </is>
      </c>
      <c r="M23" s="134" t="inlineStr">
        <is>
          <t>Yes</t>
        </is>
      </c>
      <c r="N23" s="134" t="inlineStr">
        <is>
          <t>COX/NF-kB inhibition</t>
        </is>
      </c>
      <c r="O23" s="134" t="inlineStr">
        <is>
          <t>inflammatory_pathway_modulation</t>
        </is>
      </c>
      <c r="P23" s="134" t="inlineStr">
        <is>
          <t>https://plants.sc.egov.usda.gov/home/search?query=ginger | https://pubchem.ncbi.nlm.nih.gov/#query=6-gingerol</t>
        </is>
      </c>
      <c r="Q23" s="134" t="inlineStr">
        <is>
          <t>Mapped to existing compound layer record.</t>
        </is>
      </c>
    </row>
    <row r="24" ht="26" customHeight="1" s="76">
      <c r="A24" s="134" t="inlineStr">
        <is>
          <t>ginger</t>
        </is>
      </c>
      <c r="B24" s="134" t="inlineStr">
        <is>
          <t>Ginger</t>
        </is>
      </c>
      <c r="C24" s="134" t="inlineStr">
        <is>
          <t>shogaols</t>
        </is>
      </c>
      <c r="D24" s="134" t="inlineStr">
        <is>
          <t>shogaols</t>
        </is>
      </c>
      <c r="E24" s="134" t="n"/>
      <c r="F24" s="134" t="n"/>
      <c r="G24" s="134" t="n"/>
      <c r="H24" s="134" t="n"/>
      <c r="I24" s="134" t="inlineStr">
        <is>
          <t>no-master-match</t>
        </is>
      </c>
      <c r="J24" s="134" t="inlineStr">
        <is>
          <t>direct</t>
        </is>
      </c>
      <c r="K24" s="134" t="inlineStr">
        <is>
          <t>broad-class-retained</t>
        </is>
      </c>
      <c r="L24" s="134" t="inlineStr">
        <is>
          <t>No</t>
        </is>
      </c>
      <c r="M24" s="134" t="inlineStr">
        <is>
          <t>No</t>
        </is>
      </c>
      <c r="N24" s="134" t="n"/>
      <c r="O24" s="134" t="n"/>
      <c r="P24" s="134" t="n"/>
      <c r="Q24" s="134" t="inlineStr">
        <is>
          <t>Broad class retained for context; not treated as atomic compound.</t>
        </is>
      </c>
    </row>
    <row r="25" ht="26" customHeight="1" s="76">
      <c r="A25" s="134" t="inlineStr">
        <is>
          <t>ginger</t>
        </is>
      </c>
      <c r="B25" s="134" t="inlineStr">
        <is>
          <t>Ginger</t>
        </is>
      </c>
      <c r="C25" s="134" t="inlineStr">
        <is>
          <t>zingerone</t>
        </is>
      </c>
      <c r="D25" s="134" t="inlineStr">
        <is>
          <t>zingerone</t>
        </is>
      </c>
      <c r="E25" s="134" t="n"/>
      <c r="F25" s="134" t="n"/>
      <c r="G25" s="134" t="inlineStr">
        <is>
          <t>zingerone</t>
        </is>
      </c>
      <c r="H25" s="134" t="inlineStr">
        <is>
          <t>zingerone</t>
        </is>
      </c>
      <c r="I25" s="134" t="inlineStr">
        <is>
          <t>exact-normalized</t>
        </is>
      </c>
      <c r="J25" s="134" t="inlineStr">
        <is>
          <t>direct</t>
        </is>
      </c>
      <c r="K25" s="134" t="inlineStr">
        <is>
          <t>master-linked</t>
        </is>
      </c>
      <c r="L25" s="134" t="inlineStr">
        <is>
          <t>No</t>
        </is>
      </c>
      <c r="M25" s="134" t="inlineStr">
        <is>
          <t>Yes</t>
        </is>
      </c>
      <c r="N25" s="134" t="inlineStr">
        <is>
          <t>COX/NF-kB inhibition</t>
        </is>
      </c>
      <c r="O25" s="134" t="inlineStr">
        <is>
          <t>inflammatory_pathway_modulation</t>
        </is>
      </c>
      <c r="P25" s="134" t="inlineStr">
        <is>
          <t>https://plants.sc.egov.usda.gov/home/search?query=ginger | https://pubchem.ncbi.nlm.nih.gov/#query=zingerone</t>
        </is>
      </c>
      <c r="Q25" s="134" t="inlineStr">
        <is>
          <t>Mapped to existing compound layer record.</t>
        </is>
      </c>
    </row>
    <row r="26" ht="26" customHeight="1" s="76">
      <c r="A26" s="134" t="inlineStr">
        <is>
          <t>ginger</t>
        </is>
      </c>
      <c r="B26" s="134" t="inlineStr">
        <is>
          <t>Ginger</t>
        </is>
      </c>
      <c r="C26" s="134" t="inlineStr">
        <is>
          <t>paradols</t>
        </is>
      </c>
      <c r="D26" s="134" t="inlineStr">
        <is>
          <t>paradols</t>
        </is>
      </c>
      <c r="E26" s="134" t="n"/>
      <c r="F26" s="134" t="n"/>
      <c r="G26" s="134" t="n"/>
      <c r="H26" s="134" t="n"/>
      <c r="I26" s="134" t="inlineStr">
        <is>
          <t>no-master-match</t>
        </is>
      </c>
      <c r="J26" s="134" t="inlineStr">
        <is>
          <t>direct</t>
        </is>
      </c>
      <c r="K26" s="134" t="inlineStr">
        <is>
          <t>broad-class-retained</t>
        </is>
      </c>
      <c r="L26" s="134" t="inlineStr">
        <is>
          <t>No</t>
        </is>
      </c>
      <c r="M26" s="134" t="inlineStr">
        <is>
          <t>No</t>
        </is>
      </c>
      <c r="N26" s="134" t="n"/>
      <c r="O26" s="134" t="n"/>
      <c r="P26" s="134" t="n"/>
      <c r="Q26" s="134" t="inlineStr">
        <is>
          <t>Broad class retained for context; not treated as atomic compound.</t>
        </is>
      </c>
    </row>
    <row r="27" ht="26" customHeight="1" s="76">
      <c r="A27" s="134" t="inlineStr">
        <is>
          <t>ginkgo-biloba</t>
        </is>
      </c>
      <c r="B27" s="134" t="inlineStr">
        <is>
          <t>Ginkgo Biloba</t>
        </is>
      </c>
      <c r="C27" s="134" t="inlineStr">
        <is>
          <t>ginkgolides A, B, C, J</t>
        </is>
      </c>
      <c r="D27" s="134" t="inlineStr">
        <is>
          <t>ginkgolide A</t>
        </is>
      </c>
      <c r="E27" s="134" t="inlineStr">
        <is>
          <t>ginkgolides A, B, C, J</t>
        </is>
      </c>
      <c r="F27" s="134" t="n"/>
      <c r="G27" s="134" t="inlineStr">
        <is>
          <t>ginkgolide a</t>
        </is>
      </c>
      <c r="H27" s="134" t="inlineStr">
        <is>
          <t>ginkgolide A</t>
        </is>
      </c>
      <c r="I27" s="134" t="inlineStr">
        <is>
          <t>exact-normalized</t>
        </is>
      </c>
      <c r="J27" s="134" t="inlineStr">
        <is>
          <t>comma-letter-series</t>
        </is>
      </c>
      <c r="K27" s="134" t="inlineStr">
        <is>
          <t>master-linked</t>
        </is>
      </c>
      <c r="L27" s="134" t="inlineStr">
        <is>
          <t>Yes</t>
        </is>
      </c>
      <c r="M27" s="134" t="inlineStr">
        <is>
          <t>Yes</t>
        </is>
      </c>
      <c r="N27" s="134" t="inlineStr">
        <is>
          <t>PAF receptor antagonism; neuroactive ion-channel modulation</t>
        </is>
      </c>
      <c r="O27" s="134" t="inlineStr">
        <is>
          <t>PAFR; glycine receptor chloride channel</t>
        </is>
      </c>
      <c r="P27" s="134" t="inlineStr">
        <is>
          <t>https://pubchem.ncbi.nlm.nih.gov/compound/Ginkgolide-A | https://pubmed.ncbi.nlm.nih.gov/13130392/ | https://pubmed.ncbi.nlm.nih.gov/30054600/ | https://www.nccih.nih.gov/health/ginkgo</t>
        </is>
      </c>
      <c r="Q27" s="134" t="inlineStr">
        <is>
          <t>Locked in Batch 6 and linked to compound master record.</t>
        </is>
      </c>
    </row>
    <row r="28" ht="26" customHeight="1" s="76">
      <c r="A28" s="134" t="inlineStr">
        <is>
          <t>ginkgo-biloba</t>
        </is>
      </c>
      <c r="B28" s="134" t="inlineStr">
        <is>
          <t>Ginkgo Biloba</t>
        </is>
      </c>
      <c r="C28" s="134" t="inlineStr">
        <is>
          <t>ginkgolides A, B, C, J</t>
        </is>
      </c>
      <c r="D28" s="134" t="inlineStr">
        <is>
          <t>ginkgolide B</t>
        </is>
      </c>
      <c r="E28" s="134" t="inlineStr">
        <is>
          <t>ginkgolides A, B, C, J</t>
        </is>
      </c>
      <c r="F28" s="134" t="n"/>
      <c r="G28" s="134" t="inlineStr">
        <is>
          <t>ginkgolide b</t>
        </is>
      </c>
      <c r="H28" s="134" t="inlineStr">
        <is>
          <t>ginkgolide B</t>
        </is>
      </c>
      <c r="I28" s="134" t="inlineStr">
        <is>
          <t>exact-normalized</t>
        </is>
      </c>
      <c r="J28" s="134" t="inlineStr">
        <is>
          <t>comma-letter-series</t>
        </is>
      </c>
      <c r="K28" s="134" t="inlineStr">
        <is>
          <t>master-linked</t>
        </is>
      </c>
      <c r="L28" s="134" t="inlineStr">
        <is>
          <t>Yes</t>
        </is>
      </c>
      <c r="M28" s="134" t="inlineStr">
        <is>
          <t>Yes</t>
        </is>
      </c>
      <c r="N28" s="134" t="inlineStr">
        <is>
          <t>PAF receptor antagonism; anti-inflammatory signaling</t>
        </is>
      </c>
      <c r="O28" s="134" t="inlineStr">
        <is>
          <t>PAFR</t>
        </is>
      </c>
      <c r="P28" s="134" t="inlineStr">
        <is>
          <t>https://pubchem.ncbi.nlm.nih.gov/compound/11973122 | https://pubmed.ncbi.nlm.nih.gov/12190325/ | https://pubmed.ncbi.nlm.nih.gov/30054600/ | https://www.nccih.nih.gov/health/ginkgo</t>
        </is>
      </c>
      <c r="Q28" s="134" t="inlineStr">
        <is>
          <t>Locked in Batch 6 and linked to compound master record.</t>
        </is>
      </c>
    </row>
    <row r="29" ht="26" customHeight="1" s="76">
      <c r="A29" s="134" t="inlineStr">
        <is>
          <t>ginkgo-biloba</t>
        </is>
      </c>
      <c r="B29" s="134" t="inlineStr">
        <is>
          <t>Ginkgo Biloba</t>
        </is>
      </c>
      <c r="C29" s="134" t="inlineStr">
        <is>
          <t>ginkgolides A, B, C, J</t>
        </is>
      </c>
      <c r="D29" s="134" t="inlineStr">
        <is>
          <t>ginkgolide C</t>
        </is>
      </c>
      <c r="E29" s="134" t="inlineStr">
        <is>
          <t>ginkgolides A, B, C, J</t>
        </is>
      </c>
      <c r="F29" s="134" t="n"/>
      <c r="G29" s="134" t="inlineStr">
        <is>
          <t>ginkgolide c</t>
        </is>
      </c>
      <c r="H29" s="134" t="inlineStr">
        <is>
          <t>ginkgolide C</t>
        </is>
      </c>
      <c r="I29" s="134" t="inlineStr">
        <is>
          <t>exact-normalized</t>
        </is>
      </c>
      <c r="J29" s="134" t="inlineStr">
        <is>
          <t>comma-letter-series</t>
        </is>
      </c>
      <c r="K29" s="134" t="inlineStr">
        <is>
          <t>master-linked</t>
        </is>
      </c>
      <c r="L29" s="134" t="inlineStr">
        <is>
          <t>Yes</t>
        </is>
      </c>
      <c r="M29" s="134" t="inlineStr">
        <is>
          <t>Yes</t>
        </is>
      </c>
      <c r="N29" s="134" t="inlineStr">
        <is>
          <t>PAF receptor antagonism; anti-inflammatory signaling</t>
        </is>
      </c>
      <c r="O29" s="134" t="inlineStr">
        <is>
          <t>PAFR; CD40/NF-kappaB</t>
        </is>
      </c>
      <c r="P29" s="134" t="inlineStr">
        <is>
          <t>https://pubchem.ncbi.nlm.nih.gov/compound/Ginkgolide%20C | https://pubmed.ncbi.nlm.nih.gov/13130392/ | https://pubmed.ncbi.nlm.nih.gov/30054600/ | https://www.nccih.nih.gov/health/ginkgo</t>
        </is>
      </c>
      <c r="Q29" s="134" t="inlineStr">
        <is>
          <t>Locked in Batch 6 and linked to compound master record.</t>
        </is>
      </c>
    </row>
    <row r="30" ht="26" customHeight="1" s="76">
      <c r="A30" s="134" t="inlineStr">
        <is>
          <t>ginkgo-biloba</t>
        </is>
      </c>
      <c r="B30" s="134" t="inlineStr">
        <is>
          <t>Ginkgo Biloba</t>
        </is>
      </c>
      <c r="C30" s="134" t="inlineStr">
        <is>
          <t>ginkgolides A, B, C, J</t>
        </is>
      </c>
      <c r="D30" s="134" t="inlineStr">
        <is>
          <t>ginkgolide J</t>
        </is>
      </c>
      <c r="E30" s="134" t="inlineStr">
        <is>
          <t>ginkgolides A, B, C, J</t>
        </is>
      </c>
      <c r="F30" s="134" t="n"/>
      <c r="G30" s="134" t="inlineStr">
        <is>
          <t>ginkgolide j</t>
        </is>
      </c>
      <c r="H30" s="134" t="inlineStr">
        <is>
          <t>ginkgolide J</t>
        </is>
      </c>
      <c r="I30" s="134" t="inlineStr">
        <is>
          <t>exact-normalized</t>
        </is>
      </c>
      <c r="J30" s="134" t="inlineStr">
        <is>
          <t>comma-letter-series</t>
        </is>
      </c>
      <c r="K30" s="134" t="inlineStr">
        <is>
          <t>master-linked</t>
        </is>
      </c>
      <c r="L30" s="134" t="inlineStr">
        <is>
          <t>Yes</t>
        </is>
      </c>
      <c r="M30" s="134" t="inlineStr">
        <is>
          <t>Yes</t>
        </is>
      </c>
      <c r="N30" s="134" t="inlineStr">
        <is>
          <t>PAF receptor antagonism; anti-inflammatory signaling</t>
        </is>
      </c>
      <c r="O30" s="134" t="inlineStr">
        <is>
          <t>PAFR</t>
        </is>
      </c>
      <c r="P30" s="134" t="inlineStr">
        <is>
          <t>https://pubchem.ncbi.nlm.nih.gov/compound/Ginkgolide-J | https://pubmed.ncbi.nlm.nih.gov/?term=ginkgolide+J | https://www.nccih.nih.gov/health/ginkgo</t>
        </is>
      </c>
      <c r="Q30" s="134" t="inlineStr">
        <is>
          <t>Locked in Batch 8 and linked to compound master record.</t>
        </is>
      </c>
    </row>
    <row r="31" ht="26" customHeight="1" s="76">
      <c r="A31" s="134" t="inlineStr">
        <is>
          <t>ginkgo-biloba</t>
        </is>
      </c>
      <c r="B31" s="134" t="inlineStr">
        <is>
          <t>Ginkgo Biloba</t>
        </is>
      </c>
      <c r="C31" s="134" t="inlineStr">
        <is>
          <t>bilobalide</t>
        </is>
      </c>
      <c r="D31" s="134" t="inlineStr">
        <is>
          <t>bilobalide</t>
        </is>
      </c>
      <c r="E31" s="134" t="n"/>
      <c r="F31" s="134" t="n"/>
      <c r="G31" s="134" t="inlineStr">
        <is>
          <t>bilobalide</t>
        </is>
      </c>
      <c r="H31" s="134" t="inlineStr">
        <is>
          <t>bilobalide</t>
        </is>
      </c>
      <c r="I31" s="134" t="inlineStr">
        <is>
          <t>exact-normalized</t>
        </is>
      </c>
      <c r="J31" s="134" t="inlineStr">
        <is>
          <t>direct</t>
        </is>
      </c>
      <c r="K31" s="134" t="inlineStr">
        <is>
          <t>master-linked</t>
        </is>
      </c>
      <c r="L31" s="134" t="inlineStr">
        <is>
          <t>Yes</t>
        </is>
      </c>
      <c r="M31" s="134" t="inlineStr">
        <is>
          <t>Yes</t>
        </is>
      </c>
      <c r="N31" s="134" t="inlineStr">
        <is>
          <t>GABAergic modulation</t>
        </is>
      </c>
      <c r="O31" s="134" t="inlineStr">
        <is>
          <t>gabaergic_modulation</t>
        </is>
      </c>
      <c r="P31" s="134" t="inlineStr">
        <is>
          <t>https://plants.sc.egov.usda.gov/home/search?query=ginkgo%20biloba | https://pubchem.ncbi.nlm.nih.gov/#query=bilobalide</t>
        </is>
      </c>
      <c r="Q31" s="134" t="inlineStr">
        <is>
          <t>Mapped to existing compound layer record.</t>
        </is>
      </c>
    </row>
    <row r="32" ht="26" customHeight="1" s="76">
      <c r="A32" s="134" t="inlineStr">
        <is>
          <t>ginkgo-biloba</t>
        </is>
      </c>
      <c r="B32" s="134" t="inlineStr">
        <is>
          <t>Ginkgo Biloba</t>
        </is>
      </c>
      <c r="C32" s="134" t="inlineStr">
        <is>
          <t>ginkgetin</t>
        </is>
      </c>
      <c r="D32" s="134" t="inlineStr">
        <is>
          <t>ginkgetin</t>
        </is>
      </c>
      <c r="E32" s="134" t="n"/>
      <c r="F32" s="134" t="n"/>
      <c r="G32" s="134" t="inlineStr">
        <is>
          <t>ginkgetin</t>
        </is>
      </c>
      <c r="H32" s="134" t="inlineStr">
        <is>
          <t>ginkgetin</t>
        </is>
      </c>
      <c r="I32" s="134" t="inlineStr">
        <is>
          <t>exact-normalized</t>
        </is>
      </c>
      <c r="J32" s="134" t="inlineStr">
        <is>
          <t>direct</t>
        </is>
      </c>
      <c r="K32" s="134" t="inlineStr">
        <is>
          <t>master-linked</t>
        </is>
      </c>
      <c r="L32" s="134" t="inlineStr">
        <is>
          <t>Yes</t>
        </is>
      </c>
      <c r="M32" s="134" t="inlineStr">
        <is>
          <t>Yes</t>
        </is>
      </c>
      <c r="N32" s="134" t="inlineStr">
        <is>
          <t>anti-inflammatory; eicosanoid pathway modulation</t>
        </is>
      </c>
      <c r="O32" s="134" t="inlineStr">
        <is>
          <t>COX-2; 5-lipoxygenase</t>
        </is>
      </c>
      <c r="P32" s="134" t="inlineStr">
        <is>
          <t>https://pubchem.ncbi.nlm.nih.gov/compound/Ginkgetin | https://pubmed.ncbi.nlm.nih.gov/16327145/ | https://pubmed.ncbi.nlm.nih.gov/11988854/ | https://www.nccih.nih.gov/health/ginkgo</t>
        </is>
      </c>
      <c r="Q32" s="134" t="inlineStr">
        <is>
          <t>Locked in Batch 6 and linked to compound master record.</t>
        </is>
      </c>
    </row>
    <row r="33" ht="26" customHeight="1" s="76">
      <c r="A33" s="134" t="inlineStr">
        <is>
          <t>ginkgo-biloba</t>
        </is>
      </c>
      <c r="B33" s="134" t="inlineStr">
        <is>
          <t>Ginkgo Biloba</t>
        </is>
      </c>
      <c r="C33" s="134" t="inlineStr">
        <is>
          <t>bilobetin</t>
        </is>
      </c>
      <c r="D33" s="134" t="inlineStr">
        <is>
          <t>bilobetin</t>
        </is>
      </c>
      <c r="E33" s="134" t="n"/>
      <c r="F33" s="134" t="n"/>
      <c r="G33" s="134" t="inlineStr">
        <is>
          <t>bilobetin</t>
        </is>
      </c>
      <c r="H33" s="134" t="inlineStr">
        <is>
          <t>bilobetin</t>
        </is>
      </c>
      <c r="I33" s="134" t="inlineStr">
        <is>
          <t>exact-normalized</t>
        </is>
      </c>
      <c r="J33" s="134" t="inlineStr">
        <is>
          <t>direct</t>
        </is>
      </c>
      <c r="K33" s="134" t="inlineStr">
        <is>
          <t>master-linked</t>
        </is>
      </c>
      <c r="L33" s="134" t="inlineStr">
        <is>
          <t>Yes</t>
        </is>
      </c>
      <c r="M33" s="134" t="inlineStr">
        <is>
          <t>Yes</t>
        </is>
      </c>
      <c r="N33" s="134" t="inlineStr">
        <is>
          <t>anti-inflammatory; redox modulation</t>
        </is>
      </c>
      <c r="O33" s="134" t="inlineStr">
        <is>
          <t>nitric oxide/inflammatory signaling</t>
        </is>
      </c>
      <c r="P33" s="134" t="inlineStr">
        <is>
          <t>https://pubmed.ncbi.nlm.nih.gov/30693991/ | https://pubmed.ncbi.nlm.nih.gov/32573953/ | https://pubmed.ncbi.nlm.nih.gov/35319397/ | https://www.nccih.nih.gov/health/ginkgo</t>
        </is>
      </c>
      <c r="Q33" s="134" t="inlineStr">
        <is>
          <t>Locked in Batch 6 and linked to compound master record.</t>
        </is>
      </c>
    </row>
    <row r="34" ht="26" customHeight="1" s="76">
      <c r="A34" s="134" t="inlineStr">
        <is>
          <t>ginkgo-biloba</t>
        </is>
      </c>
      <c r="B34" s="134" t="inlineStr">
        <is>
          <t>Ginkgo Biloba</t>
        </is>
      </c>
      <c r="C34" s="134" t="inlineStr">
        <is>
          <t>sciadopitysin</t>
        </is>
      </c>
      <c r="D34" s="134" t="inlineStr">
        <is>
          <t>sciadopitysin</t>
        </is>
      </c>
      <c r="E34" s="134" t="n"/>
      <c r="F34" s="134" t="n"/>
      <c r="G34" s="134" t="inlineStr">
        <is>
          <t>sciadopitysin</t>
        </is>
      </c>
      <c r="H34" s="134" t="inlineStr">
        <is>
          <t>sciadopitysin</t>
        </is>
      </c>
      <c r="I34" s="134" t="inlineStr">
        <is>
          <t>exact-normalized</t>
        </is>
      </c>
      <c r="J34" s="134" t="inlineStr">
        <is>
          <t>direct</t>
        </is>
      </c>
      <c r="K34" s="134" t="inlineStr">
        <is>
          <t>master-linked</t>
        </is>
      </c>
      <c r="L34" s="134" t="inlineStr">
        <is>
          <t>Yes</t>
        </is>
      </c>
      <c r="M34" s="134" t="inlineStr">
        <is>
          <t>Yes</t>
        </is>
      </c>
      <c r="N34" s="134" t="inlineStr">
        <is>
          <t>anti-inflammatory; antioxidant; redox modulation</t>
        </is>
      </c>
      <c r="O34" s="134" t="inlineStr">
        <is>
          <t>NF-kappaB; oxidative-stress signaling</t>
        </is>
      </c>
      <c r="P34" s="134" t="inlineStr">
        <is>
          <t>https://pubchem.ncbi.nlm.nih.gov/compound/Sciadopitysin | https://pubmed.ncbi.nlm.nih.gov/?term=sciadopitysin | https://www.nccih.nih.gov/health/ginkgo</t>
        </is>
      </c>
      <c r="Q34" s="134" t="inlineStr">
        <is>
          <t>Locked in Batch 8 and linked to compound master record.</t>
        </is>
      </c>
    </row>
    <row r="35" ht="26" customHeight="1" s="76">
      <c r="A35" s="134" t="inlineStr">
        <is>
          <t>holy-basil</t>
        </is>
      </c>
      <c r="B35" s="134" t="inlineStr">
        <is>
          <t>Holy Basil</t>
        </is>
      </c>
      <c r="C35" s="134" t="inlineStr">
        <is>
          <t>eugenol</t>
        </is>
      </c>
      <c r="D35" s="134" t="inlineStr">
        <is>
          <t>eugenol</t>
        </is>
      </c>
      <c r="E35" s="134" t="n"/>
      <c r="F35" s="134" t="n"/>
      <c r="G35" s="134" t="inlineStr">
        <is>
          <t>eugenol</t>
        </is>
      </c>
      <c r="H35" s="134" t="inlineStr">
        <is>
          <t>eugenol</t>
        </is>
      </c>
      <c r="I35" s="134" t="inlineStr">
        <is>
          <t>exact-normalized</t>
        </is>
      </c>
      <c r="J35" s="134" t="inlineStr">
        <is>
          <t>direct</t>
        </is>
      </c>
      <c r="K35" s="134" t="inlineStr">
        <is>
          <t>master-linked</t>
        </is>
      </c>
      <c r="L35" s="134" t="inlineStr">
        <is>
          <t>No</t>
        </is>
      </c>
      <c r="M35" s="134" t="inlineStr">
        <is>
          <t>Yes</t>
        </is>
      </c>
      <c r="N35" s="134" t="inlineStr">
        <is>
          <t>anti-inflammatory; analgesic; antimicrobial</t>
        </is>
      </c>
      <c r="O35" s="134" t="inlineStr">
        <is>
          <t>COX; prostaglandins; TRPV1</t>
        </is>
      </c>
      <c r="P35" s="134" t="inlineStr">
        <is>
          <t>https://pubchem.ncbi.nlm.nih.gov/compound/Eugenol | https://pubmed.ncbi.nlm.nih.gov/16998128/ | https://www.fda.gov/food/food-additives-petitions/everything-added-food-united-states-eafus</t>
        </is>
      </c>
      <c r="Q35" s="134" t="inlineStr">
        <is>
          <t>Batch 1 lock applied to existing compound layer record.</t>
        </is>
      </c>
    </row>
    <row r="36" ht="26" customHeight="1" s="76">
      <c r="A36" s="134" t="inlineStr">
        <is>
          <t>holy-basil</t>
        </is>
      </c>
      <c r="B36" s="134" t="inlineStr">
        <is>
          <t>Holy Basil</t>
        </is>
      </c>
      <c r="C36" s="134" t="inlineStr">
        <is>
          <t>ursolic acid</t>
        </is>
      </c>
      <c r="D36" s="134" t="inlineStr">
        <is>
          <t>ursolic acid</t>
        </is>
      </c>
      <c r="E36" s="134" t="n"/>
      <c r="F36" s="134" t="n"/>
      <c r="G36" s="134" t="inlineStr">
        <is>
          <t>ursolic acid</t>
        </is>
      </c>
      <c r="H36" s="134" t="inlineStr">
        <is>
          <t>ursolic acid</t>
        </is>
      </c>
      <c r="I36" s="134" t="inlineStr">
        <is>
          <t>exact-normalized</t>
        </is>
      </c>
      <c r="J36" s="134" t="inlineStr">
        <is>
          <t>direct</t>
        </is>
      </c>
      <c r="K36" s="134" t="inlineStr">
        <is>
          <t>master-linked</t>
        </is>
      </c>
      <c r="L36" s="134" t="inlineStr">
        <is>
          <t>No</t>
        </is>
      </c>
      <c r="M36" s="134" t="inlineStr">
        <is>
          <t>Yes</t>
        </is>
      </c>
      <c r="N36" s="134" t="inlineStr">
        <is>
          <t>anti-inflammatory; metabolic modulation; multi-target signaling modulation</t>
        </is>
      </c>
      <c r="O36" s="134" t="inlineStr">
        <is>
          <t>NF-kB; AMPK; mTOR</t>
        </is>
      </c>
      <c r="P36" s="134" t="inlineStr">
        <is>
          <t>https://pubchem.ncbi.nlm.nih.gov/compound/Ursolic-acid | https://pubmed.ncbi.nlm.nih.gov/?term=ursolic+acid+NF-kB+AMPK</t>
        </is>
      </c>
      <c r="Q36" s="134" t="inlineStr">
        <is>
          <t>Batch 1 lock applied to existing compound layer record.</t>
        </is>
      </c>
    </row>
    <row r="37" ht="26" customHeight="1" s="76">
      <c r="A37" s="134" t="inlineStr">
        <is>
          <t>holy-basil</t>
        </is>
      </c>
      <c r="B37" s="134" t="inlineStr">
        <is>
          <t>Holy Basil</t>
        </is>
      </c>
      <c r="C37" s="134" t="inlineStr">
        <is>
          <t>rosmarinic acid</t>
        </is>
      </c>
      <c r="D37" s="134" t="inlineStr">
        <is>
          <t>rosmarinic acid</t>
        </is>
      </c>
      <c r="E37" s="134" t="n"/>
      <c r="F37" s="134" t="n"/>
      <c r="G37" s="134" t="inlineStr">
        <is>
          <t>rosmarinic acid</t>
        </is>
      </c>
      <c r="H37" s="134" t="inlineStr">
        <is>
          <t>rosmarinic acid</t>
        </is>
      </c>
      <c r="I37" s="134" t="inlineStr">
        <is>
          <t>exact-normalized</t>
        </is>
      </c>
      <c r="J37" s="134" t="inlineStr">
        <is>
          <t>direct</t>
        </is>
      </c>
      <c r="K37" s="134" t="inlineStr">
        <is>
          <t>master-linked</t>
        </is>
      </c>
      <c r="L37" s="134" t="inlineStr">
        <is>
          <t>No</t>
        </is>
      </c>
      <c r="M37" s="134" t="inlineStr">
        <is>
          <t>Yes</t>
        </is>
      </c>
      <c r="N37" s="134" t="inlineStr">
        <is>
          <t>anti-inflammatory; antioxidant; gabaergic modulation</t>
        </is>
      </c>
      <c r="O37" s="134" t="inlineStr">
        <is>
          <t>COX; LOX; reactive oxygen species; GABA metabolism</t>
        </is>
      </c>
      <c r="P37" s="134" t="inlineStr">
        <is>
          <t>https://pubchem.ncbi.nlm.nih.gov/compound/Rosmarinic-acid | https://pubmed.ncbi.nlm.nih.gov/?term=rosmarinic+acid+GABA+transaminase | https://www.ema.europa.eu/en/documents/herbal-monograph/final-european-union-herbal-monograph-melissa-officinalis-l-folium_en.pdf</t>
        </is>
      </c>
      <c r="Q37" s="134" t="inlineStr">
        <is>
          <t>Batch 1 lock applied to existing compound layer record.</t>
        </is>
      </c>
    </row>
    <row r="38" ht="26" customHeight="1" s="76">
      <c r="A38" s="134" t="inlineStr">
        <is>
          <t>kava</t>
        </is>
      </c>
      <c r="B38" s="134" t="inlineStr">
        <is>
          <t>Kava</t>
        </is>
      </c>
      <c r="C38" s="134" t="inlineStr">
        <is>
          <t>kavain</t>
        </is>
      </c>
      <c r="D38" s="134" t="inlineStr">
        <is>
          <t>kavain</t>
        </is>
      </c>
      <c r="E38" s="134" t="n"/>
      <c r="F38" s="134" t="n"/>
      <c r="G38" s="134" t="inlineStr">
        <is>
          <t>kavain</t>
        </is>
      </c>
      <c r="H38" s="134" t="inlineStr">
        <is>
          <t>kavain</t>
        </is>
      </c>
      <c r="I38" s="134" t="inlineStr">
        <is>
          <t>exact-normalized</t>
        </is>
      </c>
      <c r="J38" s="134" t="inlineStr">
        <is>
          <t>direct</t>
        </is>
      </c>
      <c r="K38" s="134" t="inlineStr">
        <is>
          <t>master-linked</t>
        </is>
      </c>
      <c r="L38" s="134" t="inlineStr">
        <is>
          <t>Yes</t>
        </is>
      </c>
      <c r="M38" s="134" t="inlineStr">
        <is>
          <t>Yes</t>
        </is>
      </c>
      <c r="N38" s="134" t="inlineStr">
        <is>
          <t>GABAergic modulation; multi-target signaling modulation</t>
        </is>
      </c>
      <c r="O38" s="134" t="inlineStr">
        <is>
          <t>dopaminergic_modulation; gabaergic_modulation</t>
        </is>
      </c>
      <c r="P38" s="134" t="inlineStr">
        <is>
          <t>https://plants.sc.egov.usda.gov/home/search?query=kava | https://plants.sc.egov.usda.gov/home/search?query=piper%20methysticum | https://pubchem.ncbi.nlm.nih.gov/#query=kavain</t>
        </is>
      </c>
      <c r="Q38" s="134" t="inlineStr">
        <is>
          <t>Mapped to existing compound layer record.</t>
        </is>
      </c>
    </row>
    <row r="39" ht="26" customHeight="1" s="76">
      <c r="A39" s="134" t="inlineStr">
        <is>
          <t>kava</t>
        </is>
      </c>
      <c r="B39" s="134" t="inlineStr">
        <is>
          <t>Kava</t>
        </is>
      </c>
      <c r="C39" s="134" t="inlineStr">
        <is>
          <t>dihydrokavain</t>
        </is>
      </c>
      <c r="D39" s="134" t="inlineStr">
        <is>
          <t>dihydrokavain</t>
        </is>
      </c>
      <c r="E39" s="134" t="n"/>
      <c r="F39" s="134" t="n"/>
      <c r="G39" s="134" t="inlineStr">
        <is>
          <t>dihydrokavain</t>
        </is>
      </c>
      <c r="H39" s="134" t="inlineStr">
        <is>
          <t>dihydrokavain</t>
        </is>
      </c>
      <c r="I39" s="134" t="inlineStr">
        <is>
          <t>exact-normalized</t>
        </is>
      </c>
      <c r="J39" s="134" t="inlineStr">
        <is>
          <t>direct</t>
        </is>
      </c>
      <c r="K39" s="134" t="inlineStr">
        <is>
          <t>master-linked</t>
        </is>
      </c>
      <c r="L39" s="134" t="inlineStr">
        <is>
          <t>Yes</t>
        </is>
      </c>
      <c r="M39" s="134" t="inlineStr">
        <is>
          <t>Yes</t>
        </is>
      </c>
      <c r="N39" s="134" t="inlineStr">
        <is>
          <t>GABAergic modulation; multi-target signaling modulation</t>
        </is>
      </c>
      <c r="O39" s="134" t="inlineStr">
        <is>
          <t>dopaminergic_modulation; gabaergic_modulation</t>
        </is>
      </c>
      <c r="P39" s="134" t="inlineStr">
        <is>
          <t>https://plants.sc.egov.usda.gov/home/search?query=kava | https://plants.sc.egov.usda.gov/home/search?query=piper%20methysticum | https://pubchem.ncbi.nlm.nih.gov/#query=dihydrokavain</t>
        </is>
      </c>
      <c r="Q39" s="134" t="inlineStr">
        <is>
          <t>Mapped to existing compound layer record.</t>
        </is>
      </c>
    </row>
    <row r="40" ht="26" customHeight="1" s="76">
      <c r="A40" s="134" t="inlineStr">
        <is>
          <t>kava</t>
        </is>
      </c>
      <c r="B40" s="134" t="inlineStr">
        <is>
          <t>Kava</t>
        </is>
      </c>
      <c r="C40" s="134" t="inlineStr">
        <is>
          <t>methysticin</t>
        </is>
      </c>
      <c r="D40" s="134" t="inlineStr">
        <is>
          <t>methysticin</t>
        </is>
      </c>
      <c r="E40" s="134" t="n"/>
      <c r="F40" s="134" t="n"/>
      <c r="G40" s="134" t="inlineStr">
        <is>
          <t>methysticin</t>
        </is>
      </c>
      <c r="H40" s="134" t="inlineStr">
        <is>
          <t>methysticin</t>
        </is>
      </c>
      <c r="I40" s="134" t="inlineStr">
        <is>
          <t>exact-normalized</t>
        </is>
      </c>
      <c r="J40" s="134" t="inlineStr">
        <is>
          <t>direct</t>
        </is>
      </c>
      <c r="K40" s="134" t="inlineStr">
        <is>
          <t>master-linked</t>
        </is>
      </c>
      <c r="L40" s="134" t="inlineStr">
        <is>
          <t>Yes</t>
        </is>
      </c>
      <c r="M40" s="134" t="inlineStr">
        <is>
          <t>Yes</t>
        </is>
      </c>
      <c r="N40" s="134" t="inlineStr">
        <is>
          <t>GABAergic modulation; multi-target signaling modulation</t>
        </is>
      </c>
      <c r="O40" s="134" t="inlineStr">
        <is>
          <t>dopaminergic_modulation; gabaergic_modulation</t>
        </is>
      </c>
      <c r="P40" s="134" t="inlineStr">
        <is>
          <t>https://plants.sc.egov.usda.gov/home/search?query=kava | https://plants.sc.egov.usda.gov/home/search?query=piper%20methysticum | https://pubchem.ncbi.nlm.nih.gov/#query=methysticin</t>
        </is>
      </c>
      <c r="Q40" s="134" t="inlineStr">
        <is>
          <t>Mapped to existing compound layer record.</t>
        </is>
      </c>
    </row>
    <row r="41" ht="26" customHeight="1" s="76">
      <c r="A41" s="134" t="inlineStr">
        <is>
          <t>kava</t>
        </is>
      </c>
      <c r="B41" s="134" t="inlineStr">
        <is>
          <t>Kava</t>
        </is>
      </c>
      <c r="C41" s="134" t="inlineStr">
        <is>
          <t>dihydromethysticin</t>
        </is>
      </c>
      <c r="D41" s="134" t="inlineStr">
        <is>
          <t>dihydromethysticin</t>
        </is>
      </c>
      <c r="E41" s="134" t="n"/>
      <c r="F41" s="134" t="n"/>
      <c r="G41" s="134" t="inlineStr">
        <is>
          <t>dihydromethysticin</t>
        </is>
      </c>
      <c r="H41" s="134" t="inlineStr">
        <is>
          <t>dihydromethysticin</t>
        </is>
      </c>
      <c r="I41" s="134" t="inlineStr">
        <is>
          <t>exact-normalized</t>
        </is>
      </c>
      <c r="J41" s="134" t="inlineStr">
        <is>
          <t>direct</t>
        </is>
      </c>
      <c r="K41" s="134" t="inlineStr">
        <is>
          <t>master-linked</t>
        </is>
      </c>
      <c r="L41" s="134" t="inlineStr">
        <is>
          <t>Yes</t>
        </is>
      </c>
      <c r="M41" s="134" t="inlineStr">
        <is>
          <t>Yes</t>
        </is>
      </c>
      <c r="N41" s="134" t="inlineStr">
        <is>
          <t>multi-target signaling modulation</t>
        </is>
      </c>
      <c r="O41" s="134" t="inlineStr">
        <is>
          <t>dopaminergic_modulation; gabaergic_modulation</t>
        </is>
      </c>
      <c r="P41" s="134" t="inlineStr">
        <is>
          <t>https://plants.sc.egov.usda.gov/home/search?query=kava | https://pubchem.ncbi.nlm.nih.gov/#query=dihydromethysticin</t>
        </is>
      </c>
      <c r="Q41" s="134" t="inlineStr">
        <is>
          <t>Mapped to existing compound layer record.</t>
        </is>
      </c>
    </row>
    <row r="42" ht="26" customHeight="1" s="76">
      <c r="A42" s="134" t="inlineStr">
        <is>
          <t>kava</t>
        </is>
      </c>
      <c r="B42" s="134" t="inlineStr">
        <is>
          <t>Kava</t>
        </is>
      </c>
      <c r="C42" s="134" t="inlineStr">
        <is>
          <t>yangonin</t>
        </is>
      </c>
      <c r="D42" s="134" t="inlineStr">
        <is>
          <t>yangonin</t>
        </is>
      </c>
      <c r="E42" s="134" t="n"/>
      <c r="F42" s="134" t="n"/>
      <c r="G42" s="134" t="inlineStr">
        <is>
          <t>yangonin</t>
        </is>
      </c>
      <c r="H42" s="134" t="inlineStr">
        <is>
          <t>yangonin</t>
        </is>
      </c>
      <c r="I42" s="134" t="inlineStr">
        <is>
          <t>exact-normalized</t>
        </is>
      </c>
      <c r="J42" s="134" t="inlineStr">
        <is>
          <t>direct</t>
        </is>
      </c>
      <c r="K42" s="134" t="inlineStr">
        <is>
          <t>master-linked</t>
        </is>
      </c>
      <c r="L42" s="134" t="inlineStr">
        <is>
          <t>Yes</t>
        </is>
      </c>
      <c r="M42" s="134" t="inlineStr">
        <is>
          <t>Yes</t>
        </is>
      </c>
      <c r="N42" s="134" t="inlineStr">
        <is>
          <t>GABAergic modulation; multi-target signaling modulation</t>
        </is>
      </c>
      <c r="O42" s="134" t="inlineStr">
        <is>
          <t>dopaminergic_modulation; gabaergic_modulation</t>
        </is>
      </c>
      <c r="P42" s="134" t="inlineStr">
        <is>
          <t>https://plants.sc.egov.usda.gov/home/search?query=kava | https://plants.sc.egov.usda.gov/home/search?query=piper%20methysticum | https://pubchem.ncbi.nlm.nih.gov/#query=yangonin</t>
        </is>
      </c>
      <c r="Q42" s="134" t="inlineStr">
        <is>
          <t>Mapped to existing compound layer record.</t>
        </is>
      </c>
    </row>
    <row r="43" ht="26" customHeight="1" s="76">
      <c r="A43" s="134" t="inlineStr">
        <is>
          <t>kava</t>
        </is>
      </c>
      <c r="B43" s="134" t="inlineStr">
        <is>
          <t>Kava</t>
        </is>
      </c>
      <c r="C43" s="134" t="inlineStr">
        <is>
          <t>desmethoxyyangonin</t>
        </is>
      </c>
      <c r="D43" s="134" t="inlineStr">
        <is>
          <t>desmethoxyyangonin</t>
        </is>
      </c>
      <c r="E43" s="134" t="n"/>
      <c r="F43" s="134" t="n"/>
      <c r="G43" s="134" t="inlineStr">
        <is>
          <t>desmethoxyyangonin</t>
        </is>
      </c>
      <c r="H43" s="134" t="inlineStr">
        <is>
          <t>desmethoxyyangonin</t>
        </is>
      </c>
      <c r="I43" s="134" t="inlineStr">
        <is>
          <t>exact-normalized</t>
        </is>
      </c>
      <c r="J43" s="134" t="inlineStr">
        <is>
          <t>direct</t>
        </is>
      </c>
      <c r="K43" s="134" t="inlineStr">
        <is>
          <t>master-linked</t>
        </is>
      </c>
      <c r="L43" s="134" t="inlineStr">
        <is>
          <t>Yes</t>
        </is>
      </c>
      <c r="M43" s="134" t="inlineStr">
        <is>
          <t>Yes</t>
        </is>
      </c>
      <c r="N43" s="134" t="inlineStr">
        <is>
          <t>GABAergic modulation; multi-target signaling modulation</t>
        </is>
      </c>
      <c r="O43" s="134" t="inlineStr">
        <is>
          <t>dopaminergic_modulation; gabaergic_modulation</t>
        </is>
      </c>
      <c r="P43" s="134" t="inlineStr">
        <is>
          <t>https://plants.sc.egov.usda.gov/home/search?query=kava | https://plants.sc.egov.usda.gov/home/search?query=piper%20methysticum | https://pubchem.ncbi.nlm.nih.gov/#query=desmethoxyyangonin</t>
        </is>
      </c>
      <c r="Q43" s="134" t="inlineStr">
        <is>
          <t>Mapped to existing compound layer record.</t>
        </is>
      </c>
    </row>
    <row r="44" ht="26" customHeight="1" s="76">
      <c r="A44" s="134" t="inlineStr">
        <is>
          <t>kava</t>
        </is>
      </c>
      <c r="B44" s="134" t="inlineStr">
        <is>
          <t>Kava</t>
        </is>
      </c>
      <c r="C44" s="134" t="inlineStr">
        <is>
          <t>flavokavain A/B/C</t>
        </is>
      </c>
      <c r="D44" s="134" t="inlineStr">
        <is>
          <t>flavokavain A</t>
        </is>
      </c>
      <c r="E44" s="134" t="inlineStr">
        <is>
          <t>flavokavain A/B/C</t>
        </is>
      </c>
      <c r="F44" s="134" t="n"/>
      <c r="G44" s="134" t="inlineStr">
        <is>
          <t>flavokavain a</t>
        </is>
      </c>
      <c r="H44" s="134" t="inlineStr">
        <is>
          <t>flavokavain A</t>
        </is>
      </c>
      <c r="I44" s="134" t="inlineStr">
        <is>
          <t>exact-normalized</t>
        </is>
      </c>
      <c r="J44" s="134" t="inlineStr">
        <is>
          <t>slash-letter-series</t>
        </is>
      </c>
      <c r="K44" s="134" t="inlineStr">
        <is>
          <t>master-linked</t>
        </is>
      </c>
      <c r="L44" s="134" t="inlineStr">
        <is>
          <t>Yes</t>
        </is>
      </c>
      <c r="M44" s="134" t="inlineStr">
        <is>
          <t>Yes</t>
        </is>
      </c>
      <c r="N44" s="134" t="inlineStr">
        <is>
          <t>anti-inflammatory; redox modulation; cytostatic signaling</t>
        </is>
      </c>
      <c r="O44" s="134" t="inlineStr">
        <is>
          <t>oxidative-stress signaling; apoptosis-related signaling</t>
        </is>
      </c>
      <c r="P44" s="134" t="inlineStr">
        <is>
          <t>https://pubchem.ncbi.nlm.nih.gov/compound/Flavokawain-A | https://pubmed.ncbi.nlm.nih.gov/?term=flavokavain+A | https://www.nccih.nih.gov/health/kava</t>
        </is>
      </c>
      <c r="Q44" s="134" t="inlineStr">
        <is>
          <t>Locked in Batch 8 and linked to compound master record.</t>
        </is>
      </c>
    </row>
    <row r="45" ht="26" customHeight="1" s="76">
      <c r="A45" s="134" t="inlineStr">
        <is>
          <t>kava</t>
        </is>
      </c>
      <c r="B45" s="134" t="inlineStr">
        <is>
          <t>Kava</t>
        </is>
      </c>
      <c r="C45" s="134" t="inlineStr">
        <is>
          <t>flavokavain A/B/C</t>
        </is>
      </c>
      <c r="D45" s="134" t="inlineStr">
        <is>
          <t>flavokavain B</t>
        </is>
      </c>
      <c r="E45" s="134" t="inlineStr">
        <is>
          <t>flavokavain A/B/C</t>
        </is>
      </c>
      <c r="F45" s="134" t="n"/>
      <c r="G45" s="134" t="inlineStr">
        <is>
          <t>flavokavain b</t>
        </is>
      </c>
      <c r="H45" s="134" t="inlineStr">
        <is>
          <t>flavokavain B</t>
        </is>
      </c>
      <c r="I45" s="134" t="inlineStr">
        <is>
          <t>exact-normalized</t>
        </is>
      </c>
      <c r="J45" s="134" t="inlineStr">
        <is>
          <t>slash-letter-series</t>
        </is>
      </c>
      <c r="K45" s="134" t="inlineStr">
        <is>
          <t>master-linked</t>
        </is>
      </c>
      <c r="L45" s="134" t="inlineStr">
        <is>
          <t>Yes</t>
        </is>
      </c>
      <c r="M45" s="134" t="inlineStr">
        <is>
          <t>Yes</t>
        </is>
      </c>
      <c r="N45" s="134" t="inlineStr">
        <is>
          <t>anti-inflammatory; redox modulation; cytostatic signaling</t>
        </is>
      </c>
      <c r="O45" s="134" t="inlineStr">
        <is>
          <t>oxidative-stress signaling; apoptosis-related signaling</t>
        </is>
      </c>
      <c r="P45" s="134" t="inlineStr">
        <is>
          <t>https://pubchem.ncbi.nlm.nih.gov/compound/Flavokawain-B | https://pubmed.ncbi.nlm.nih.gov/?term=flavokavain+B | https://www.nccih.nih.gov/health/kava</t>
        </is>
      </c>
      <c r="Q45" s="134" t="inlineStr">
        <is>
          <t>Locked in Batch 8 and linked to compound master record.</t>
        </is>
      </c>
    </row>
    <row r="46" ht="26" customHeight="1" s="76">
      <c r="A46" s="134" t="inlineStr">
        <is>
          <t>kava</t>
        </is>
      </c>
      <c r="B46" s="134" t="inlineStr">
        <is>
          <t>Kava</t>
        </is>
      </c>
      <c r="C46" s="134" t="inlineStr">
        <is>
          <t>flavokavain A/B/C</t>
        </is>
      </c>
      <c r="D46" s="134" t="inlineStr">
        <is>
          <t>flavokavain C</t>
        </is>
      </c>
      <c r="E46" s="134" t="inlineStr">
        <is>
          <t>flavokavain A/B/C</t>
        </is>
      </c>
      <c r="F46" s="134" t="n"/>
      <c r="G46" s="134" t="inlineStr">
        <is>
          <t>flavokavain c</t>
        </is>
      </c>
      <c r="H46" s="134" t="inlineStr">
        <is>
          <t>flavokavain C</t>
        </is>
      </c>
      <c r="I46" s="134" t="inlineStr">
        <is>
          <t>exact-normalized</t>
        </is>
      </c>
      <c r="J46" s="134" t="inlineStr">
        <is>
          <t>slash-letter-series</t>
        </is>
      </c>
      <c r="K46" s="134" t="inlineStr">
        <is>
          <t>master-linked</t>
        </is>
      </c>
      <c r="L46" s="134" t="inlineStr">
        <is>
          <t>Yes</t>
        </is>
      </c>
      <c r="M46" s="134" t="inlineStr">
        <is>
          <t>Yes</t>
        </is>
      </c>
      <c r="N46" s="134" t="inlineStr">
        <is>
          <t>anti-inflammatory; redox modulation</t>
        </is>
      </c>
      <c r="O46" s="134" t="inlineStr">
        <is>
          <t>oxidative-stress signaling; inflammatory signaling</t>
        </is>
      </c>
      <c r="P46" s="134" t="inlineStr">
        <is>
          <t>https://pubchem.ncbi.nlm.nih.gov/compound/Flavokawain-C | https://pubmed.ncbi.nlm.nih.gov/?term=flavokavain+C | https://www.nccih.nih.gov/health/kava</t>
        </is>
      </c>
      <c r="Q46" s="134" t="inlineStr">
        <is>
          <t>Locked in Batch 8 and linked to compound master record.</t>
        </is>
      </c>
    </row>
    <row r="47" ht="26" customHeight="1" s="76">
      <c r="A47" s="134" t="inlineStr">
        <is>
          <t>lemon-balm</t>
        </is>
      </c>
      <c r="B47" s="134" t="inlineStr">
        <is>
          <t>Lemon Balm</t>
        </is>
      </c>
      <c r="C47" s="134" t="inlineStr">
        <is>
          <t>rosmarinic acid</t>
        </is>
      </c>
      <c r="D47" s="134" t="inlineStr">
        <is>
          <t>rosmarinic acid</t>
        </is>
      </c>
      <c r="E47" s="134" t="n"/>
      <c r="F47" s="134" t="n"/>
      <c r="G47" s="134" t="inlineStr">
        <is>
          <t>rosmarinic acid</t>
        </is>
      </c>
      <c r="H47" s="134" t="inlineStr">
        <is>
          <t>rosmarinic acid</t>
        </is>
      </c>
      <c r="I47" s="134" t="inlineStr">
        <is>
          <t>exact-normalized</t>
        </is>
      </c>
      <c r="J47" s="134" t="inlineStr">
        <is>
          <t>direct</t>
        </is>
      </c>
      <c r="K47" s="134" t="inlineStr">
        <is>
          <t>master-linked</t>
        </is>
      </c>
      <c r="L47" s="134" t="inlineStr">
        <is>
          <t>No</t>
        </is>
      </c>
      <c r="M47" s="134" t="inlineStr">
        <is>
          <t>Yes</t>
        </is>
      </c>
      <c r="N47" s="134" t="inlineStr">
        <is>
          <t>anti-inflammatory; antioxidant; gabaergic modulation</t>
        </is>
      </c>
      <c r="O47" s="134" t="inlineStr">
        <is>
          <t>COX; LOX; reactive oxygen species; GABA metabolism</t>
        </is>
      </c>
      <c r="P47" s="134" t="inlineStr">
        <is>
          <t>https://pubchem.ncbi.nlm.nih.gov/compound/Rosmarinic-acid | https://pubmed.ncbi.nlm.nih.gov/?term=rosmarinic+acid+GABA+transaminase | https://www.ema.europa.eu/en/documents/herbal-monograph/final-european-union-herbal-monograph-melissa-officinalis-l-folium_en.pdf</t>
        </is>
      </c>
      <c r="Q47" s="134" t="inlineStr">
        <is>
          <t>Batch 1 lock applied to existing compound layer record.</t>
        </is>
      </c>
    </row>
    <row r="48" ht="26" customHeight="1" s="76">
      <c r="A48" s="134" t="inlineStr">
        <is>
          <t>lemon-balm</t>
        </is>
      </c>
      <c r="B48" s="134" t="inlineStr">
        <is>
          <t>Lemon Balm</t>
        </is>
      </c>
      <c r="C48" s="134" t="inlineStr">
        <is>
          <t>citral</t>
        </is>
      </c>
      <c r="D48" s="134" t="inlineStr">
        <is>
          <t>citral</t>
        </is>
      </c>
      <c r="E48" s="134" t="n"/>
      <c r="F48" s="134" t="n"/>
      <c r="G48" s="134" t="inlineStr">
        <is>
          <t>citral</t>
        </is>
      </c>
      <c r="H48" s="134" t="inlineStr">
        <is>
          <t>citral</t>
        </is>
      </c>
      <c r="I48" s="134" t="inlineStr">
        <is>
          <t>exact-normalized</t>
        </is>
      </c>
      <c r="J48" s="134" t="inlineStr">
        <is>
          <t>direct</t>
        </is>
      </c>
      <c r="K48" s="134" t="inlineStr">
        <is>
          <t>master-linked</t>
        </is>
      </c>
      <c r="L48" s="134" t="inlineStr">
        <is>
          <t>No</t>
        </is>
      </c>
      <c r="M48" s="134" t="inlineStr">
        <is>
          <t>Yes</t>
        </is>
      </c>
      <c r="N48" s="134" t="inlineStr">
        <is>
          <t>GABAergic modulation; multi-target signaling modulation</t>
        </is>
      </c>
      <c r="O48" s="134" t="inlineStr">
        <is>
          <t>TNF-a reduction; TRPM3 modulation; TRPM8 modulation; TRPV1 modulation; gabaergic_modulation; general or unknown targets</t>
        </is>
      </c>
      <c r="P48" s="134" t="inlineStr">
        <is>
          <t>https://plants.sc.egov.usda.gov/home/search?query=Cymbopogon%20citratus | https://plants.sc.egov.usda.gov/home/search?query=Lippia%20alba | https://plants.sc.egov.usda.gov/home/search?query=Melissa%20Officinalis | https://plants.sc.egov.usda.gov/home/search?query=lemon%20balm | https://pmc.ncbi.nlm.nih.gov/articles/PMC5339496/ | https://pmc.ncbi.nlm.nih.gov/articles/PMC9489894/ | https://pubchem.ncbi.nlm.nih.gov/#query=citral</t>
        </is>
      </c>
      <c r="Q48" s="134" t="inlineStr">
        <is>
          <t>Mapped to existing compound layer record.</t>
        </is>
      </c>
    </row>
    <row r="49" ht="26" customHeight="1" s="76">
      <c r="A49" s="134" t="inlineStr">
        <is>
          <t>lemon-balm</t>
        </is>
      </c>
      <c r="B49" s="134" t="inlineStr">
        <is>
          <t>Lemon Balm</t>
        </is>
      </c>
      <c r="C49" s="134" t="inlineStr">
        <is>
          <t>citronellal</t>
        </is>
      </c>
      <c r="D49" s="134" t="inlineStr">
        <is>
          <t>citronellal</t>
        </is>
      </c>
      <c r="E49" s="134" t="n"/>
      <c r="F49" s="134" t="n"/>
      <c r="G49" s="134" t="inlineStr">
        <is>
          <t>citronellal</t>
        </is>
      </c>
      <c r="H49" s="134" t="inlineStr">
        <is>
          <t>citronellal</t>
        </is>
      </c>
      <c r="I49" s="134" t="inlineStr">
        <is>
          <t>exact-normalized</t>
        </is>
      </c>
      <c r="J49" s="134" t="inlineStr">
        <is>
          <t>direct</t>
        </is>
      </c>
      <c r="K49" s="134" t="inlineStr">
        <is>
          <t>master-linked</t>
        </is>
      </c>
      <c r="L49" s="134" t="inlineStr">
        <is>
          <t>No</t>
        </is>
      </c>
      <c r="M49" s="134" t="inlineStr">
        <is>
          <t>Yes</t>
        </is>
      </c>
      <c r="N49" s="134" t="inlineStr">
        <is>
          <t>GABAergic modulation</t>
        </is>
      </c>
      <c r="O49" s="134" t="inlineStr">
        <is>
          <t>gabaergic_modulation</t>
        </is>
      </c>
      <c r="P49" s="134" t="inlineStr">
        <is>
          <t>https://plants.sc.egov.usda.gov/home/search?query=Melissa%20Officinalis | https://plants.sc.egov.usda.gov/home/search?query=lemon%20balm | https://pubchem.ncbi.nlm.nih.gov/#query=citronellal</t>
        </is>
      </c>
      <c r="Q49" s="134" t="inlineStr">
        <is>
          <t>Mapped to existing compound layer record.</t>
        </is>
      </c>
    </row>
    <row r="50" ht="26" customHeight="1" s="76">
      <c r="A50" s="134" t="inlineStr">
        <is>
          <t>lemon-balm</t>
        </is>
      </c>
      <c r="B50" s="134" t="inlineStr">
        <is>
          <t>Lemon Balm</t>
        </is>
      </c>
      <c r="C50" s="134" t="inlineStr">
        <is>
          <t>linalool</t>
        </is>
      </c>
      <c r="D50" s="134" t="inlineStr">
        <is>
          <t>linalool</t>
        </is>
      </c>
      <c r="E50" s="134" t="n"/>
      <c r="F50" s="134" t="n"/>
      <c r="G50" s="134" t="inlineStr">
        <is>
          <t>linalool</t>
        </is>
      </c>
      <c r="H50" s="134" t="inlineStr">
        <is>
          <t>linalool</t>
        </is>
      </c>
      <c r="I50" s="134" t="inlineStr">
        <is>
          <t>exact-normalized</t>
        </is>
      </c>
      <c r="J50" s="134" t="inlineStr">
        <is>
          <t>direct</t>
        </is>
      </c>
      <c r="K50" s="134" t="inlineStr">
        <is>
          <t>master-linked</t>
        </is>
      </c>
      <c r="L50" s="134" t="inlineStr">
        <is>
          <t>No</t>
        </is>
      </c>
      <c r="M50" s="134" t="inlineStr">
        <is>
          <t>Yes</t>
        </is>
      </c>
      <c r="N50" s="134" t="inlineStr">
        <is>
          <t>GABAergic modulation</t>
        </is>
      </c>
      <c r="O50" s="134" t="inlineStr">
        <is>
          <t>gabaergic_modulation</t>
        </is>
      </c>
      <c r="P50" s="134" t="inlineStr">
        <is>
          <t>https://plants.sc.egov.usda.gov/home/search?query=Lavandula%20angustifolia | https://pubchem.ncbi.nlm.nih.gov/#query=linalool</t>
        </is>
      </c>
      <c r="Q50" s="134" t="inlineStr">
        <is>
          <t>Mapped to existing compound layer record.</t>
        </is>
      </c>
    </row>
    <row r="51" ht="26" customHeight="1" s="76">
      <c r="A51" s="134" t="inlineStr">
        <is>
          <t>lemon-balm</t>
        </is>
      </c>
      <c r="B51" s="134" t="inlineStr">
        <is>
          <t>Lemon Balm</t>
        </is>
      </c>
      <c r="C51" s="134" t="inlineStr">
        <is>
          <t>flavonoids</t>
        </is>
      </c>
      <c r="D51" s="134" t="inlineStr">
        <is>
          <t>flavonoids</t>
        </is>
      </c>
      <c r="E51" s="134" t="n"/>
      <c r="F51" s="134" t="n"/>
      <c r="G51" s="134" t="n"/>
      <c r="H51" s="134" t="n"/>
      <c r="I51" s="134" t="inlineStr">
        <is>
          <t>no-master-match</t>
        </is>
      </c>
      <c r="J51" s="134" t="inlineStr">
        <is>
          <t>direct</t>
        </is>
      </c>
      <c r="K51" s="134" t="inlineStr">
        <is>
          <t>broad-class-retained</t>
        </is>
      </c>
      <c r="L51" s="134" t="inlineStr">
        <is>
          <t>No</t>
        </is>
      </c>
      <c r="M51" s="134" t="inlineStr">
        <is>
          <t>No</t>
        </is>
      </c>
      <c r="N51" s="134" t="n"/>
      <c r="O51" s="134" t="n"/>
      <c r="P51" s="134" t="n"/>
      <c r="Q51" s="134" t="inlineStr">
        <is>
          <t>Broad class retained for context; not treated as atomic compound.</t>
        </is>
      </c>
    </row>
    <row r="52" ht="26" customHeight="1" s="76">
      <c r="A52" s="134" t="inlineStr">
        <is>
          <t>maca</t>
        </is>
      </c>
      <c r="B52" s="134" t="inlineStr">
        <is>
          <t>Maca</t>
        </is>
      </c>
      <c r="C52" s="134" t="inlineStr">
        <is>
          <t>macamides</t>
        </is>
      </c>
      <c r="D52" s="134" t="inlineStr">
        <is>
          <t>macamides</t>
        </is>
      </c>
      <c r="E52" s="134" t="n"/>
      <c r="F52" s="134" t="n"/>
      <c r="G52" s="134" t="n"/>
      <c r="H52" s="134" t="n"/>
      <c r="I52" s="134" t="inlineStr">
        <is>
          <t>no-master-match</t>
        </is>
      </c>
      <c r="J52" s="134" t="inlineStr">
        <is>
          <t>direct</t>
        </is>
      </c>
      <c r="K52" s="134" t="inlineStr">
        <is>
          <t>broad-class-retained</t>
        </is>
      </c>
      <c r="L52" s="134" t="inlineStr">
        <is>
          <t>No</t>
        </is>
      </c>
      <c r="M52" s="134" t="inlineStr">
        <is>
          <t>No</t>
        </is>
      </c>
      <c r="N52" s="134" t="n"/>
      <c r="O52" s="134" t="n"/>
      <c r="P52" s="134" t="n"/>
      <c r="Q52" s="134" t="inlineStr">
        <is>
          <t>Broad class retained for context; not treated as atomic compound.</t>
        </is>
      </c>
    </row>
    <row r="53" ht="26" customHeight="1" s="76">
      <c r="A53" s="134" t="inlineStr">
        <is>
          <t>maca</t>
        </is>
      </c>
      <c r="B53" s="134" t="inlineStr">
        <is>
          <t>Maca</t>
        </is>
      </c>
      <c r="C53" s="134" t="inlineStr">
        <is>
          <t>macaenes</t>
        </is>
      </c>
      <c r="D53" s="134" t="inlineStr">
        <is>
          <t>macaenes</t>
        </is>
      </c>
      <c r="E53" s="134" t="n"/>
      <c r="F53" s="134" t="n"/>
      <c r="G53" s="134" t="n"/>
      <c r="H53" s="134" t="n"/>
      <c r="I53" s="134" t="inlineStr">
        <is>
          <t>no-master-match</t>
        </is>
      </c>
      <c r="J53" s="134" t="inlineStr">
        <is>
          <t>direct</t>
        </is>
      </c>
      <c r="K53" s="134" t="inlineStr">
        <is>
          <t>broad-class-retained</t>
        </is>
      </c>
      <c r="L53" s="134" t="inlineStr">
        <is>
          <t>No</t>
        </is>
      </c>
      <c r="M53" s="134" t="inlineStr">
        <is>
          <t>No</t>
        </is>
      </c>
      <c r="N53" s="134" t="n"/>
      <c r="O53" s="134" t="n"/>
      <c r="P53" s="134" t="n"/>
      <c r="Q53" s="134" t="inlineStr">
        <is>
          <t>Broad class retained for context; not treated as atomic compound.</t>
        </is>
      </c>
    </row>
    <row r="54" ht="26" customHeight="1" s="76">
      <c r="A54" s="134" t="inlineStr">
        <is>
          <t>maca</t>
        </is>
      </c>
      <c r="B54" s="134" t="inlineStr">
        <is>
          <t>Maca</t>
        </is>
      </c>
      <c r="C54" s="134" t="inlineStr">
        <is>
          <t>glucosinolates</t>
        </is>
      </c>
      <c r="D54" s="134" t="inlineStr">
        <is>
          <t>glucosinolates</t>
        </is>
      </c>
      <c r="E54" s="134" t="n"/>
      <c r="F54" s="134" t="n"/>
      <c r="G54" s="134" t="n"/>
      <c r="H54" s="134" t="n"/>
      <c r="I54" s="134" t="inlineStr">
        <is>
          <t>no-master-match</t>
        </is>
      </c>
      <c r="J54" s="134" t="inlineStr">
        <is>
          <t>direct</t>
        </is>
      </c>
      <c r="K54" s="134" t="inlineStr">
        <is>
          <t>broad-class-retained</t>
        </is>
      </c>
      <c r="L54" s="134" t="inlineStr">
        <is>
          <t>No</t>
        </is>
      </c>
      <c r="M54" s="134" t="inlineStr">
        <is>
          <t>No</t>
        </is>
      </c>
      <c r="N54" s="134" t="n"/>
      <c r="O54" s="134" t="n"/>
      <c r="P54" s="134" t="n"/>
      <c r="Q54" s="134" t="inlineStr">
        <is>
          <t>Broad class retained for context; not treated as atomic compound.</t>
        </is>
      </c>
    </row>
    <row r="55" ht="26" customHeight="1" s="76">
      <c r="A55" s="134" t="inlineStr">
        <is>
          <t>milk-thistle</t>
        </is>
      </c>
      <c r="B55" s="134" t="inlineStr">
        <is>
          <t>Milk Thistle</t>
        </is>
      </c>
      <c r="C55" s="134" t="inlineStr">
        <is>
          <t>silybin A/B</t>
        </is>
      </c>
      <c r="D55" s="134" t="inlineStr">
        <is>
          <t>silybin A</t>
        </is>
      </c>
      <c r="E55" s="134" t="inlineStr">
        <is>
          <t>silybin A/B</t>
        </is>
      </c>
      <c r="F55" s="134" t="n"/>
      <c r="G55" s="134" t="inlineStr">
        <is>
          <t>silybin a</t>
        </is>
      </c>
      <c r="H55" s="134" t="inlineStr">
        <is>
          <t>silybin A</t>
        </is>
      </c>
      <c r="I55" s="134" t="inlineStr">
        <is>
          <t>exact-normalized</t>
        </is>
      </c>
      <c r="J55" s="134" t="inlineStr">
        <is>
          <t>slash-letter-series</t>
        </is>
      </c>
      <c r="K55" s="134" t="inlineStr">
        <is>
          <t>master-linked</t>
        </is>
      </c>
      <c r="L55" s="134" t="inlineStr">
        <is>
          <t>Yes</t>
        </is>
      </c>
      <c r="M55" s="134" t="inlineStr">
        <is>
          <t>Yes</t>
        </is>
      </c>
      <c r="N55" s="134" t="inlineStr">
        <is>
          <t>anti-inflammatory; antioxidant; hepatoprotective; redox modulation</t>
        </is>
      </c>
      <c r="O55" s="134" t="inlineStr">
        <is>
          <t>Nrf2-associated signaling; NF-kappaB; oxidative-stress signaling</t>
        </is>
      </c>
      <c r="P55" s="134" t="inlineStr">
        <is>
          <t>https://pubchem.ncbi.nlm.nih.gov/compound/Silybin-A | https://pubmed.ncbi.nlm.nih.gov/?term=silybin+A | https://www.nccih.nih.gov/health/milk-thistle</t>
        </is>
      </c>
      <c r="Q55" s="134" t="inlineStr">
        <is>
          <t>Locked in Batch 10 from provisional milk thistle row; linked to compound master record.</t>
        </is>
      </c>
    </row>
    <row r="56" ht="26" customHeight="1" s="76">
      <c r="A56" s="134" t="inlineStr">
        <is>
          <t>milk-thistle</t>
        </is>
      </c>
      <c r="B56" s="134" t="inlineStr">
        <is>
          <t>Milk Thistle</t>
        </is>
      </c>
      <c r="C56" s="134" t="inlineStr">
        <is>
          <t>silybin A/B</t>
        </is>
      </c>
      <c r="D56" s="134" t="inlineStr">
        <is>
          <t>silybin B</t>
        </is>
      </c>
      <c r="E56" s="134" t="inlineStr">
        <is>
          <t>silybin A/B</t>
        </is>
      </c>
      <c r="F56" s="134" t="n"/>
      <c r="G56" s="134" t="inlineStr">
        <is>
          <t>silybin b</t>
        </is>
      </c>
      <c r="H56" s="134" t="inlineStr">
        <is>
          <t>silybin B</t>
        </is>
      </c>
      <c r="I56" s="134" t="inlineStr">
        <is>
          <t>exact-normalized</t>
        </is>
      </c>
      <c r="J56" s="134" t="inlineStr">
        <is>
          <t>slash-letter-series</t>
        </is>
      </c>
      <c r="K56" s="134" t="inlineStr">
        <is>
          <t>master-linked</t>
        </is>
      </c>
      <c r="L56" s="134" t="inlineStr">
        <is>
          <t>Yes</t>
        </is>
      </c>
      <c r="M56" s="134" t="inlineStr">
        <is>
          <t>Yes</t>
        </is>
      </c>
      <c r="N56" s="134" t="inlineStr">
        <is>
          <t>anti-inflammatory; antioxidant; hepatoprotective; redox modulation</t>
        </is>
      </c>
      <c r="O56" s="134" t="inlineStr">
        <is>
          <t>Nrf2-associated signaling; NF-kappaB; oxidative-stress signaling</t>
        </is>
      </c>
      <c r="P56" s="134" t="inlineStr">
        <is>
          <t>https://pubchem.ncbi.nlm.nih.gov/compound/Silybin-B | https://pubmed.ncbi.nlm.nih.gov/?term=silybin+B | https://www.nccih.nih.gov/health/milk-thistle</t>
        </is>
      </c>
      <c r="Q56" s="134" t="inlineStr">
        <is>
          <t>Locked in Batch 10 from provisional milk thistle row; linked to compound master record.</t>
        </is>
      </c>
    </row>
    <row r="57" ht="26" customHeight="1" s="76">
      <c r="A57" s="134" t="inlineStr">
        <is>
          <t>milk-thistle</t>
        </is>
      </c>
      <c r="B57" s="134" t="inlineStr">
        <is>
          <t>Milk Thistle</t>
        </is>
      </c>
      <c r="C57" s="134" t="inlineStr">
        <is>
          <t>isosilybin A/B</t>
        </is>
      </c>
      <c r="D57" s="134" t="inlineStr">
        <is>
          <t>isosilybin A</t>
        </is>
      </c>
      <c r="E57" s="134" t="inlineStr">
        <is>
          <t>isosilybin A/B</t>
        </is>
      </c>
      <c r="F57" s="134" t="n"/>
      <c r="G57" s="134" t="inlineStr">
        <is>
          <t>isosilybin a</t>
        </is>
      </c>
      <c r="H57" s="134" t="inlineStr">
        <is>
          <t>isosilybin A</t>
        </is>
      </c>
      <c r="I57" s="134" t="inlineStr">
        <is>
          <t>exact-normalized</t>
        </is>
      </c>
      <c r="J57" s="134" t="inlineStr">
        <is>
          <t>slash-letter-series</t>
        </is>
      </c>
      <c r="K57" s="134" t="inlineStr">
        <is>
          <t>master-linked</t>
        </is>
      </c>
      <c r="L57" s="134" t="inlineStr">
        <is>
          <t>Yes</t>
        </is>
      </c>
      <c r="M57" s="134" t="inlineStr">
        <is>
          <t>Yes</t>
        </is>
      </c>
      <c r="N57" s="134" t="inlineStr">
        <is>
          <t>anti-inflammatory; antioxidant; cytoprotective; redox modulation</t>
        </is>
      </c>
      <c r="O57" s="134" t="inlineStr">
        <is>
          <t>NF-kappaB; oxidative-stress signaling</t>
        </is>
      </c>
      <c r="P57" s="134" t="inlineStr">
        <is>
          <t>https://pubchem.ncbi.nlm.nih.gov/compound/Isosilybin-A | https://pubmed.ncbi.nlm.nih.gov/?term=isosilybin+A | https://www.nccih.nih.gov/health/milk-thistle</t>
        </is>
      </c>
      <c r="Q57" s="134" t="inlineStr">
        <is>
          <t>Locked in Batch 10 from provisional milk thistle row; linked to compound master record.</t>
        </is>
      </c>
    </row>
    <row r="58" ht="26" customHeight="1" s="76">
      <c r="A58" s="134" t="inlineStr">
        <is>
          <t>milk-thistle</t>
        </is>
      </c>
      <c r="B58" s="134" t="inlineStr">
        <is>
          <t>Milk Thistle</t>
        </is>
      </c>
      <c r="C58" s="134" t="inlineStr">
        <is>
          <t>isosilybin A/B</t>
        </is>
      </c>
      <c r="D58" s="134" t="inlineStr">
        <is>
          <t>isosilybin B</t>
        </is>
      </c>
      <c r="E58" s="134" t="inlineStr">
        <is>
          <t>isosilybin A/B</t>
        </is>
      </c>
      <c r="F58" s="134" t="n"/>
      <c r="G58" s="134" t="inlineStr">
        <is>
          <t>isosilybin b</t>
        </is>
      </c>
      <c r="H58" s="134" t="inlineStr">
        <is>
          <t>isosilybin B</t>
        </is>
      </c>
      <c r="I58" s="134" t="inlineStr">
        <is>
          <t>exact-normalized</t>
        </is>
      </c>
      <c r="J58" s="134" t="inlineStr">
        <is>
          <t>slash-letter-series</t>
        </is>
      </c>
      <c r="K58" s="134" t="inlineStr">
        <is>
          <t>master-linked</t>
        </is>
      </c>
      <c r="L58" s="134" t="inlineStr">
        <is>
          <t>Yes</t>
        </is>
      </c>
      <c r="M58" s="134" t="inlineStr">
        <is>
          <t>Yes</t>
        </is>
      </c>
      <c r="N58" s="134" t="inlineStr">
        <is>
          <t>anti-inflammatory; antioxidant; cytoprotective; redox modulation</t>
        </is>
      </c>
      <c r="O58" s="134" t="inlineStr">
        <is>
          <t>NF-kappaB; oxidative-stress signaling</t>
        </is>
      </c>
      <c r="P58" s="134" t="inlineStr">
        <is>
          <t>https://pubchem.ncbi.nlm.nih.gov/compound/Isosilybin-B | https://pubmed.ncbi.nlm.nih.gov/?term=isosilybin+B | https://www.nccih.nih.gov/health/milk-thistle</t>
        </is>
      </c>
      <c r="Q58" s="134" t="inlineStr">
        <is>
          <t>Locked in Batch 10 from provisional milk thistle row; linked to compound master record.</t>
        </is>
      </c>
    </row>
    <row r="59" ht="26" customHeight="1" s="76">
      <c r="A59" s="134" t="inlineStr">
        <is>
          <t>milk-thistle</t>
        </is>
      </c>
      <c r="B59" s="134" t="inlineStr">
        <is>
          <t>Milk Thistle</t>
        </is>
      </c>
      <c r="C59" s="134" t="inlineStr">
        <is>
          <t>silychristin</t>
        </is>
      </c>
      <c r="D59" s="134" t="inlineStr">
        <is>
          <t>silychristin</t>
        </is>
      </c>
      <c r="E59" s="134" t="n"/>
      <c r="F59" s="134" t="n"/>
      <c r="G59" s="134" t="inlineStr">
        <is>
          <t>silychristin</t>
        </is>
      </c>
      <c r="H59" s="134" t="inlineStr">
        <is>
          <t>silychristin)</t>
        </is>
      </c>
      <c r="I59" s="134" t="inlineStr">
        <is>
          <t>exact-normalized</t>
        </is>
      </c>
      <c r="J59" s="134" t="inlineStr">
        <is>
          <t>direct</t>
        </is>
      </c>
      <c r="K59" s="134" t="inlineStr">
        <is>
          <t>master-linked</t>
        </is>
      </c>
      <c r="L59" s="134" t="inlineStr">
        <is>
          <t>No</t>
        </is>
      </c>
      <c r="M59" s="134" t="inlineStr">
        <is>
          <t>Yes</t>
        </is>
      </c>
      <c r="N59" s="134" t="inlineStr">
        <is>
          <t>multi-target signaling modulation</t>
        </is>
      </c>
      <c r="O59" s="134" t="inlineStr">
        <is>
          <t>general or unknown targets</t>
        </is>
      </c>
      <c r="P59" s="134" t="inlineStr">
        <is>
          <t>https://plants.sc.egov.usda.gov/home/search?query=silybum%20marianum | https://pubchem.ncbi.nlm.nih.gov/#query=silychristin%29</t>
        </is>
      </c>
      <c r="Q59" s="134" t="inlineStr">
        <is>
          <t>Mapped to existing compound layer record.</t>
        </is>
      </c>
    </row>
    <row r="60" ht="26" customHeight="1" s="76">
      <c r="A60" s="134" t="inlineStr">
        <is>
          <t>milk-thistle</t>
        </is>
      </c>
      <c r="B60" s="134" t="inlineStr">
        <is>
          <t>Milk Thistle</t>
        </is>
      </c>
      <c r="C60" s="134" t="inlineStr">
        <is>
          <t>silydianin</t>
        </is>
      </c>
      <c r="D60" s="134" t="inlineStr">
        <is>
          <t>silydianin</t>
        </is>
      </c>
      <c r="E60" s="134" t="n"/>
      <c r="F60" s="134" t="n"/>
      <c r="G60" s="134" t="inlineStr">
        <is>
          <t>silydianin</t>
        </is>
      </c>
      <c r="H60" s="134" t="inlineStr">
        <is>
          <t>silydianin</t>
        </is>
      </c>
      <c r="I60" s="134" t="inlineStr">
        <is>
          <t>exact-normalized</t>
        </is>
      </c>
      <c r="J60" s="134" t="inlineStr">
        <is>
          <t>direct</t>
        </is>
      </c>
      <c r="K60" s="134" t="inlineStr">
        <is>
          <t>master-linked</t>
        </is>
      </c>
      <c r="L60" s="134" t="inlineStr">
        <is>
          <t>No</t>
        </is>
      </c>
      <c r="M60" s="134" t="inlineStr">
        <is>
          <t>Yes</t>
        </is>
      </c>
      <c r="N60" s="134" t="inlineStr">
        <is>
          <t>multi-target signaling modulation</t>
        </is>
      </c>
      <c r="O60" s="134" t="inlineStr">
        <is>
          <t>general or unknown targets</t>
        </is>
      </c>
      <c r="P60" s="134" t="inlineStr">
        <is>
          <t>https://plants.sc.egov.usda.gov/home/search?query=silybum%20marianum | https://pubchem.ncbi.nlm.nih.gov/#query=silydianin</t>
        </is>
      </c>
      <c r="Q60" s="134" t="inlineStr">
        <is>
          <t>Mapped to existing compound layer record.</t>
        </is>
      </c>
    </row>
    <row r="61" ht="26" customHeight="1" s="76">
      <c r="A61" s="134" t="inlineStr">
        <is>
          <t>milk-thistle</t>
        </is>
      </c>
      <c r="B61" s="134" t="inlineStr">
        <is>
          <t>Milk Thistle</t>
        </is>
      </c>
      <c r="C61" s="134" t="inlineStr">
        <is>
          <t>isosilychristin</t>
        </is>
      </c>
      <c r="D61" s="134" t="inlineStr">
        <is>
          <t>isosilychristin</t>
        </is>
      </c>
      <c r="E61" s="134" t="n"/>
      <c r="F61" s="134" t="n"/>
      <c r="G61" s="134" t="inlineStr">
        <is>
          <t>isosilychristin</t>
        </is>
      </c>
      <c r="H61" s="134" t="inlineStr">
        <is>
          <t>isosilychristin</t>
        </is>
      </c>
      <c r="I61" s="134" t="inlineStr">
        <is>
          <t>exact-normalized</t>
        </is>
      </c>
      <c r="J61" s="134" t="inlineStr">
        <is>
          <t>direct</t>
        </is>
      </c>
      <c r="K61" s="134" t="inlineStr">
        <is>
          <t>master-linked</t>
        </is>
      </c>
      <c r="L61" s="134" t="inlineStr">
        <is>
          <t>Yes</t>
        </is>
      </c>
      <c r="M61" s="134" t="inlineStr">
        <is>
          <t>Yes</t>
        </is>
      </c>
      <c r="N61" s="134" t="inlineStr">
        <is>
          <t>anti-inflammatory; antioxidant; hepatoprotective; redox modulation</t>
        </is>
      </c>
      <c r="O61" s="134" t="inlineStr">
        <is>
          <t>oxidative-stress signaling; general or unknown targets</t>
        </is>
      </c>
      <c r="P61" s="134" t="inlineStr">
        <is>
          <t>https://pubchem.ncbi.nlm.nih.gov/compound/Isosilychristin | https://pubmed.ncbi.nlm.nih.gov/?term=isosilychristin | https://www.nccih.nih.gov/health/milk-thistle</t>
        </is>
      </c>
      <c r="Q61" s="134" t="inlineStr">
        <is>
          <t>Locked in Batch 10 from provisional milk thistle row; linked to compound master record.</t>
        </is>
      </c>
    </row>
    <row r="62" ht="26" customHeight="1" s="76">
      <c r="A62" s="134" t="inlineStr">
        <is>
          <t>peppermint</t>
        </is>
      </c>
      <c r="B62" s="134" t="inlineStr">
        <is>
          <t>Peppermint</t>
        </is>
      </c>
      <c r="C62" s="134" t="inlineStr">
        <is>
          <t>l‑menthol</t>
        </is>
      </c>
      <c r="D62" s="134" t="inlineStr">
        <is>
          <t>l‑menthol</t>
        </is>
      </c>
      <c r="E62" s="134" t="n"/>
      <c r="F62" s="134" t="n"/>
      <c r="G62" s="134" t="inlineStr">
        <is>
          <t>menthol</t>
        </is>
      </c>
      <c r="H62" s="134" t="inlineStr">
        <is>
          <t>menthol</t>
        </is>
      </c>
      <c r="I62" s="134" t="inlineStr">
        <is>
          <t>exact-normalized</t>
        </is>
      </c>
      <c r="J62" s="134" t="inlineStr">
        <is>
          <t>direct</t>
        </is>
      </c>
      <c r="K62" s="134" t="inlineStr">
        <is>
          <t>master-linked</t>
        </is>
      </c>
      <c r="L62" s="134" t="inlineStr">
        <is>
          <t>No</t>
        </is>
      </c>
      <c r="M62" s="134" t="inlineStr">
        <is>
          <t>Yes</t>
        </is>
      </c>
      <c r="N62" s="134" t="inlineStr">
        <is>
          <t>multi-target signaling modulation</t>
        </is>
      </c>
      <c r="O62" s="134" t="inlineStr">
        <is>
          <t>TRPM8 agonism; general or unknown targets</t>
        </is>
      </c>
      <c r="P62" s="134" t="inlineStr">
        <is>
          <t>https://plants.sc.egov.usda.gov/home/search?query=Mentha%20piperita | https://plants.sc.egov.usda.gov/home/search?query=peppermint | https://pmc.ncbi.nlm.nih.gov/articles/PMC3778045/ | https://pmc.ncbi.nlm.nih.gov/articles/PMC8395166/ | https://pubchem.ncbi.nlm.nih.gov/#query=menthol</t>
        </is>
      </c>
      <c r="Q62" s="134" t="inlineStr">
        <is>
          <t>Mapped to existing compound layer record.</t>
        </is>
      </c>
    </row>
    <row r="63" ht="26" customHeight="1" s="76">
      <c r="A63" s="134" t="inlineStr">
        <is>
          <t>peppermint</t>
        </is>
      </c>
      <c r="B63" s="134" t="inlineStr">
        <is>
          <t>Peppermint</t>
        </is>
      </c>
      <c r="C63" s="134" t="inlineStr">
        <is>
          <t>l‑menthone</t>
        </is>
      </c>
      <c r="D63" s="134" t="inlineStr">
        <is>
          <t>l‑menthone</t>
        </is>
      </c>
      <c r="E63" s="134" t="n"/>
      <c r="F63" s="134" t="n"/>
      <c r="G63" s="134" t="inlineStr">
        <is>
          <t>menthone</t>
        </is>
      </c>
      <c r="H63" s="134" t="inlineStr">
        <is>
          <t>menthone</t>
        </is>
      </c>
      <c r="I63" s="134" t="inlineStr">
        <is>
          <t>exact-normalized</t>
        </is>
      </c>
      <c r="J63" s="134" t="inlineStr">
        <is>
          <t>direct</t>
        </is>
      </c>
      <c r="K63" s="134" t="inlineStr">
        <is>
          <t>master-linked</t>
        </is>
      </c>
      <c r="L63" s="134" t="inlineStr">
        <is>
          <t>No</t>
        </is>
      </c>
      <c r="M63" s="134" t="inlineStr">
        <is>
          <t>Yes</t>
        </is>
      </c>
      <c r="N63" s="134" t="inlineStr">
        <is>
          <t>multi-target signaling modulation</t>
        </is>
      </c>
      <c r="O63" s="134" t="inlineStr">
        <is>
          <t>general or unknown targets</t>
        </is>
      </c>
      <c r="P63" s="134" t="inlineStr">
        <is>
          <t>https://plants.sc.egov.usda.gov/home/search?query=Mentha%20piperita | https://plants.sc.egov.usda.gov/home/search?query=peppermint | https://pubchem.ncbi.nlm.nih.gov/#query=menthone</t>
        </is>
      </c>
      <c r="Q63" s="134" t="inlineStr">
        <is>
          <t>Mapped to existing compound layer record.</t>
        </is>
      </c>
    </row>
    <row r="64" ht="26" customHeight="1" s="76">
      <c r="A64" s="134" t="inlineStr">
        <is>
          <t>peppermint</t>
        </is>
      </c>
      <c r="B64" s="134" t="inlineStr">
        <is>
          <t>Peppermint</t>
        </is>
      </c>
      <c r="C64" s="134" t="inlineStr">
        <is>
          <t>isomenthone</t>
        </is>
      </c>
      <c r="D64" s="134" t="inlineStr">
        <is>
          <t>isomenthone</t>
        </is>
      </c>
      <c r="E64" s="134" t="n"/>
      <c r="F64" s="134" t="n"/>
      <c r="G64" s="134" t="inlineStr">
        <is>
          <t>isomenthone</t>
        </is>
      </c>
      <c r="H64" s="134" t="inlineStr">
        <is>
          <t>isomenthone</t>
        </is>
      </c>
      <c r="I64" s="134" t="inlineStr">
        <is>
          <t>exact-normalized</t>
        </is>
      </c>
      <c r="J64" s="134" t="inlineStr">
        <is>
          <t>direct</t>
        </is>
      </c>
      <c r="K64" s="134" t="inlineStr">
        <is>
          <t>master-linked</t>
        </is>
      </c>
      <c r="L64" s="134" t="inlineStr">
        <is>
          <t>Yes</t>
        </is>
      </c>
      <c r="M64" s="134" t="inlineStr">
        <is>
          <t>Yes</t>
        </is>
      </c>
      <c r="N64" s="134" t="inlineStr">
        <is>
          <t>trp_channel_modulation</t>
        </is>
      </c>
      <c r="O64" s="134" t="inlineStr">
        <is>
          <t>general ion channel modulation</t>
        </is>
      </c>
      <c r="P64" s="134" t="inlineStr">
        <is>
          <t>https://pubchem.ncbi.nlm.nih.gov/compound/Isomenthone</t>
        </is>
      </c>
      <c r="Q64" s="134" t="inlineStr">
        <is>
          <t>Consistency cleanup pass linked row to latest compound master record.</t>
        </is>
      </c>
    </row>
    <row r="65" ht="26" customHeight="1" s="76">
      <c r="A65" s="134" t="inlineStr">
        <is>
          <t>peppermint</t>
        </is>
      </c>
      <c r="B65" s="134" t="inlineStr">
        <is>
          <t>Peppermint</t>
        </is>
      </c>
      <c r="C65" s="134" t="inlineStr">
        <is>
          <t>menthyl acetate</t>
        </is>
      </c>
      <c r="D65" s="134" t="inlineStr">
        <is>
          <t>menthyl acetate</t>
        </is>
      </c>
      <c r="E65" s="134" t="n"/>
      <c r="F65" s="134" t="n"/>
      <c r="G65" s="134" t="inlineStr">
        <is>
          <t>menthyl acetate</t>
        </is>
      </c>
      <c r="H65" s="134" t="inlineStr">
        <is>
          <t>menthyl acetate</t>
        </is>
      </c>
      <c r="I65" s="134" t="inlineStr">
        <is>
          <t>exact-normalized</t>
        </is>
      </c>
      <c r="J65" s="134" t="inlineStr">
        <is>
          <t>direct</t>
        </is>
      </c>
      <c r="K65" s="134" t="inlineStr">
        <is>
          <t>master-linked</t>
        </is>
      </c>
      <c r="L65" s="134" t="inlineStr">
        <is>
          <t>Yes</t>
        </is>
      </c>
      <c r="M65" s="134" t="inlineStr">
        <is>
          <t>Yes</t>
        </is>
      </c>
      <c r="N65" s="134" t="inlineStr">
        <is>
          <t>trp_channel_modulation</t>
        </is>
      </c>
      <c r="O65" s="134" t="inlineStr">
        <is>
          <t>general or unknown targets</t>
        </is>
      </c>
      <c r="P65" s="134" t="inlineStr">
        <is>
          <t>https://pubchem.ncbi.nlm.nih.gov/compound/Menthyl-acetate</t>
        </is>
      </c>
      <c r="Q65" s="134" t="inlineStr">
        <is>
          <t>Consistency cleanup pass linked row to latest compound master record.</t>
        </is>
      </c>
    </row>
    <row r="66" ht="26" customHeight="1" s="76">
      <c r="A66" s="134" t="inlineStr">
        <is>
          <t>peppermint</t>
        </is>
      </c>
      <c r="B66" s="134" t="inlineStr">
        <is>
          <t>Peppermint</t>
        </is>
      </c>
      <c r="C66" s="134" t="inlineStr">
        <is>
          <t>1,8‑cineole (eucalyptol)</t>
        </is>
      </c>
      <c r="D66" s="134" t="inlineStr">
        <is>
          <t>1,8‑cineole</t>
        </is>
      </c>
      <c r="E66" s="134" t="n"/>
      <c r="F66" s="134" t="inlineStr">
        <is>
          <t>eucalyptol</t>
        </is>
      </c>
      <c r="G66" s="134" t="inlineStr">
        <is>
          <t>1,8-cineole</t>
        </is>
      </c>
      <c r="H66" s="134" t="inlineStr">
        <is>
          <t>1,8-cineole</t>
        </is>
      </c>
      <c r="I66" s="134" t="inlineStr">
        <is>
          <t>alias-normalized</t>
        </is>
      </c>
      <c r="J66" s="134" t="inlineStr">
        <is>
          <t>parenthetical-alias</t>
        </is>
      </c>
      <c r="K66" s="134" t="inlineStr">
        <is>
          <t>master-linked</t>
        </is>
      </c>
      <c r="L66" s="134" t="inlineStr">
        <is>
          <t>Yes</t>
        </is>
      </c>
      <c r="M66" s="134" t="inlineStr">
        <is>
          <t>Yes</t>
        </is>
      </c>
      <c r="N66" s="134" t="inlineStr">
        <is>
          <t>inflammatory_pathway_modulation; respiratory_support</t>
        </is>
      </c>
      <c r="O66" s="134" t="inlineStr">
        <is>
          <t>NFkB; cytokine signaling</t>
        </is>
      </c>
      <c r="P66" s="134" t="inlineStr">
        <is>
          <t>https://pubchem.ncbi.nlm.nih.gov/compound/1,8-Cineole</t>
        </is>
      </c>
      <c r="Q66" s="134" t="inlineStr">
        <is>
          <t>Pass 24 relinked former provisional row to canonical 1,8-cineole master record.</t>
        </is>
      </c>
    </row>
    <row r="67" ht="26" customHeight="1" s="76">
      <c r="A67" s="134" t="inlineStr">
        <is>
          <t>peppermint</t>
        </is>
      </c>
      <c r="B67" s="134" t="inlineStr">
        <is>
          <t>Peppermint</t>
        </is>
      </c>
      <c r="C67" s="134" t="inlineStr">
        <is>
          <t>menthofuran</t>
        </is>
      </c>
      <c r="D67" s="134" t="inlineStr">
        <is>
          <t>menthofuran</t>
        </is>
      </c>
      <c r="E67" s="134" t="n"/>
      <c r="F67" s="134" t="n"/>
      <c r="G67" s="134" t="inlineStr">
        <is>
          <t>menthofuran</t>
        </is>
      </c>
      <c r="H67" s="134" t="inlineStr">
        <is>
          <t>menthofuran</t>
        </is>
      </c>
      <c r="I67" s="134" t="inlineStr">
        <is>
          <t>exact-normalized</t>
        </is>
      </c>
      <c r="J67" s="134" t="inlineStr">
        <is>
          <t>direct</t>
        </is>
      </c>
      <c r="K67" s="134" t="inlineStr">
        <is>
          <t>master-linked</t>
        </is>
      </c>
      <c r="L67" s="134" t="inlineStr">
        <is>
          <t>Yes</t>
        </is>
      </c>
      <c r="M67" s="134" t="inlineStr">
        <is>
          <t>Yes</t>
        </is>
      </c>
      <c r="N67" s="134" t="inlineStr">
        <is>
          <t>hepatotoxicity_risk; metabolic_activation</t>
        </is>
      </c>
      <c r="O67" s="134" t="inlineStr">
        <is>
          <t>CYP-mediated metabolism; reactive metabolite formation</t>
        </is>
      </c>
      <c r="P67" s="134" t="inlineStr">
        <is>
          <t>https://pubchem.ncbi.nlm.nih.gov/compound/Menthofuran</t>
        </is>
      </c>
      <c r="Q67" s="134" t="inlineStr">
        <is>
          <t>Pass 24 relinked former provisional row to canonical menthofuran master record.</t>
        </is>
      </c>
    </row>
    <row r="68" ht="26" customHeight="1" s="76">
      <c r="A68" s="134" t="inlineStr">
        <is>
          <t>peppermint</t>
        </is>
      </c>
      <c r="B68" s="134" t="inlineStr">
        <is>
          <t>Peppermint</t>
        </is>
      </c>
      <c r="C68" s="134" t="inlineStr">
        <is>
          <t>limonene</t>
        </is>
      </c>
      <c r="D68" s="134" t="inlineStr">
        <is>
          <t>limonene</t>
        </is>
      </c>
      <c r="E68" s="134" t="n"/>
      <c r="F68" s="134" t="n"/>
      <c r="G68" s="134" t="inlineStr">
        <is>
          <t>limonene</t>
        </is>
      </c>
      <c r="H68" s="134" t="inlineStr">
        <is>
          <t>limonene</t>
        </is>
      </c>
      <c r="I68" s="134" t="inlineStr">
        <is>
          <t>exact-normalized</t>
        </is>
      </c>
      <c r="J68" s="134" t="inlineStr">
        <is>
          <t>direct</t>
        </is>
      </c>
      <c r="K68" s="134" t="inlineStr">
        <is>
          <t>master-linked</t>
        </is>
      </c>
      <c r="L68" s="134" t="inlineStr">
        <is>
          <t>No</t>
        </is>
      </c>
      <c r="M68" s="134" t="inlineStr">
        <is>
          <t>Yes</t>
        </is>
      </c>
      <c r="N68" s="134" t="inlineStr">
        <is>
          <t>multi-target signaling modulation</t>
        </is>
      </c>
      <c r="O68" s="134" t="inlineStr">
        <is>
          <t>endocannabinoid_modulation; general or unknown targets</t>
        </is>
      </c>
      <c r="P68" s="134" t="inlineStr">
        <is>
          <t>https://plants.sc.egov.usda.gov/home/search?query=Agastache%20foeniculum | https://plants.sc.egov.usda.gov/home/search?query=Bursera%20graveolens | https://plants.sc.egov.usda.gov/home/search?query=Citrus%20aurantium | https://plants.sc.egov.usda.gov/home/search?query=Citrus%20limon | https://plants.sc.egov.usda.gov/home/search?query=Juniperus%20sibirica | https://plants.sc.egov.usda.gov/home/search?query=Lippia%20alba | https://plants.sc.egov.usda.gov/home/search?query=cannabis%20sativa | https://pubchem.ncbi.nlm.nih.gov/#query=limonene</t>
        </is>
      </c>
      <c r="Q68" s="134" t="inlineStr">
        <is>
          <t>Mapped to existing compound layer record.</t>
        </is>
      </c>
    </row>
    <row r="69" ht="26" customHeight="1" s="76">
      <c r="A69" s="134" t="inlineStr">
        <is>
          <t>rhodiola-rosea</t>
        </is>
      </c>
      <c r="B69" s="134" t="inlineStr">
        <is>
          <t>Rhodiola Rosea</t>
        </is>
      </c>
      <c r="C69" s="134" t="inlineStr">
        <is>
          <t>rosavin</t>
        </is>
      </c>
      <c r="D69" s="134" t="inlineStr">
        <is>
          <t>rosavin</t>
        </is>
      </c>
      <c r="E69" s="134" t="n"/>
      <c r="F69" s="134" t="n"/>
      <c r="G69" s="134" t="inlineStr">
        <is>
          <t>rosavin</t>
        </is>
      </c>
      <c r="H69" s="134" t="inlineStr">
        <is>
          <t>rosavin</t>
        </is>
      </c>
      <c r="I69" s="134" t="inlineStr">
        <is>
          <t>exact-normalized</t>
        </is>
      </c>
      <c r="J69" s="134" t="inlineStr">
        <is>
          <t>direct</t>
        </is>
      </c>
      <c r="K69" s="134" t="inlineStr">
        <is>
          <t>master-linked</t>
        </is>
      </c>
      <c r="L69" s="134" t="inlineStr">
        <is>
          <t>Yes</t>
        </is>
      </c>
      <c r="M69" s="134" t="inlineStr">
        <is>
          <t>Yes</t>
        </is>
      </c>
      <c r="N69" s="134" t="inlineStr">
        <is>
          <t>adaptogen; serotonergic; dopaminergic</t>
        </is>
      </c>
      <c r="O69" s="134" t="inlineStr">
        <is>
          <t>HPA-axis modulation; monoamine signaling</t>
        </is>
      </c>
      <c r="P69" s="134" t="inlineStr">
        <is>
          <t>PubMed Rhodiola literature; PubChem</t>
        </is>
      </c>
      <c r="Q69" s="134" t="inlineStr">
        <is>
          <t>Locked in Batch 2.</t>
        </is>
      </c>
    </row>
    <row r="70" ht="26" customHeight="1" s="76">
      <c r="A70" s="134" t="inlineStr">
        <is>
          <t>rhodiola-rosea</t>
        </is>
      </c>
      <c r="B70" s="134" t="inlineStr">
        <is>
          <t>Rhodiola Rosea</t>
        </is>
      </c>
      <c r="C70" s="134" t="inlineStr">
        <is>
          <t>rosarin</t>
        </is>
      </c>
      <c r="D70" s="134" t="inlineStr">
        <is>
          <t>rosarin</t>
        </is>
      </c>
      <c r="E70" s="134" t="n"/>
      <c r="F70" s="134" t="n"/>
      <c r="G70" s="134" t="inlineStr">
        <is>
          <t>rosarin</t>
        </is>
      </c>
      <c r="H70" s="134" t="inlineStr">
        <is>
          <t>rosarin</t>
        </is>
      </c>
      <c r="I70" s="134" t="inlineStr">
        <is>
          <t>exact-normalized</t>
        </is>
      </c>
      <c r="J70" s="134" t="inlineStr">
        <is>
          <t>direct</t>
        </is>
      </c>
      <c r="K70" s="134" t="inlineStr">
        <is>
          <t>master-linked</t>
        </is>
      </c>
      <c r="L70" s="134" t="inlineStr">
        <is>
          <t>Yes</t>
        </is>
      </c>
      <c r="M70" s="134" t="inlineStr">
        <is>
          <t>Yes</t>
        </is>
      </c>
      <c r="N70" s="134" t="inlineStr">
        <is>
          <t>adaptogen; antioxidant; multi-target signaling modulation</t>
        </is>
      </c>
      <c r="O70" s="134" t="inlineStr">
        <is>
          <t>unresolved at single-compound level</t>
        </is>
      </c>
      <c r="P70" s="134" t="inlineStr">
        <is>
          <t>https://pubchem.ncbi.nlm.nih.gov/compound/Rosarin | https://pubmed.ncbi.nlm.nih.gov/?term=rosarin+rhodiola | https://www.nccih.nih.gov/health/rhodiola</t>
        </is>
      </c>
      <c r="Q70" s="134" t="inlineStr">
        <is>
          <t>Locked in Batch 3 and linked to compound master record.</t>
        </is>
      </c>
    </row>
    <row r="71" ht="26" customHeight="1" s="76">
      <c r="A71" s="134" t="inlineStr">
        <is>
          <t>rhodiola-rosea</t>
        </is>
      </c>
      <c r="B71" s="134" t="inlineStr">
        <is>
          <t>Rhodiola Rosea</t>
        </is>
      </c>
      <c r="C71" s="134" t="inlineStr">
        <is>
          <t>rosin</t>
        </is>
      </c>
      <c r="D71" s="134" t="inlineStr">
        <is>
          <t>rosin</t>
        </is>
      </c>
      <c r="E71" s="134" t="n"/>
      <c r="F71" s="134" t="n"/>
      <c r="G71" s="134" t="inlineStr">
        <is>
          <t>rosin</t>
        </is>
      </c>
      <c r="H71" s="134" t="inlineStr">
        <is>
          <t>rosin</t>
        </is>
      </c>
      <c r="I71" s="134" t="inlineStr">
        <is>
          <t>exact-normalized</t>
        </is>
      </c>
      <c r="J71" s="134" t="inlineStr">
        <is>
          <t>direct</t>
        </is>
      </c>
      <c r="K71" s="134" t="inlineStr">
        <is>
          <t>master-linked</t>
        </is>
      </c>
      <c r="L71" s="134" t="inlineStr">
        <is>
          <t>Yes</t>
        </is>
      </c>
      <c r="M71" s="134" t="inlineStr">
        <is>
          <t>Yes</t>
        </is>
      </c>
      <c r="N71" s="134" t="inlineStr">
        <is>
          <t>adaptogen; antioxidant; multi-target signaling modulation</t>
        </is>
      </c>
      <c r="O71" s="134" t="inlineStr">
        <is>
          <t>unresolved at single-compound level</t>
        </is>
      </c>
      <c r="P71" s="134" t="inlineStr">
        <is>
          <t>https://pubchem.ncbi.nlm.nih.gov/?term=rosin+rhodiola | https://pubmed.ncbi.nlm.nih.gov/?term=rosin+rhodiola | https://www.nccih.nih.gov/health/rhodiola</t>
        </is>
      </c>
      <c r="Q71" s="134" t="inlineStr">
        <is>
          <t>Locked in Batch 3 and linked to compound master record.</t>
        </is>
      </c>
    </row>
    <row r="72" ht="26" customHeight="1" s="76">
      <c r="A72" s="134" t="inlineStr">
        <is>
          <t>rhodiola-rosea</t>
        </is>
      </c>
      <c r="B72" s="134" t="inlineStr">
        <is>
          <t>Rhodiola Rosea</t>
        </is>
      </c>
      <c r="C72" s="134" t="inlineStr">
        <is>
          <t>salidroside</t>
        </is>
      </c>
      <c r="D72" s="134" t="inlineStr">
        <is>
          <t>salidroside</t>
        </is>
      </c>
      <c r="E72" s="134" t="n"/>
      <c r="F72" s="134" t="n"/>
      <c r="G72" s="134" t="inlineStr">
        <is>
          <t>salidroside</t>
        </is>
      </c>
      <c r="H72" s="134" t="inlineStr">
        <is>
          <t>salidroside</t>
        </is>
      </c>
      <c r="I72" s="134" t="inlineStr">
        <is>
          <t>exact-normalized</t>
        </is>
      </c>
      <c r="J72" s="134" t="inlineStr">
        <is>
          <t>direct</t>
        </is>
      </c>
      <c r="K72" s="134" t="inlineStr">
        <is>
          <t>master-linked</t>
        </is>
      </c>
      <c r="L72" s="134" t="inlineStr">
        <is>
          <t>Yes</t>
        </is>
      </c>
      <c r="M72" s="134" t="inlineStr">
        <is>
          <t>Yes</t>
        </is>
      </c>
      <c r="N72" s="134" t="inlineStr">
        <is>
          <t>adaptogen; antioxidant; multi-target signaling modulation</t>
        </is>
      </c>
      <c r="O72" s="134" t="inlineStr">
        <is>
          <t>AMPK activation; Nrf2/ARE pathway activation; PI3K/Akt pathway modulation</t>
        </is>
      </c>
      <c r="P72" s="134" t="inlineStr">
        <is>
          <t>PubMed/PMC salidroside reviews; PubChem</t>
        </is>
      </c>
      <c r="Q72" s="134" t="inlineStr">
        <is>
          <t>Locked in Batch 2.</t>
        </is>
      </c>
    </row>
    <row r="73" ht="26" customHeight="1" s="76">
      <c r="A73" s="134" t="inlineStr">
        <is>
          <t>rhodiola-rosea</t>
        </is>
      </c>
      <c r="B73" s="134" t="inlineStr">
        <is>
          <t>Rhodiola Rosea</t>
        </is>
      </c>
      <c r="C73" s="134" t="inlineStr">
        <is>
          <t>tyrosol</t>
        </is>
      </c>
      <c r="D73" s="134" t="inlineStr">
        <is>
          <t>tyrosol</t>
        </is>
      </c>
      <c r="E73" s="134" t="n"/>
      <c r="F73" s="134" t="n"/>
      <c r="G73" s="134" t="inlineStr">
        <is>
          <t>tyrosol</t>
        </is>
      </c>
      <c r="H73" s="134" t="inlineStr">
        <is>
          <t>tyrosol</t>
        </is>
      </c>
      <c r="I73" s="134" t="inlineStr">
        <is>
          <t>exact-normalized</t>
        </is>
      </c>
      <c r="J73" s="134" t="inlineStr">
        <is>
          <t>direct</t>
        </is>
      </c>
      <c r="K73" s="134" t="inlineStr">
        <is>
          <t>master-linked</t>
        </is>
      </c>
      <c r="L73" s="134" t="inlineStr">
        <is>
          <t>Yes</t>
        </is>
      </c>
      <c r="M73" s="134" t="inlineStr">
        <is>
          <t>Yes</t>
        </is>
      </c>
      <c r="N73" s="134" t="inlineStr">
        <is>
          <t>antioxidant; cytoprotective; multi-target signaling modulation</t>
        </is>
      </c>
      <c r="O73" s="134" t="inlineStr">
        <is>
          <t>Nrf2; HO-1; oxidative-stress response pathways</t>
        </is>
      </c>
      <c r="P73" s="134" t="inlineStr">
        <is>
          <t>https://pubchem.ncbi.nlm.nih.gov/compound/Tyrosol | https://pubmed.ncbi.nlm.nih.gov/?term=tyrosol+absorption</t>
        </is>
      </c>
      <c r="Q73" s="134" t="inlineStr">
        <is>
          <t>Locked in Batch 3 and linked to compound master record.</t>
        </is>
      </c>
    </row>
    <row r="74" ht="26" customHeight="1" s="76">
      <c r="A74" s="134" t="inlineStr">
        <is>
          <t>saw-palmetto</t>
        </is>
      </c>
      <c r="B74" s="134" t="inlineStr">
        <is>
          <t>Saw Palmetto</t>
        </is>
      </c>
      <c r="C74" s="134" t="inlineStr">
        <is>
          <t>fatty acids</t>
        </is>
      </c>
      <c r="D74" s="134" t="inlineStr">
        <is>
          <t>fatty acids</t>
        </is>
      </c>
      <c r="E74" s="134" t="n"/>
      <c r="F74" s="134" t="n"/>
      <c r="G74" s="134" t="n"/>
      <c r="H74" s="134" t="n"/>
      <c r="I74" s="134" t="inlineStr">
        <is>
          <t>no-master-match</t>
        </is>
      </c>
      <c r="J74" s="134" t="inlineStr">
        <is>
          <t>direct</t>
        </is>
      </c>
      <c r="K74" s="134" t="inlineStr">
        <is>
          <t>broad-class-retained</t>
        </is>
      </c>
      <c r="L74" s="134" t="inlineStr">
        <is>
          <t>No</t>
        </is>
      </c>
      <c r="M74" s="134" t="inlineStr">
        <is>
          <t>No</t>
        </is>
      </c>
      <c r="N74" s="134" t="n"/>
      <c r="O74" s="134" t="n"/>
      <c r="P74" s="134" t="n"/>
      <c r="Q74" s="134" t="inlineStr">
        <is>
          <t>Broad class retained for context; not treated as atomic compound.</t>
        </is>
      </c>
    </row>
    <row r="75" ht="26" customHeight="1" s="76">
      <c r="A75" s="134" t="inlineStr">
        <is>
          <t>saw-palmetto</t>
        </is>
      </c>
      <c r="B75" s="134" t="inlineStr">
        <is>
          <t>Saw Palmetto</t>
        </is>
      </c>
      <c r="C75" s="134" t="inlineStr">
        <is>
          <t>phytosterols (beta-sitosterol)</t>
        </is>
      </c>
      <c r="D75" s="134" t="inlineStr">
        <is>
          <t>beta-sitosterol</t>
        </is>
      </c>
      <c r="E75" s="134" t="inlineStr">
        <is>
          <t>phytosterols</t>
        </is>
      </c>
      <c r="F75" s="134" t="n"/>
      <c r="G75" s="134" t="inlineStr">
        <is>
          <t>beta-sitosterol</t>
        </is>
      </c>
      <c r="H75" s="134" t="inlineStr">
        <is>
          <t>beta-sitosterol</t>
        </is>
      </c>
      <c r="I75" s="134" t="inlineStr">
        <is>
          <t>class-to-specific</t>
        </is>
      </c>
      <c r="J75" s="134" t="inlineStr">
        <is>
          <t>direct</t>
        </is>
      </c>
      <c r="K75" s="134" t="inlineStr">
        <is>
          <t>master-linked</t>
        </is>
      </c>
      <c r="L75" s="134" t="inlineStr">
        <is>
          <t>Yes</t>
        </is>
      </c>
      <c r="M75" s="134" t="inlineStr">
        <is>
          <t>Yes</t>
        </is>
      </c>
      <c r="N75" s="134" t="inlineStr">
        <is>
          <t>anti-inflammatory; hormonal</t>
        </is>
      </c>
      <c r="O75" s="134" t="inlineStr">
        <is>
          <t>5-alpha-reductase-related biology; inflammatory signaling</t>
        </is>
      </c>
      <c r="P75" s="134" t="inlineStr">
        <is>
          <t>PubMed beta-sitosterol literature; PubChem</t>
        </is>
      </c>
      <c r="Q75" s="134" t="inlineStr">
        <is>
          <t>Locked in Batch 2 from class-to-specific mapping.</t>
        </is>
      </c>
    </row>
    <row r="76" ht="26" customHeight="1" s="76">
      <c r="A76" s="134" t="inlineStr">
        <is>
          <t>st-johns-wort</t>
        </is>
      </c>
      <c r="B76" s="134" t="inlineStr">
        <is>
          <t>St Johns Wort</t>
        </is>
      </c>
      <c r="C76" s="134" t="inlineStr">
        <is>
          <t>hyperforin</t>
        </is>
      </c>
      <c r="D76" s="134" t="inlineStr">
        <is>
          <t>hyperforin</t>
        </is>
      </c>
      <c r="E76" s="134" t="n"/>
      <c r="F76" s="134" t="n"/>
      <c r="G76" s="134" t="inlineStr">
        <is>
          <t>hyperforin</t>
        </is>
      </c>
      <c r="H76" s="134" t="inlineStr">
        <is>
          <t>hyperforin</t>
        </is>
      </c>
      <c r="I76" s="134" t="inlineStr">
        <is>
          <t>exact-normalized</t>
        </is>
      </c>
      <c r="J76" s="134" t="inlineStr">
        <is>
          <t>direct</t>
        </is>
      </c>
      <c r="K76" s="134" t="inlineStr">
        <is>
          <t>master-linked</t>
        </is>
      </c>
      <c r="L76" s="134" t="inlineStr">
        <is>
          <t>Yes</t>
        </is>
      </c>
      <c r="M76" s="134" t="inlineStr">
        <is>
          <t>Yes</t>
        </is>
      </c>
      <c r="N76" s="134" t="inlineStr">
        <is>
          <t>monoamine reuptake modulation; neuroplasticity modulation; enzyme induction relevance</t>
        </is>
      </c>
      <c r="O76" s="134" t="inlineStr">
        <is>
          <t>TRPC6; serotonin/norepinephrine/dopamine reuptake-related pathways; CYP3A4 induction; P-glycoprotein induction</t>
        </is>
      </c>
      <c r="P76" s="134" t="inlineStr">
        <is>
          <t>https://pubchem.ncbi.nlm.nih.gov/compound/Hyperforin | https://www.ncbi.nlm.nih.gov/books/NBK548880/</t>
        </is>
      </c>
      <c r="Q76" s="134" t="inlineStr">
        <is>
          <t>Refined in Batch 13 and linked to compound master record.</t>
        </is>
      </c>
    </row>
    <row r="77" ht="26" customHeight="1" s="76">
      <c r="A77" s="134" t="inlineStr">
        <is>
          <t>st-johns-wort</t>
        </is>
      </c>
      <c r="B77" s="134" t="inlineStr">
        <is>
          <t>St Johns Wort</t>
        </is>
      </c>
      <c r="C77" s="134" t="inlineStr">
        <is>
          <t>hypericin</t>
        </is>
      </c>
      <c r="D77" s="134" t="inlineStr">
        <is>
          <t>hypericin</t>
        </is>
      </c>
      <c r="E77" s="134" t="n"/>
      <c r="F77" s="134" t="n"/>
      <c r="G77" s="134" t="inlineStr">
        <is>
          <t>hypericin</t>
        </is>
      </c>
      <c r="H77" s="134" t="inlineStr">
        <is>
          <t>hypericin</t>
        </is>
      </c>
      <c r="I77" s="134" t="inlineStr">
        <is>
          <t>exact-normalized</t>
        </is>
      </c>
      <c r="J77" s="134" t="inlineStr">
        <is>
          <t>direct</t>
        </is>
      </c>
      <c r="K77" s="134" t="inlineStr">
        <is>
          <t>master-linked</t>
        </is>
      </c>
      <c r="L77" s="134" t="inlineStr">
        <is>
          <t>Yes</t>
        </is>
      </c>
      <c r="M77" s="134" t="inlineStr">
        <is>
          <t>Yes</t>
        </is>
      </c>
      <c r="N77" s="134" t="inlineStr">
        <is>
          <t>photodynamic activity; redox modulation</t>
        </is>
      </c>
      <c r="O77" s="134" t="inlineStr">
        <is>
          <t>photosensitization-related pathways; oxidative-stress signaling</t>
        </is>
      </c>
      <c r="P77" s="134" t="inlineStr">
        <is>
          <t>https://pubchem.ncbi.nlm.nih.gov/compound/Hypericin | https://www.ncbi.nlm.nih.gov/books/NBK548880/</t>
        </is>
      </c>
      <c r="Q77" s="134" t="inlineStr">
        <is>
          <t>Refined in Batch 13 and linked to compound master record.</t>
        </is>
      </c>
    </row>
    <row r="78" ht="26" customHeight="1" s="76">
      <c r="A78" s="134" t="inlineStr">
        <is>
          <t>st-johns-wort</t>
        </is>
      </c>
      <c r="B78" s="134" t="inlineStr">
        <is>
          <t>St Johns Wort</t>
        </is>
      </c>
      <c r="C78" s="134" t="inlineStr">
        <is>
          <t>pseudohypericin</t>
        </is>
      </c>
      <c r="D78" s="134" t="inlineStr">
        <is>
          <t>pseudohypericin</t>
        </is>
      </c>
      <c r="E78" s="134" t="n"/>
      <c r="F78" s="134" t="n"/>
      <c r="G78" s="134" t="inlineStr">
        <is>
          <t>pseudohypericin</t>
        </is>
      </c>
      <c r="H78" s="134" t="inlineStr">
        <is>
          <t>pseudohypericin</t>
        </is>
      </c>
      <c r="I78" s="134" t="inlineStr">
        <is>
          <t>exact-normalized</t>
        </is>
      </c>
      <c r="J78" s="134" t="inlineStr">
        <is>
          <t>direct</t>
        </is>
      </c>
      <c r="K78" s="134" t="inlineStr">
        <is>
          <t>master-linked</t>
        </is>
      </c>
      <c r="L78" s="134" t="inlineStr">
        <is>
          <t>Yes</t>
        </is>
      </c>
      <c r="M78" s="134" t="inlineStr">
        <is>
          <t>Yes</t>
        </is>
      </c>
      <c r="N78" s="134" t="inlineStr">
        <is>
          <t>photodynamic activity; redox modulation</t>
        </is>
      </c>
      <c r="O78" s="134" t="inlineStr">
        <is>
          <t>photosensitization-related pathways; oxidative-stress signaling</t>
        </is>
      </c>
      <c r="P78" s="134" t="inlineStr">
        <is>
          <t>https://pubchem.ncbi.nlm.nih.gov/compound/Pseudohypericin | https://www.ncbi.nlm.nih.gov/books/NBK548880/</t>
        </is>
      </c>
      <c r="Q78" s="134" t="inlineStr">
        <is>
          <t>Locked in Batch 13 from provisional St Johns wort row; linked to compound master record.</t>
        </is>
      </c>
    </row>
    <row r="79" ht="26" customHeight="1" s="76">
      <c r="A79" s="134" t="inlineStr">
        <is>
          <t>st-johns-wort</t>
        </is>
      </c>
      <c r="B79" s="134" t="inlineStr">
        <is>
          <t>St Johns Wort</t>
        </is>
      </c>
      <c r="C79" s="134" t="inlineStr">
        <is>
          <t>quercetin</t>
        </is>
      </c>
      <c r="D79" s="134" t="inlineStr">
        <is>
          <t>quercetin</t>
        </is>
      </c>
      <c r="E79" s="134" t="n"/>
      <c r="F79" s="134" t="n"/>
      <c r="G79" s="134" t="inlineStr">
        <is>
          <t>quercetin</t>
        </is>
      </c>
      <c r="H79" s="134" t="inlineStr">
        <is>
          <t>quercetin</t>
        </is>
      </c>
      <c r="I79" s="134" t="inlineStr">
        <is>
          <t>exact-normalized</t>
        </is>
      </c>
      <c r="J79" s="134" t="inlineStr">
        <is>
          <t>direct</t>
        </is>
      </c>
      <c r="K79" s="134" t="inlineStr">
        <is>
          <t>master-linked</t>
        </is>
      </c>
      <c r="L79" s="134" t="inlineStr">
        <is>
          <t>No</t>
        </is>
      </c>
      <c r="M79" s="134" t="inlineStr">
        <is>
          <t>Yes</t>
        </is>
      </c>
      <c r="N79" s="134" t="inlineStr">
        <is>
          <t>multi-target signaling modulation; muscarinic receptor interaction</t>
        </is>
      </c>
      <c r="O79" s="134" t="inlineStr">
        <is>
          <t>NF-kB pathway inhibition; Nrf2 pathway activation; cholinergic_modulation; general or unknown targets; xanthine oxidase inhibition</t>
        </is>
      </c>
      <c r="P79" s="134" t="inlineStr">
        <is>
          <t>https://plants.sc.egov.usda.gov/home/search?query=Annona%20muricata | https://plants.sc.egov.usda.gov/home/search?query=Moringa%20oleifera | https://plants.sc.egov.usda.gov/home/search?query=amorpha%20fruticosa | https://plants.sc.egov.usda.gov/home/search?query=hibiscus%20sabdariffa | https://pubchem.ncbi.nlm.nih.gov/#query=quercetin</t>
        </is>
      </c>
      <c r="Q79" s="134" t="inlineStr">
        <is>
          <t>Mapped to existing compound layer record.</t>
        </is>
      </c>
    </row>
    <row r="80" ht="26" customHeight="1" s="76">
      <c r="A80" s="134" t="inlineStr">
        <is>
          <t>st-johns-wort</t>
        </is>
      </c>
      <c r="B80" s="134" t="inlineStr">
        <is>
          <t>St Johns Wort</t>
        </is>
      </c>
      <c r="C80" s="134" t="inlineStr">
        <is>
          <t>rutin</t>
        </is>
      </c>
      <c r="D80" s="134" t="inlineStr">
        <is>
          <t>rutin</t>
        </is>
      </c>
      <c r="E80" s="134" t="n"/>
      <c r="F80" s="134" t="n"/>
      <c r="G80" s="134" t="inlineStr">
        <is>
          <t>rutin</t>
        </is>
      </c>
      <c r="H80" s="134" t="inlineStr">
        <is>
          <t>rutin</t>
        </is>
      </c>
      <c r="I80" s="134" t="inlineStr">
        <is>
          <t>exact-normalized</t>
        </is>
      </c>
      <c r="J80" s="134" t="inlineStr">
        <is>
          <t>direct</t>
        </is>
      </c>
      <c r="K80" s="134" t="inlineStr">
        <is>
          <t>master-linked</t>
        </is>
      </c>
      <c r="L80" s="134" t="inlineStr">
        <is>
          <t>No</t>
        </is>
      </c>
      <c r="M80" s="134" t="inlineStr">
        <is>
          <t>Yes</t>
        </is>
      </c>
      <c r="N80" s="134" t="inlineStr">
        <is>
          <t>multi-target signaling modulation; muscarinic receptor interaction</t>
        </is>
      </c>
      <c r="O80" s="134" t="inlineStr">
        <is>
          <t>cholinergic_modulation; general or unknown targets</t>
        </is>
      </c>
      <c r="P80" s="134" t="inlineStr">
        <is>
          <t>https://plants.sc.egov.usda.gov/home/search?query=Ruta%20chalepensis | https://plants.sc.egov.usda.gov/home/search?query=amorpha%20fruticosa | https://pubchem.ncbi.nlm.nih.gov/#query=rutin</t>
        </is>
      </c>
      <c r="Q80" s="134" t="inlineStr">
        <is>
          <t>Mapped to existing compound layer record.</t>
        </is>
      </c>
    </row>
    <row r="81" ht="26" customHeight="1" s="76">
      <c r="A81" s="134" t="inlineStr">
        <is>
          <t>st-johns-wort</t>
        </is>
      </c>
      <c r="B81" s="134" t="inlineStr">
        <is>
          <t>St Johns Wort</t>
        </is>
      </c>
      <c r="C81" s="134" t="inlineStr">
        <is>
          <t>kaempferol</t>
        </is>
      </c>
      <c r="D81" s="134" t="inlineStr">
        <is>
          <t>kaempferol</t>
        </is>
      </c>
      <c r="E81" s="134" t="n"/>
      <c r="F81" s="134" t="n"/>
      <c r="G81" s="134" t="inlineStr">
        <is>
          <t>kaempferol</t>
        </is>
      </c>
      <c r="H81" s="134" t="inlineStr">
        <is>
          <t>kaempferol</t>
        </is>
      </c>
      <c r="I81" s="134" t="inlineStr">
        <is>
          <t>exact-normalized</t>
        </is>
      </c>
      <c r="J81" s="134" t="inlineStr">
        <is>
          <t>direct</t>
        </is>
      </c>
      <c r="K81" s="134" t="inlineStr">
        <is>
          <t>master-linked</t>
        </is>
      </c>
      <c r="L81" s="134" t="inlineStr">
        <is>
          <t>No</t>
        </is>
      </c>
      <c r="M81" s="134" t="inlineStr">
        <is>
          <t>Yes</t>
        </is>
      </c>
      <c r="N81" s="134" t="inlineStr">
        <is>
          <t>multi-target signaling modulation</t>
        </is>
      </c>
      <c r="O81" s="134" t="inlineStr">
        <is>
          <t>general or unknown targets</t>
        </is>
      </c>
      <c r="P81" s="134" t="inlineStr">
        <is>
          <t>https://plants.sc.egov.usda.gov/home/search?query=Kaempferia%20galanga | https://pubchem.ncbi.nlm.nih.gov/#query=kaempferol</t>
        </is>
      </c>
      <c r="Q81" s="134" t="inlineStr">
        <is>
          <t>Mapped to existing compound layer record.</t>
        </is>
      </c>
    </row>
    <row r="82" ht="26" customHeight="1" s="76">
      <c r="A82" s="134" t="inlineStr">
        <is>
          <t>turmeric</t>
        </is>
      </c>
      <c r="B82" s="134" t="inlineStr">
        <is>
          <t>Turmeric</t>
        </is>
      </c>
      <c r="C82" s="134" t="inlineStr">
        <is>
          <t>demethoxycurcumin</t>
        </is>
      </c>
      <c r="D82" s="134" t="inlineStr">
        <is>
          <t>demethoxycurcumin</t>
        </is>
      </c>
      <c r="E82" s="134" t="n"/>
      <c r="F82" s="134" t="n"/>
      <c r="G82" s="134" t="inlineStr">
        <is>
          <t>demethoxycurcumin</t>
        </is>
      </c>
      <c r="H82" s="134" t="inlineStr">
        <is>
          <t>demethoxycurcumin</t>
        </is>
      </c>
      <c r="I82" s="134" t="inlineStr">
        <is>
          <t>exact-normalized</t>
        </is>
      </c>
      <c r="J82" s="134" t="inlineStr">
        <is>
          <t>direct</t>
        </is>
      </c>
      <c r="K82" s="134" t="inlineStr">
        <is>
          <t>master-linked</t>
        </is>
      </c>
      <c r="L82" s="134" t="inlineStr">
        <is>
          <t>Yes</t>
        </is>
      </c>
      <c r="M82" s="134" t="inlineStr">
        <is>
          <t>Yes</t>
        </is>
      </c>
      <c r="N82" s="134" t="inlineStr">
        <is>
          <t>inflammatory_pathway_modulation; oxidative_stress_modulation</t>
        </is>
      </c>
      <c r="O82" s="134" t="inlineStr">
        <is>
          <t>NFkB; oxidative-stress signaling</t>
        </is>
      </c>
      <c r="P82" s="134" t="inlineStr">
        <is>
          <t>https://pubchem.ncbi.nlm.nih.gov/compound/Demethoxycurcumin</t>
        </is>
      </c>
      <c r="Q82" s="134" t="inlineStr">
        <is>
          <t>Consistency cleanup pass linked row to latest compound master record.</t>
        </is>
      </c>
    </row>
    <row r="83" ht="26" customHeight="1" s="76">
      <c r="A83" s="134" t="inlineStr">
        <is>
          <t>turmeric</t>
        </is>
      </c>
      <c r="B83" s="134" t="inlineStr">
        <is>
          <t>Turmeric</t>
        </is>
      </c>
      <c r="C83" s="134" t="inlineStr">
        <is>
          <t>bisdemethoxycurcumin</t>
        </is>
      </c>
      <c r="D83" s="134" t="inlineStr">
        <is>
          <t>bisdemethoxycurcumin</t>
        </is>
      </c>
      <c r="E83" s="134" t="n"/>
      <c r="F83" s="134" t="n"/>
      <c r="G83" s="134" t="inlineStr">
        <is>
          <t>bisdemethoxycurcumin</t>
        </is>
      </c>
      <c r="H83" s="134" t="inlineStr">
        <is>
          <t>bisdemethoxycurcumin</t>
        </is>
      </c>
      <c r="I83" s="134" t="inlineStr">
        <is>
          <t>exact-normalized</t>
        </is>
      </c>
      <c r="J83" s="134" t="inlineStr">
        <is>
          <t>direct</t>
        </is>
      </c>
      <c r="K83" s="134" t="inlineStr">
        <is>
          <t>master-linked</t>
        </is>
      </c>
      <c r="L83" s="134" t="inlineStr">
        <is>
          <t>Yes</t>
        </is>
      </c>
      <c r="M83" s="134" t="inlineStr">
        <is>
          <t>Yes</t>
        </is>
      </c>
      <c r="N83" s="134" t="inlineStr">
        <is>
          <t>inflammatory_pathway_modulation; oxidative_stress_modulation</t>
        </is>
      </c>
      <c r="O83" s="134" t="inlineStr">
        <is>
          <t>oxidative-stress signaling</t>
        </is>
      </c>
      <c r="P83" s="134" t="inlineStr">
        <is>
          <t>https://pubchem.ncbi.nlm.nih.gov/compound/Bisdemethoxycurcumin</t>
        </is>
      </c>
      <c r="Q83" s="134" t="inlineStr">
        <is>
          <t>Consistency cleanup pass linked row to latest compound master record.</t>
        </is>
      </c>
    </row>
    <row r="84" ht="26" customHeight="1" s="76">
      <c r="A84" s="134" t="inlineStr">
        <is>
          <t>valerian</t>
        </is>
      </c>
      <c r="B84" s="134" t="inlineStr">
        <is>
          <t>Valerian</t>
        </is>
      </c>
      <c r="C84" s="134" t="inlineStr">
        <is>
          <t>valerenic acid</t>
        </is>
      </c>
      <c r="D84" s="134" t="inlineStr">
        <is>
          <t>valerenic acid</t>
        </is>
      </c>
      <c r="E84" s="134" t="n"/>
      <c r="F84" s="134" t="n"/>
      <c r="G84" s="134" t="inlineStr">
        <is>
          <t>valerenic acid</t>
        </is>
      </c>
      <c r="H84" s="134" t="inlineStr">
        <is>
          <t>valerenic acid</t>
        </is>
      </c>
      <c r="I84" s="134" t="inlineStr">
        <is>
          <t>exact-normalized</t>
        </is>
      </c>
      <c r="J84" s="134" t="inlineStr">
        <is>
          <t>direct</t>
        </is>
      </c>
      <c r="K84" s="134" t="inlineStr">
        <is>
          <t>master-linked</t>
        </is>
      </c>
      <c r="L84" s="134" t="inlineStr">
        <is>
          <t>No</t>
        </is>
      </c>
      <c r="M84" s="134" t="inlineStr">
        <is>
          <t>Yes</t>
        </is>
      </c>
      <c r="N84" s="134" t="inlineStr">
        <is>
          <t>GABAergic modulation; multi-target signaling modulation</t>
        </is>
      </c>
      <c r="O84" s="134" t="inlineStr">
        <is>
          <t>gabaergic_modulation; general or unknown targets</t>
        </is>
      </c>
      <c r="P84" s="134" t="inlineStr">
        <is>
          <t>https://plants.sc.egov.usda.gov/home/search?query=Valeriana%20officinalis | https://plants.sc.egov.usda.gov/home/search?query=valerian | https://pubchem.ncbi.nlm.nih.gov/#query=valerenic%20acid</t>
        </is>
      </c>
      <c r="Q84" s="134" t="inlineStr">
        <is>
          <t>Mapped to existing compound layer record.</t>
        </is>
      </c>
    </row>
    <row r="85" ht="26" customHeight="1" s="76">
      <c r="A85" s="134" t="inlineStr">
        <is>
          <t>valerian</t>
        </is>
      </c>
      <c r="B85" s="134" t="inlineStr">
        <is>
          <t>Valerian</t>
        </is>
      </c>
      <c r="C85" s="134" t="inlineStr">
        <is>
          <t>valerenol</t>
        </is>
      </c>
      <c r="D85" s="134" t="inlineStr">
        <is>
          <t>valerenol</t>
        </is>
      </c>
      <c r="E85" s="134" t="n"/>
      <c r="F85" s="134" t="n"/>
      <c r="G85" s="134" t="inlineStr">
        <is>
          <t>valerenol</t>
        </is>
      </c>
      <c r="H85" s="134" t="inlineStr">
        <is>
          <t>valerenol</t>
        </is>
      </c>
      <c r="I85" s="134" t="inlineStr">
        <is>
          <t>exact-normalized</t>
        </is>
      </c>
      <c r="J85" s="134" t="inlineStr">
        <is>
          <t>direct</t>
        </is>
      </c>
      <c r="K85" s="134" t="inlineStr">
        <is>
          <t>master-linked</t>
        </is>
      </c>
      <c r="L85" s="134" t="inlineStr">
        <is>
          <t>No</t>
        </is>
      </c>
      <c r="M85" s="134" t="inlineStr">
        <is>
          <t>Yes</t>
        </is>
      </c>
      <c r="N85" s="134" t="inlineStr">
        <is>
          <t>GABAergic modulation</t>
        </is>
      </c>
      <c r="O85" s="134" t="inlineStr">
        <is>
          <t>gabaergic_modulation</t>
        </is>
      </c>
      <c r="P85" s="134" t="inlineStr">
        <is>
          <t>https://plants.sc.egov.usda.gov/home/search?query=valerian | https://pubchem.ncbi.nlm.nih.gov/#query=valerenol</t>
        </is>
      </c>
      <c r="Q85" s="134" t="inlineStr">
        <is>
          <t>Mapped to existing compound layer record.</t>
        </is>
      </c>
    </row>
    <row r="86" ht="26" customHeight="1" s="76">
      <c r="A86" s="134" t="inlineStr">
        <is>
          <t>valerian</t>
        </is>
      </c>
      <c r="B86" s="134" t="inlineStr">
        <is>
          <t>Valerian</t>
        </is>
      </c>
      <c r="C86" s="134" t="inlineStr">
        <is>
          <t>valerenal</t>
        </is>
      </c>
      <c r="D86" s="134" t="inlineStr">
        <is>
          <t>valerenal</t>
        </is>
      </c>
      <c r="E86" s="134" t="n"/>
      <c r="F86" s="134" t="n"/>
      <c r="G86" s="134" t="inlineStr">
        <is>
          <t>valerenal</t>
        </is>
      </c>
      <c r="H86" s="134" t="inlineStr">
        <is>
          <t>valerenal</t>
        </is>
      </c>
      <c r="I86" s="134" t="inlineStr">
        <is>
          <t>exact-normalized</t>
        </is>
      </c>
      <c r="J86" s="134" t="inlineStr">
        <is>
          <t>direct</t>
        </is>
      </c>
      <c r="K86" s="134" t="inlineStr">
        <is>
          <t>master-linked</t>
        </is>
      </c>
      <c r="L86" s="134" t="inlineStr">
        <is>
          <t>Yes</t>
        </is>
      </c>
      <c r="M86" s="134" t="inlineStr">
        <is>
          <t>Yes</t>
        </is>
      </c>
      <c r="N86" s="134" t="inlineStr">
        <is>
          <t>gaba_a_modulation; sedative</t>
        </is>
      </c>
      <c r="O86" s="134" t="inlineStr">
        <is>
          <t>GABA_A receptor modulation</t>
        </is>
      </c>
      <c r="P86" s="134" t="inlineStr">
        <is>
          <t>https://pubchem.ncbi.nlm.nih.gov/compound/Valerenal</t>
        </is>
      </c>
      <c r="Q86" s="134" t="inlineStr">
        <is>
          <t>Consistency cleanup pass linked row to latest compound master record.</t>
        </is>
      </c>
    </row>
    <row r="87" ht="26" customHeight="1" s="76">
      <c r="A87" s="134" t="inlineStr">
        <is>
          <t>valerian</t>
        </is>
      </c>
      <c r="B87" s="134" t="inlineStr">
        <is>
          <t>Valerian</t>
        </is>
      </c>
      <c r="C87" s="134" t="inlineStr">
        <is>
          <t>valepotriates (valtrate, isovaltrate)</t>
        </is>
      </c>
      <c r="D87" s="134" t="inlineStr">
        <is>
          <t>valtrate</t>
        </is>
      </c>
      <c r="E87" s="134" t="inlineStr">
        <is>
          <t>valepotriates</t>
        </is>
      </c>
      <c r="F87" s="134" t="n"/>
      <c r="G87" s="134" t="inlineStr">
        <is>
          <t>valtrate</t>
        </is>
      </c>
      <c r="H87" s="134" t="inlineStr">
        <is>
          <t>valtrate</t>
        </is>
      </c>
      <c r="I87" s="134" t="inlineStr">
        <is>
          <t>exact-normalized</t>
        </is>
      </c>
      <c r="J87" s="134" t="inlineStr">
        <is>
          <t>parenthetical-specific-list</t>
        </is>
      </c>
      <c r="K87" s="134" t="inlineStr">
        <is>
          <t>master-linked</t>
        </is>
      </c>
      <c r="L87" s="134" t="inlineStr">
        <is>
          <t>Yes</t>
        </is>
      </c>
      <c r="M87" s="134" t="inlineStr">
        <is>
          <t>Yes</t>
        </is>
      </c>
      <c r="N87" s="134" t="inlineStr">
        <is>
          <t>sedative; cytotoxic signaling</t>
        </is>
      </c>
      <c r="O87" s="134" t="inlineStr">
        <is>
          <t>general or unknown targets</t>
        </is>
      </c>
      <c r="P87" s="134" t="inlineStr">
        <is>
          <t>https://pubchem.ncbi.nlm.nih.gov/compound/Valtrate</t>
        </is>
      </c>
      <c r="Q87" s="134" t="inlineStr">
        <is>
          <t>Consistency cleanup pass linked row to latest compound master record.</t>
        </is>
      </c>
    </row>
    <row r="88" ht="26" customHeight="1" s="76">
      <c r="A88" s="134" t="inlineStr">
        <is>
          <t>valerian</t>
        </is>
      </c>
      <c r="B88" s="134" t="inlineStr">
        <is>
          <t>Valerian</t>
        </is>
      </c>
      <c r="C88" s="134" t="inlineStr">
        <is>
          <t>valepotriates (valtrate, isovaltrate)</t>
        </is>
      </c>
      <c r="D88" s="134" t="inlineStr">
        <is>
          <t>isovaltrate</t>
        </is>
      </c>
      <c r="E88" s="134" t="inlineStr">
        <is>
          <t>valepotriates</t>
        </is>
      </c>
      <c r="F88" s="134" t="n"/>
      <c r="G88" s="134" t="inlineStr">
        <is>
          <t>isovaltrate</t>
        </is>
      </c>
      <c r="H88" s="134" t="inlineStr">
        <is>
          <t>isovaltrate</t>
        </is>
      </c>
      <c r="I88" s="134" t="inlineStr">
        <is>
          <t>exact-normalized</t>
        </is>
      </c>
      <c r="J88" s="134" t="inlineStr">
        <is>
          <t>parenthetical-specific-list</t>
        </is>
      </c>
      <c r="K88" s="134" t="inlineStr">
        <is>
          <t>master-linked</t>
        </is>
      </c>
      <c r="L88" s="134" t="inlineStr">
        <is>
          <t>Yes</t>
        </is>
      </c>
      <c r="M88" s="134" t="inlineStr">
        <is>
          <t>Yes</t>
        </is>
      </c>
      <c r="N88" s="134" t="inlineStr">
        <is>
          <t>sedative</t>
        </is>
      </c>
      <c r="O88" s="134" t="inlineStr">
        <is>
          <t>general or unknown targets</t>
        </is>
      </c>
      <c r="P88" s="134" t="inlineStr">
        <is>
          <t>https://pubchem.ncbi.nlm.nih.gov/compound/Isovaltrate</t>
        </is>
      </c>
      <c r="Q88" s="134" t="inlineStr">
        <is>
          <t>Consistency cleanup pass linked row to latest compound master record.</t>
        </is>
      </c>
    </row>
    <row r="89" ht="26" customHeight="1" s="76">
      <c r="A89" s="134" t="inlineStr">
        <is>
          <t>valerian</t>
        </is>
      </c>
      <c r="B89" s="134" t="inlineStr">
        <is>
          <t>Valerian</t>
        </is>
      </c>
      <c r="C89" s="134" t="inlineStr">
        <is>
          <t>sesquiterpenoids</t>
        </is>
      </c>
      <c r="D89" s="134" t="inlineStr">
        <is>
          <t>sesquiterpenoids</t>
        </is>
      </c>
      <c r="E89" s="134" t="n"/>
      <c r="F89" s="134" t="n"/>
      <c r="G89" s="134" t="n"/>
      <c r="H89" s="134" t="n"/>
      <c r="I89" s="134" t="inlineStr">
        <is>
          <t>no-master-match</t>
        </is>
      </c>
      <c r="J89" s="134" t="inlineStr">
        <is>
          <t>direct</t>
        </is>
      </c>
      <c r="K89" s="134" t="inlineStr">
        <is>
          <t>broad-class-retained</t>
        </is>
      </c>
      <c r="L89" s="134" t="inlineStr">
        <is>
          <t>No</t>
        </is>
      </c>
      <c r="M89" s="134" t="inlineStr">
        <is>
          <t>No</t>
        </is>
      </c>
      <c r="N89" s="134" t="n"/>
      <c r="O89" s="134" t="n"/>
      <c r="P89" s="134" t="n"/>
      <c r="Q89" s="134" t="inlineStr">
        <is>
          <t>Broad class retained for context; not treated as atomic compound.</t>
        </is>
      </c>
    </row>
    <row r="90" ht="26" customHeight="1" s="76">
      <c r="A90" s="134" t="inlineStr">
        <is>
          <t>ashwagandha</t>
        </is>
      </c>
      <c r="B90" s="134" t="inlineStr">
        <is>
          <t>Ashwagandha</t>
        </is>
      </c>
      <c r="C90" s="134" t="inlineStr">
        <is>
          <t>withanone</t>
        </is>
      </c>
      <c r="D90" s="134" t="inlineStr">
        <is>
          <t>withanone</t>
        </is>
      </c>
      <c r="E90" s="134" t="n"/>
      <c r="F90" s="134" t="n"/>
      <c r="G90" s="134" t="inlineStr">
        <is>
          <t>withanone</t>
        </is>
      </c>
      <c r="H90" s="134" t="inlineStr">
        <is>
          <t>withanone</t>
        </is>
      </c>
      <c r="I90" s="134" t="inlineStr">
        <is>
          <t>exact-normalized</t>
        </is>
      </c>
      <c r="J90" s="134" t="inlineStr">
        <is>
          <t>direct</t>
        </is>
      </c>
      <c r="K90" s="134" t="inlineStr">
        <is>
          <t>master-linked</t>
        </is>
      </c>
      <c r="L90" s="134" t="inlineStr">
        <is>
          <t>Yes</t>
        </is>
      </c>
      <c r="M90" s="134" t="inlineStr">
        <is>
          <t>Yes</t>
        </is>
      </c>
      <c r="N90" s="134" t="inlineStr">
        <is>
          <t>multi-target signaling modulation; antioxidant</t>
        </is>
      </c>
      <c r="O90" s="134" t="inlineStr">
        <is>
          <t>p53-related stress signaling; oxidative stress pathways; proteostasis-related pathways</t>
        </is>
      </c>
      <c r="P90" s="134" t="inlineStr">
        <is>
          <t>https://pubchem.ncbi.nlm.nih.gov/compound/Withanone | https://pubmed.ncbi.nlm.nih.gov/?term=withanone | https://www.nccih.nih.gov/health/ashwagandha</t>
        </is>
      </c>
      <c r="Q90" s="134" t="inlineStr">
        <is>
          <t>Locked in Batch 4 and linked to compound master record.</t>
        </is>
      </c>
    </row>
    <row r="91">
      <c r="A91" t="inlineStr">
        <is>
          <t>ashwagandha</t>
        </is>
      </c>
      <c r="B91" t="inlineStr">
        <is>
          <t>Ashwagandha</t>
        </is>
      </c>
      <c r="C91" t="inlineStr">
        <is>
          <t>sitoindoside IX</t>
        </is>
      </c>
      <c r="D91" t="inlineStr">
        <is>
          <t>sitoindoside IX</t>
        </is>
      </c>
      <c r="E91" t="inlineStr">
        <is>
          <t>sitoindosides</t>
        </is>
      </c>
      <c r="G91" t="inlineStr">
        <is>
          <t>sitoindoside ix</t>
        </is>
      </c>
      <c r="H91" t="inlineStr">
        <is>
          <t>sitoindoside IX</t>
        </is>
      </c>
      <c r="I91" t="inlineStr">
        <is>
          <t>exact-normalized</t>
        </is>
      </c>
      <c r="J91" t="inlineStr">
        <is>
          <t>direct</t>
        </is>
      </c>
      <c r="K91" t="inlineStr">
        <is>
          <t>master-linked</t>
        </is>
      </c>
      <c r="L91" t="inlineStr">
        <is>
          <t>Yes</t>
        </is>
      </c>
      <c r="M91" t="inlineStr">
        <is>
          <t>Yes</t>
        </is>
      </c>
      <c r="N91" t="inlineStr">
        <is>
          <t>neuroprotective; immunomodulatory; multi-target signaling modulation</t>
        </is>
      </c>
      <c r="O91" t="inlineStr">
        <is>
          <t>unresolved at isolated-compound level</t>
        </is>
      </c>
      <c r="P91" t="inlineStr">
        <is>
          <t>https://pubchem.ncbi.nlm.nih.gov/compound/Sitoindoside-IX | https://pubmed.ncbi.nlm.nih.gov/?term=sitoindoside+IX | https://www.nccih.nih.gov/health/ashwagandha</t>
        </is>
      </c>
      <c r="Q91" t="inlineStr">
        <is>
          <t>Locked in Batch 4 and linked to compound master record; split from generic sitoindosides.</t>
        </is>
      </c>
    </row>
    <row r="92">
      <c r="A92" t="inlineStr">
        <is>
          <t>ashwagandha</t>
        </is>
      </c>
      <c r="B92" t="inlineStr">
        <is>
          <t>Ashwagandha</t>
        </is>
      </c>
      <c r="C92" t="inlineStr">
        <is>
          <t>sitoindoside X</t>
        </is>
      </c>
      <c r="D92" t="inlineStr">
        <is>
          <t>sitoindoside X</t>
        </is>
      </c>
      <c r="E92" t="inlineStr">
        <is>
          <t>sitoindosides</t>
        </is>
      </c>
      <c r="G92" t="inlineStr">
        <is>
          <t>sitoindoside x</t>
        </is>
      </c>
      <c r="H92" t="inlineStr">
        <is>
          <t>sitoindoside X</t>
        </is>
      </c>
      <c r="I92" t="inlineStr">
        <is>
          <t>exact-normalized</t>
        </is>
      </c>
      <c r="J92" t="inlineStr">
        <is>
          <t>direct</t>
        </is>
      </c>
      <c r="K92" t="inlineStr">
        <is>
          <t>master-linked</t>
        </is>
      </c>
      <c r="L92" t="inlineStr">
        <is>
          <t>Yes</t>
        </is>
      </c>
      <c r="M92" t="inlineStr">
        <is>
          <t>Yes</t>
        </is>
      </c>
      <c r="N92" t="inlineStr">
        <is>
          <t>neuroprotective; adaptogen; multi-target signaling modulation</t>
        </is>
      </c>
      <c r="O92" t="inlineStr">
        <is>
          <t>unresolved at isolated-compound level</t>
        </is>
      </c>
      <c r="P92" t="inlineStr">
        <is>
          <t>https://pubchem.ncbi.nlm.nih.gov/?term=sitoindoside+X | https://pubmed.ncbi.nlm.nih.gov/?term=sitoindoside+X | https://www.nccih.nih.gov/health/ashwagandha</t>
        </is>
      </c>
      <c r="Q92" t="inlineStr">
        <is>
          <t>Locked in Batch 4 and linked to compound master record; split from generic sitoindosides.</t>
        </is>
      </c>
    </row>
    <row r="93">
      <c r="A93" t="inlineStr">
        <is>
          <t>rhodiola-rosea</t>
        </is>
      </c>
      <c r="B93" t="inlineStr">
        <is>
          <t>Rhodiola Rosea</t>
        </is>
      </c>
      <c r="C93" t="inlineStr">
        <is>
          <t>triandrin</t>
        </is>
      </c>
      <c r="D93" t="inlineStr">
        <is>
          <t>triandrin</t>
        </is>
      </c>
      <c r="F93" t="inlineStr">
        <is>
          <t>sachaliside</t>
        </is>
      </c>
      <c r="G93" t="inlineStr">
        <is>
          <t>triandrin</t>
        </is>
      </c>
      <c r="H93" t="inlineStr">
        <is>
          <t>triandrin</t>
        </is>
      </c>
      <c r="I93" t="inlineStr">
        <is>
          <t>exact-normalized</t>
        </is>
      </c>
      <c r="J93" t="inlineStr">
        <is>
          <t>direct</t>
        </is>
      </c>
      <c r="K93" t="inlineStr">
        <is>
          <t>master-linked</t>
        </is>
      </c>
      <c r="L93" t="inlineStr">
        <is>
          <t>Yes</t>
        </is>
      </c>
      <c r="M93" t="inlineStr">
        <is>
          <t>Yes</t>
        </is>
      </c>
      <c r="N93" t="inlineStr">
        <is>
          <t>adaptogen; multi-target signaling modulation</t>
        </is>
      </c>
      <c r="O93" t="inlineStr">
        <is>
          <t>cAMP signaling; PLC signaling; GPCR-related stress-response signaling</t>
        </is>
      </c>
      <c r="P93" t="inlineStr">
        <is>
          <t>https://pubchem.ncbi.nlm.nih.gov/?term=triandrin | https://pubmed.ncbi.nlm.nih.gov/?term=triandrin+rhodiola | https://www.nccih.nih.gov/health/rhodiola</t>
        </is>
      </c>
      <c r="Q93" t="inlineStr">
        <is>
          <t>Locked in Batch 4 and linked to compound master record; normalize alias with sachaliside.</t>
        </is>
      </c>
    </row>
    <row r="94">
      <c r="A94" t="inlineStr">
        <is>
          <t>american-skullcap</t>
        </is>
      </c>
      <c r="B94" t="inlineStr">
        <is>
          <t>American Skullcap</t>
        </is>
      </c>
      <c r="C94" t="inlineStr">
        <is>
          <t>baicalin</t>
        </is>
      </c>
      <c r="D94" t="inlineStr">
        <is>
          <t>baicalin</t>
        </is>
      </c>
      <c r="G94" t="inlineStr">
        <is>
          <t>baicalin</t>
        </is>
      </c>
      <c r="H94" t="inlineStr">
        <is>
          <t>baicalin</t>
        </is>
      </c>
      <c r="I94" t="inlineStr">
        <is>
          <t>exact-normalized</t>
        </is>
      </c>
      <c r="J94" t="inlineStr">
        <is>
          <t>direct</t>
        </is>
      </c>
      <c r="K94" t="inlineStr">
        <is>
          <t>master-linked</t>
        </is>
      </c>
      <c r="L94" t="inlineStr">
        <is>
          <t>Yes</t>
        </is>
      </c>
      <c r="M94" t="inlineStr">
        <is>
          <t>Yes</t>
        </is>
      </c>
      <c r="N94" t="inlineStr">
        <is>
          <t>gabaergic; anti-inflammatory</t>
        </is>
      </c>
      <c r="O94" t="inlineStr">
        <is>
          <t>gabaergic_modulation; inflammatory_pathway_modulation</t>
        </is>
      </c>
      <c r="P94" t="inlineStr">
        <is>
          <t>https://plants.sc.egov.usda.gov/home/search?query=Scutellaria%20lateriflora | https://pubchem.ncbi.nlm.nih.gov/compound/Baicalin</t>
        </is>
      </c>
      <c r="Q94" t="inlineStr">
        <is>
          <t>Mapped during Pass 64 monograph expansion.</t>
        </is>
      </c>
    </row>
    <row r="95">
      <c r="A95" t="inlineStr">
        <is>
          <t>american-skullcap</t>
        </is>
      </c>
      <c r="B95" t="inlineStr">
        <is>
          <t>American Skullcap</t>
        </is>
      </c>
      <c r="C95" t="inlineStr">
        <is>
          <t>baicalein</t>
        </is>
      </c>
      <c r="D95" t="inlineStr">
        <is>
          <t>baicalein</t>
        </is>
      </c>
      <c r="G95" t="inlineStr">
        <is>
          <t>baicalein</t>
        </is>
      </c>
      <c r="H95" t="inlineStr">
        <is>
          <t>baicalein</t>
        </is>
      </c>
      <c r="I95" t="inlineStr">
        <is>
          <t>exact-normalized</t>
        </is>
      </c>
      <c r="J95" t="inlineStr">
        <is>
          <t>direct</t>
        </is>
      </c>
      <c r="K95" t="inlineStr">
        <is>
          <t>master-linked</t>
        </is>
      </c>
      <c r="L95" t="inlineStr">
        <is>
          <t>Yes</t>
        </is>
      </c>
      <c r="M95" t="inlineStr">
        <is>
          <t>Yes</t>
        </is>
      </c>
      <c r="N95" t="inlineStr">
        <is>
          <t>gabaergic; antioxidant</t>
        </is>
      </c>
      <c r="O95" t="inlineStr">
        <is>
          <t>gabaergic_modulation; oxidative_stress_pathways</t>
        </is>
      </c>
      <c r="P95" t="inlineStr">
        <is>
          <t>https://plants.sc.egov.usda.gov/home/search?query=Scutellaria%20lateriflora | https://pubchem.ncbi.nlm.nih.gov/compound/Baicalein</t>
        </is>
      </c>
      <c r="Q95" t="inlineStr">
        <is>
          <t>Mapped during Pass 64 monograph expansion.</t>
        </is>
      </c>
    </row>
    <row r="96">
      <c r="A96" t="inlineStr">
        <is>
          <t>american-skullcap</t>
        </is>
      </c>
      <c r="B96" t="inlineStr">
        <is>
          <t>American Skullcap</t>
        </is>
      </c>
      <c r="C96" t="inlineStr">
        <is>
          <t>scutellarin</t>
        </is>
      </c>
      <c r="D96" t="inlineStr">
        <is>
          <t>scutellarin</t>
        </is>
      </c>
      <c r="G96" t="inlineStr">
        <is>
          <t>scutellarin</t>
        </is>
      </c>
      <c r="H96" t="inlineStr">
        <is>
          <t>scutellarin</t>
        </is>
      </c>
      <c r="I96" t="inlineStr">
        <is>
          <t>exact-normalized</t>
        </is>
      </c>
      <c r="J96" t="inlineStr">
        <is>
          <t>direct</t>
        </is>
      </c>
      <c r="K96" t="inlineStr">
        <is>
          <t>master-linked</t>
        </is>
      </c>
      <c r="L96" t="inlineStr">
        <is>
          <t>Yes</t>
        </is>
      </c>
      <c r="M96" t="inlineStr">
        <is>
          <t>Yes</t>
        </is>
      </c>
      <c r="N96" t="inlineStr">
        <is>
          <t>antioxidant; neuroprotective</t>
        </is>
      </c>
      <c r="O96" t="inlineStr">
        <is>
          <t>oxidative_stress_pathways; neuroprotective_signaling</t>
        </is>
      </c>
      <c r="P96" t="inlineStr">
        <is>
          <t>https://plants.sc.egov.usda.gov/home/search?query=Scutellaria%20lateriflora | https://pubchem.ncbi.nlm.nih.gov/#query=scutellarin</t>
        </is>
      </c>
      <c r="Q96" t="inlineStr">
        <is>
          <t>Mapped during Pass 64 monograph expansion.</t>
        </is>
      </c>
    </row>
    <row r="97">
      <c r="A97" t="inlineStr">
        <is>
          <t>motherwort</t>
        </is>
      </c>
      <c r="B97" t="inlineStr">
        <is>
          <t>Motherwort</t>
        </is>
      </c>
      <c r="C97" t="inlineStr">
        <is>
          <t>leonurine</t>
        </is>
      </c>
      <c r="D97" t="inlineStr">
        <is>
          <t>leonurine</t>
        </is>
      </c>
      <c r="G97" t="inlineStr">
        <is>
          <t>leonurine</t>
        </is>
      </c>
      <c r="H97" t="inlineStr">
        <is>
          <t>leonurine</t>
        </is>
      </c>
      <c r="I97" t="inlineStr">
        <is>
          <t>exact-normalized</t>
        </is>
      </c>
      <c r="J97" t="inlineStr">
        <is>
          <t>direct</t>
        </is>
      </c>
      <c r="K97" t="inlineStr">
        <is>
          <t>master-linked</t>
        </is>
      </c>
      <c r="L97" t="inlineStr">
        <is>
          <t>Yes</t>
        </is>
      </c>
      <c r="M97" t="inlineStr">
        <is>
          <t>Yes</t>
        </is>
      </c>
      <c r="N97" t="inlineStr">
        <is>
          <t>cardiovascular-adjacent; calming</t>
        </is>
      </c>
      <c r="O97" t="inlineStr">
        <is>
          <t>autonomic_signaling; cardiovascular_support</t>
        </is>
      </c>
      <c r="P97" t="inlineStr">
        <is>
          <t>https://plants.sc.egov.usda.gov/home/search?query=Leonurus%20cardiaca | https://pubchem.ncbi.nlm.nih.gov/compound/Leonurine</t>
        </is>
      </c>
      <c r="Q97" t="inlineStr">
        <is>
          <t>Mapped during Pass 64 monograph expansion.</t>
        </is>
      </c>
    </row>
    <row r="98">
      <c r="A98" t="inlineStr">
        <is>
          <t>motherwort</t>
        </is>
      </c>
      <c r="B98" t="inlineStr">
        <is>
          <t>Motherwort</t>
        </is>
      </c>
      <c r="C98" t="inlineStr">
        <is>
          <t>stachydrine</t>
        </is>
      </c>
      <c r="D98" t="inlineStr">
        <is>
          <t>stachydrine</t>
        </is>
      </c>
      <c r="G98" t="inlineStr">
        <is>
          <t>stachydrine</t>
        </is>
      </c>
      <c r="H98" t="inlineStr">
        <is>
          <t>stachydrine</t>
        </is>
      </c>
      <c r="I98" t="inlineStr">
        <is>
          <t>exact-normalized</t>
        </is>
      </c>
      <c r="J98" t="inlineStr">
        <is>
          <t>direct</t>
        </is>
      </c>
      <c r="K98" t="inlineStr">
        <is>
          <t>master-linked</t>
        </is>
      </c>
      <c r="L98" t="inlineStr">
        <is>
          <t>Yes</t>
        </is>
      </c>
      <c r="M98" t="inlineStr">
        <is>
          <t>Yes</t>
        </is>
      </c>
      <c r="N98" t="inlineStr">
        <is>
          <t>smooth-muscle-adjacent; cardiovascular-adjacent</t>
        </is>
      </c>
      <c r="O98" t="inlineStr">
        <is>
          <t>smooth_muscle_related_signaling; cardiovascular_support</t>
        </is>
      </c>
      <c r="P98" t="inlineStr">
        <is>
          <t>https://plants.sc.egov.usda.gov/home/search?query=Leonurus%20cardiaca | https://pubchem.ncbi.nlm.nih.gov/compound/Stachydrine</t>
        </is>
      </c>
      <c r="Q98" t="inlineStr">
        <is>
          <t>Mapped during Pass 64 monograph expansion.</t>
        </is>
      </c>
    </row>
    <row r="99">
      <c r="A99" t="inlineStr">
        <is>
          <t>saffron</t>
        </is>
      </c>
      <c r="B99" t="inlineStr">
        <is>
          <t>Saffron</t>
        </is>
      </c>
      <c r="C99" t="inlineStr">
        <is>
          <t>crocin</t>
        </is>
      </c>
      <c r="D99" t="inlineStr">
        <is>
          <t>crocin</t>
        </is>
      </c>
      <c r="G99" t="inlineStr">
        <is>
          <t>crocin</t>
        </is>
      </c>
      <c r="H99" t="inlineStr">
        <is>
          <t>crocin</t>
        </is>
      </c>
      <c r="I99" t="inlineStr">
        <is>
          <t>exact-normalized</t>
        </is>
      </c>
      <c r="J99" t="inlineStr">
        <is>
          <t>direct</t>
        </is>
      </c>
      <c r="K99" t="inlineStr">
        <is>
          <t>master-linked</t>
        </is>
      </c>
      <c r="L99" t="inlineStr">
        <is>
          <t>Yes</t>
        </is>
      </c>
      <c r="M99" t="inlineStr">
        <is>
          <t>Yes</t>
        </is>
      </c>
      <c r="N99" t="inlineStr">
        <is>
          <t>mood-support; antioxidant</t>
        </is>
      </c>
      <c r="O99" t="inlineStr">
        <is>
          <t>serotonergic_modulation; oxidative_stress_pathways</t>
        </is>
      </c>
      <c r="P99" t="inlineStr">
        <is>
          <t>https://plants.sc.egov.usda.gov/home/search?query=Crocus%20sativus | https://pubchem.ncbi.nlm.nih.gov/#query=crocin</t>
        </is>
      </c>
      <c r="Q99" t="inlineStr">
        <is>
          <t>Mapped during Pass 64 monograph expansion.</t>
        </is>
      </c>
    </row>
    <row r="100">
      <c r="A100" t="inlineStr">
        <is>
          <t>saffron</t>
        </is>
      </c>
      <c r="B100" t="inlineStr">
        <is>
          <t>Saffron</t>
        </is>
      </c>
      <c r="C100" t="inlineStr">
        <is>
          <t>safranal</t>
        </is>
      </c>
      <c r="D100" t="inlineStr">
        <is>
          <t>safranal</t>
        </is>
      </c>
      <c r="G100" t="inlineStr">
        <is>
          <t>safranal</t>
        </is>
      </c>
      <c r="H100" t="inlineStr">
        <is>
          <t>safranal</t>
        </is>
      </c>
      <c r="I100" t="inlineStr">
        <is>
          <t>exact-normalized</t>
        </is>
      </c>
      <c r="J100" t="inlineStr">
        <is>
          <t>direct</t>
        </is>
      </c>
      <c r="K100" t="inlineStr">
        <is>
          <t>master-linked</t>
        </is>
      </c>
      <c r="L100" t="inlineStr">
        <is>
          <t>Yes</t>
        </is>
      </c>
      <c r="M100" t="inlineStr">
        <is>
          <t>Yes</t>
        </is>
      </c>
      <c r="N100" t="inlineStr">
        <is>
          <t>mood-support; neuroprotective</t>
        </is>
      </c>
      <c r="O100" t="inlineStr">
        <is>
          <t>serotonergic_modulation; neuroprotective_signaling</t>
        </is>
      </c>
      <c r="P100" t="inlineStr">
        <is>
          <t>https://plants.sc.egov.usda.gov/home/search?query=Crocus%20sativus | https://pubchem.ncbi.nlm.nih.gov/#query=safranal</t>
        </is>
      </c>
      <c r="Q100" t="inlineStr">
        <is>
          <t>Mapped during Pass 64 monograph expansion.</t>
        </is>
      </c>
    </row>
    <row r="101">
      <c r="A101" t="inlineStr">
        <is>
          <t>saffron</t>
        </is>
      </c>
      <c r="B101" t="inlineStr">
        <is>
          <t>Saffron</t>
        </is>
      </c>
      <c r="C101" t="inlineStr">
        <is>
          <t>picrocrocin</t>
        </is>
      </c>
      <c r="D101" t="inlineStr">
        <is>
          <t>picrocrocin</t>
        </is>
      </c>
      <c r="G101" t="inlineStr">
        <is>
          <t>picrocrocin</t>
        </is>
      </c>
      <c r="H101" t="inlineStr">
        <is>
          <t>picrocrocin</t>
        </is>
      </c>
      <c r="I101" t="inlineStr">
        <is>
          <t>exact-normalized</t>
        </is>
      </c>
      <c r="J101" t="inlineStr">
        <is>
          <t>direct</t>
        </is>
      </c>
      <c r="K101" t="inlineStr">
        <is>
          <t>master-linked</t>
        </is>
      </c>
      <c r="L101" t="inlineStr">
        <is>
          <t>Yes</t>
        </is>
      </c>
      <c r="M101" t="inlineStr">
        <is>
          <t>Yes</t>
        </is>
      </c>
      <c r="N101" t="inlineStr">
        <is>
          <t>sensory-marker; antioxidant-adjacent</t>
        </is>
      </c>
      <c r="O101" t="inlineStr">
        <is>
          <t>oxidative_stress_pathways; unresolved_at_isolated_compound_level</t>
        </is>
      </c>
      <c r="P101" t="inlineStr">
        <is>
          <t>https://plants.sc.egov.usda.gov/home/search?query=Crocus%20sativus | https://pubchem.ncbi.nlm.nih.gov/#query=picrocrocin</t>
        </is>
      </c>
      <c r="Q101" t="inlineStr">
        <is>
          <t>Mapped during Pass 64 monograph expansion.</t>
        </is>
      </c>
    </row>
    <row r="102">
      <c r="A102" t="inlineStr">
        <is>
          <t>licorice</t>
        </is>
      </c>
      <c r="B102" t="inlineStr">
        <is>
          <t>Licorice</t>
        </is>
      </c>
      <c r="C102" t="inlineStr">
        <is>
          <t>glycyrrhizin</t>
        </is>
      </c>
      <c r="D102" t="inlineStr">
        <is>
          <t>glycyrrhizin</t>
        </is>
      </c>
      <c r="G102" t="inlineStr">
        <is>
          <t>glycyrrhizin</t>
        </is>
      </c>
      <c r="H102" t="inlineStr">
        <is>
          <t>glycyrrhizin</t>
        </is>
      </c>
      <c r="I102" t="inlineStr">
        <is>
          <t>exact-normalized</t>
        </is>
      </c>
      <c r="J102" t="inlineStr">
        <is>
          <t>direct</t>
        </is>
      </c>
      <c r="K102" t="inlineStr">
        <is>
          <t>master-linked</t>
        </is>
      </c>
      <c r="L102" t="inlineStr">
        <is>
          <t>Yes</t>
        </is>
      </c>
      <c r="M102" t="inlineStr">
        <is>
          <t>Yes</t>
        </is>
      </c>
      <c r="N102" t="inlineStr">
        <is>
          <t>endocrine-modulating; anti-inflammatory</t>
        </is>
      </c>
      <c r="O102" t="inlineStr">
        <is>
          <t>11beta_HSD2_related; inflammatory_pathway_modulation</t>
        </is>
      </c>
      <c r="P102" t="inlineStr">
        <is>
          <t>https://www.nccih.nih.gov/health/licorice-root | https://pubchem.ncbi.nlm.nih.gov/compound/Glycyrrhizin</t>
        </is>
      </c>
      <c r="Q102" t="inlineStr">
        <is>
          <t>Mapped during Pass 64 monograph expansion.</t>
        </is>
      </c>
    </row>
    <row r="103">
      <c r="A103" t="inlineStr">
        <is>
          <t>licorice</t>
        </is>
      </c>
      <c r="B103" t="inlineStr">
        <is>
          <t>Licorice</t>
        </is>
      </c>
      <c r="C103" t="inlineStr">
        <is>
          <t>liquiritigenin</t>
        </is>
      </c>
      <c r="D103" t="inlineStr">
        <is>
          <t>liquiritigenin</t>
        </is>
      </c>
      <c r="G103" t="inlineStr">
        <is>
          <t>liquiritigenin</t>
        </is>
      </c>
      <c r="H103" t="inlineStr">
        <is>
          <t>liquiritigenin</t>
        </is>
      </c>
      <c r="I103" t="inlineStr">
        <is>
          <t>exact-normalized</t>
        </is>
      </c>
      <c r="J103" t="inlineStr">
        <is>
          <t>direct</t>
        </is>
      </c>
      <c r="K103" t="inlineStr">
        <is>
          <t>master-linked</t>
        </is>
      </c>
      <c r="L103" t="inlineStr">
        <is>
          <t>Yes</t>
        </is>
      </c>
      <c r="M103" t="inlineStr">
        <is>
          <t>Yes</t>
        </is>
      </c>
      <c r="N103" t="inlineStr">
        <is>
          <t>anti-inflammatory; estrogen-receptor-adjacent</t>
        </is>
      </c>
      <c r="O103" t="inlineStr">
        <is>
          <t>inflammatory_pathway_modulation; endocrine_adjacent_signaling</t>
        </is>
      </c>
      <c r="P103" t="inlineStr">
        <is>
          <t>https://www.nccih.nih.gov/health/licorice-root | https://pubchem.ncbi.nlm.nih.gov/compound/Liquiritigenin</t>
        </is>
      </c>
      <c r="Q103" t="inlineStr">
        <is>
          <t>Mapped during Pass 64 monograph expansion.</t>
        </is>
      </c>
    </row>
    <row r="104">
      <c r="A104" t="inlineStr">
        <is>
          <t>licorice</t>
        </is>
      </c>
      <c r="B104" t="inlineStr">
        <is>
          <t>Licorice</t>
        </is>
      </c>
      <c r="C104" t="inlineStr">
        <is>
          <t>isoliquiritigenin</t>
        </is>
      </c>
      <c r="D104" t="inlineStr">
        <is>
          <t>isoliquiritigenin</t>
        </is>
      </c>
      <c r="G104" t="inlineStr">
        <is>
          <t>isoliquiritigenin</t>
        </is>
      </c>
      <c r="H104" t="inlineStr">
        <is>
          <t>isoliquiritigenin</t>
        </is>
      </c>
      <c r="I104" t="inlineStr">
        <is>
          <t>exact-normalized</t>
        </is>
      </c>
      <c r="J104" t="inlineStr">
        <is>
          <t>direct</t>
        </is>
      </c>
      <c r="K104" t="inlineStr">
        <is>
          <t>master-linked</t>
        </is>
      </c>
      <c r="L104" t="inlineStr">
        <is>
          <t>Yes</t>
        </is>
      </c>
      <c r="M104" t="inlineStr">
        <is>
          <t>Yes</t>
        </is>
      </c>
      <c r="N104" t="inlineStr">
        <is>
          <t>anti-inflammatory; antioxidant</t>
        </is>
      </c>
      <c r="O104" t="inlineStr">
        <is>
          <t>inflammatory_pathway_modulation; oxidative_stress_pathways</t>
        </is>
      </c>
      <c r="P104" t="inlineStr">
        <is>
          <t>https://www.nccih.nih.gov/health/licorice-root | https://pubchem.ncbi.nlm.nih.gov/compound/Isoliquiritigenin</t>
        </is>
      </c>
      <c r="Q104" t="inlineStr">
        <is>
          <t>Mapped during Pass 64 monograph expansion.</t>
        </is>
      </c>
    </row>
    <row r="105">
      <c r="A105" t="inlineStr">
        <is>
          <t>licorice</t>
        </is>
      </c>
      <c r="B105" t="inlineStr">
        <is>
          <t>Licorice</t>
        </is>
      </c>
      <c r="C105" t="inlineStr">
        <is>
          <t>glabridin</t>
        </is>
      </c>
      <c r="D105" t="inlineStr">
        <is>
          <t>glabridin</t>
        </is>
      </c>
      <c r="G105" t="inlineStr">
        <is>
          <t>glabridin</t>
        </is>
      </c>
      <c r="H105" t="inlineStr">
        <is>
          <t>glabridin</t>
        </is>
      </c>
      <c r="I105" t="inlineStr">
        <is>
          <t>exact-normalized</t>
        </is>
      </c>
      <c r="J105" t="inlineStr">
        <is>
          <t>direct</t>
        </is>
      </c>
      <c r="K105" t="inlineStr">
        <is>
          <t>master-linked</t>
        </is>
      </c>
      <c r="L105" t="inlineStr">
        <is>
          <t>Yes</t>
        </is>
      </c>
      <c r="M105" t="inlineStr">
        <is>
          <t>Yes</t>
        </is>
      </c>
      <c r="N105" t="inlineStr">
        <is>
          <t>anti-inflammatory; antioxidant</t>
        </is>
      </c>
      <c r="O105" t="inlineStr">
        <is>
          <t>inflammatory_pathway_modulation; oxidative_stress_pathways</t>
        </is>
      </c>
      <c r="P105" t="inlineStr">
        <is>
          <t>https://www.nccih.nih.gov/health/licorice-root | https://pubchem.ncbi.nlm.nih.gov/compound/Glabridin</t>
        </is>
      </c>
      <c r="Q105" t="inlineStr">
        <is>
          <t>Mapped during Pass 64 monograph expansion.</t>
        </is>
      </c>
    </row>
    <row r="106">
      <c r="A106" s="181" t="inlineStr">
        <is>
          <t>nettles</t>
        </is>
      </c>
      <c r="B106" s="181" t="inlineStr">
        <is>
          <t>quercetin</t>
        </is>
      </c>
    </row>
    <row r="107">
      <c r="A107" s="181" t="inlineStr">
        <is>
          <t>maca</t>
        </is>
      </c>
      <c r="B107" s="181" t="inlineStr">
        <is>
          <t>macamide B</t>
        </is>
      </c>
    </row>
    <row r="108">
      <c r="A108" s="181" t="inlineStr">
        <is>
          <t>artichoke</t>
        </is>
      </c>
      <c r="B108" s="181" t="inlineStr">
        <is>
          <t>cynarin</t>
        </is>
      </c>
    </row>
    <row r="109">
      <c r="A109" s="181" t="inlineStr">
        <is>
          <t>rosemary</t>
        </is>
      </c>
      <c r="B109" s="181" t="inlineStr">
        <is>
          <t>carnosic acid</t>
        </is>
      </c>
    </row>
    <row r="201">
      <c r="A201" t="inlineStr">
        <is>
          <t>lemon-balm</t>
        </is>
      </c>
      <c r="B201" t="inlineStr">
        <is>
          <t>rosmarinic acid</t>
        </is>
      </c>
    </row>
    <row r="202">
      <c r="A202" t="inlineStr">
        <is>
          <t>holy-basil</t>
        </is>
      </c>
      <c r="B202" t="inlineStr">
        <is>
          <t>eugenol</t>
        </is>
      </c>
    </row>
    <row r="203">
      <c r="A203" t="inlineStr">
        <is>
          <t>valerian</t>
        </is>
      </c>
      <c r="B203" t="inlineStr">
        <is>
          <t>valerenic acid</t>
        </is>
      </c>
    </row>
    <row r="204">
      <c r="A204" t="inlineStr">
        <is>
          <t>cordyceps</t>
        </is>
      </c>
      <c r="B204" t="inlineStr">
        <is>
          <t>cordycepin</t>
        </is>
      </c>
    </row>
    <row r="205">
      <c r="A205" t="inlineStr">
        <is>
          <t>turmeric</t>
        </is>
      </c>
      <c r="B205" t="inlineStr">
        <is>
          <t>curcumin</t>
        </is>
      </c>
    </row>
    <row r="206">
      <c r="A206" t="inlineStr">
        <is>
          <t>ginger</t>
        </is>
      </c>
      <c r="B206" t="inlineStr">
        <is>
          <t>6-gingerol</t>
        </is>
      </c>
    </row>
    <row r="207">
      <c r="A207" t="inlineStr">
        <is>
          <t>green-tea</t>
        </is>
      </c>
      <c r="B207" t="inlineStr">
        <is>
          <t>EGCG</t>
        </is>
      </c>
    </row>
    <row r="208">
      <c r="A208" t="inlineStr">
        <is>
          <t>kava</t>
        </is>
      </c>
      <c r="B208" t="inlineStr">
        <is>
          <t>kavain</t>
        </is>
      </c>
    </row>
    <row r="209">
      <c r="A209" t="inlineStr">
        <is>
          <t>reishi</t>
        </is>
      </c>
      <c r="B209" t="inlineStr">
        <is>
          <t>beta-glucans</t>
        </is>
      </c>
    </row>
    <row r="210">
      <c r="A210" t="inlineStr">
        <is>
          <t>lions-mane</t>
        </is>
      </c>
      <c r="B210" t="inlineStr">
        <is>
          <t>hericenone C</t>
        </is>
      </c>
    </row>
    <row r="211">
      <c r="A211" t="inlineStr">
        <is>
          <t>peppermint</t>
        </is>
      </c>
      <c r="B211" t="inlineStr">
        <is>
          <t>menthol</t>
        </is>
      </c>
    </row>
    <row r="212">
      <c r="A212" t="inlineStr">
        <is>
          <t>black-seed</t>
        </is>
      </c>
      <c r="B212" t="inlineStr">
        <is>
          <t>thymoquinone</t>
        </is>
      </c>
    </row>
    <row r="213">
      <c r="A213" t="inlineStr">
        <is>
          <t>milk-thistle</t>
        </is>
      </c>
      <c r="B213" t="inlineStr">
        <is>
          <t>silybin</t>
        </is>
      </c>
    </row>
    <row r="214">
      <c r="A214" t="inlineStr">
        <is>
          <t>st-johns-wort</t>
        </is>
      </c>
      <c r="B214" t="inlineStr">
        <is>
          <t>hyperforin</t>
        </is>
      </c>
    </row>
    <row r="215">
      <c r="A215" t="inlineStr">
        <is>
          <t>yerba-mate</t>
        </is>
      </c>
      <c r="B215" t="inlineStr">
        <is>
          <t>theobromine</t>
        </is>
      </c>
    </row>
    <row r="216">
      <c r="A216" t="inlineStr">
        <is>
          <t>damiana</t>
        </is>
      </c>
      <c r="B216" t="inlineStr">
        <is>
          <t>apigenin</t>
        </is>
      </c>
    </row>
    <row r="217">
      <c r="A217" t="inlineStr">
        <is>
          <t>sage</t>
        </is>
      </c>
      <c r="B217" t="inlineStr">
        <is>
          <t>thujone</t>
        </is>
      </c>
    </row>
    <row r="218">
      <c r="A218" t="inlineStr">
        <is>
          <t>oregano</t>
        </is>
      </c>
      <c r="B218" t="inlineStr">
        <is>
          <t>carvacrol</t>
        </is>
      </c>
    </row>
    <row r="219">
      <c r="A219" t="inlineStr">
        <is>
          <t>thyme</t>
        </is>
      </c>
      <c r="B219" t="inlineStr">
        <is>
          <t>thymol</t>
        </is>
      </c>
    </row>
    <row r="220">
      <c r="A220" t="inlineStr">
        <is>
          <t>clove</t>
        </is>
      </c>
      <c r="B220" t="inlineStr">
        <is>
          <t>eugenol</t>
        </is>
      </c>
    </row>
  </sheetData>
  <conditionalFormatting sqref="J2:J90">
    <cfRule type="expression" priority="1" dxfId="29">
      <formula>J2="parenthetical-specific-list"</formula>
    </cfRule>
  </conditionalFormatting>
  <conditionalFormatting sqref="K2:K90">
    <cfRule type="expression" priority="2" dxfId="1">
      <formula>K2="provisional-specific"</formula>
    </cfRule>
    <cfRule type="expression" priority="3" dxfId="0">
      <formula>K2="master-linked"</formula>
    </cfRule>
    <cfRule type="expression" priority="4" dxfId="17">
      <formula>K2="broad-class-retained"</formula>
    </cfRule>
  </conditionalFormatting>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20" customWidth="1" style="76" min="1" max="1"/>
    <col width="22" customWidth="1" style="76" min="2" max="2"/>
    <col width="18" customWidth="1" style="76" min="3" max="3"/>
    <col width="11.43000030517578" customWidth="1" style="76" min="4" max="4"/>
    <col width="26" customWidth="1" style="76" min="5" max="5"/>
    <col width="20" customWidth="1" style="76" min="6" max="6"/>
    <col width="22" customWidth="1" style="76" min="7" max="7"/>
    <col width="138.4299926757812" customWidth="1" style="76" min="8" max="8"/>
    <col width="51.13999938964844" customWidth="1" style="76" min="9" max="9"/>
  </cols>
  <sheetData>
    <row r="1">
      <c r="A1" s="136" t="inlineStr">
        <is>
          <t>canonicalCompoundId</t>
        </is>
      </c>
      <c r="B1" s="136" t="inlineStr">
        <is>
          <t>compoundName</t>
        </is>
      </c>
      <c r="C1" s="136" t="inlineStr">
        <is>
          <t>compoundClass</t>
        </is>
      </c>
      <c r="D1" s="136" t="inlineStr">
        <is>
          <t>herbCount</t>
        </is>
      </c>
      <c r="E1" s="136" t="inlineStr">
        <is>
          <t>relatedHerbSlugs</t>
        </is>
      </c>
      <c r="F1" s="136" t="inlineStr">
        <is>
          <t>mechanismTags</t>
        </is>
      </c>
      <c r="G1" s="136" t="inlineStr">
        <is>
          <t>pathwayTargets</t>
        </is>
      </c>
      <c r="H1" s="136" t="inlineStr">
        <is>
          <t>sourceBasis</t>
        </is>
      </c>
      <c r="I1" s="136" t="inlineStr">
        <is>
          <t>sourceQuality</t>
        </is>
      </c>
    </row>
    <row r="2" ht="26" customHeight="1" s="76">
      <c r="A2" s="134" t="inlineStr">
        <is>
          <t>1,8-cineole</t>
        </is>
      </c>
      <c r="B2" s="134" t="inlineStr">
        <is>
          <t>1,8-cineole</t>
        </is>
      </c>
      <c r="C2" s="134" t="inlineStr">
        <is>
          <t>monoterpene oxide</t>
        </is>
      </c>
      <c r="D2" s="134" t="n">
        <v>2</v>
      </c>
      <c r="E2" s="134" t="inlineStr">
        <is>
          <t>eucalyptus; peppermint</t>
        </is>
      </c>
      <c r="F2" s="134" t="inlineStr">
        <is>
          <t>inflammatory_pathway_modulation; respiratory_support</t>
        </is>
      </c>
      <c r="G2" s="134" t="inlineStr">
        <is>
          <t>NFkB; cytokine signaling</t>
        </is>
      </c>
      <c r="H2" s="134" t="inlineStr">
        <is>
          <t>Compound Master V3 latest locked/source-backed row</t>
        </is>
      </c>
      <c r="I2" s="134" t="inlineStr">
        <is>
          <t>pass24_resolved_master_linked</t>
        </is>
      </c>
    </row>
    <row r="3" ht="26" customHeight="1" s="76">
      <c r="A3" s="134" t="inlineStr">
        <is>
          <t>23-epi-26-deoxyactein</t>
        </is>
      </c>
      <c r="B3" s="134" t="inlineStr">
        <is>
          <t>23-epi-26-deoxyactein</t>
        </is>
      </c>
      <c r="C3" s="134" t="inlineStr">
        <is>
          <t>triterpene glycoside</t>
        </is>
      </c>
      <c r="D3" s="134" t="n">
        <v>1</v>
      </c>
      <c r="E3" s="134" t="inlineStr">
        <is>
          <t>black-cohosh</t>
        </is>
      </c>
      <c r="F3" s="134" t="inlineStr">
        <is>
          <t>inflammatory_pathway_modulation; multi-target signaling modulation</t>
        </is>
      </c>
      <c r="G3" s="134" t="inlineStr">
        <is>
          <t>NF-kB; inflammatory cytokines; nitric oxide</t>
        </is>
      </c>
      <c r="H3" s="134" t="inlineStr">
        <is>
          <t>Compound Master V3 latest locked/source-backed row</t>
        </is>
      </c>
      <c r="I3" s="134" t="inlineStr">
        <is>
          <t>consistency_cleaned_master_linked</t>
        </is>
      </c>
    </row>
    <row r="4" ht="26" customHeight="1" s="76">
      <c r="A4" s="134" t="inlineStr">
        <is>
          <t>6-gingerol</t>
        </is>
      </c>
      <c r="B4" s="134" t="inlineStr">
        <is>
          <t>6-gingerol</t>
        </is>
      </c>
      <c r="C4" s="134" t="inlineStr">
        <is>
          <t>other</t>
        </is>
      </c>
      <c r="D4" s="134" t="n">
        <v>1</v>
      </c>
      <c r="E4" s="134" t="inlineStr">
        <is>
          <t>ginger</t>
        </is>
      </c>
      <c r="F4" s="134" t="inlineStr">
        <is>
          <t>COX/NF-kB inhibition</t>
        </is>
      </c>
      <c r="G4" s="134" t="inlineStr">
        <is>
          <t>inflammatory_pathway_modulation</t>
        </is>
      </c>
      <c r="H4" s="134" t="inlineStr">
        <is>
          <t>PubChem compound page (NIH); USDA Plants database</t>
        </is>
      </c>
      <c r="I4" s="134" t="inlineStr">
        <is>
          <t>trusted_gov_added</t>
        </is>
      </c>
    </row>
    <row r="5" ht="26" customHeight="1" s="76">
      <c r="A5" s="134" t="inlineStr">
        <is>
          <t>actein</t>
        </is>
      </c>
      <c r="B5" s="134" t="inlineStr">
        <is>
          <t>actein</t>
        </is>
      </c>
      <c r="C5" s="134" t="inlineStr">
        <is>
          <t>triterpene glycoside</t>
        </is>
      </c>
      <c r="D5" s="134" t="n">
        <v>1</v>
      </c>
      <c r="E5" s="134" t="inlineStr">
        <is>
          <t>black-cohosh</t>
        </is>
      </c>
      <c r="F5" s="134" t="inlineStr">
        <is>
          <t>inflammatory_pathway_modulation; multi-target signaling modulation</t>
        </is>
      </c>
      <c r="G5" s="134" t="inlineStr">
        <is>
          <t>NF-kB; calcium signaling; nitric oxide</t>
        </is>
      </c>
      <c r="H5" s="134" t="inlineStr">
        <is>
          <t>Compound Master V3 latest locked/source-backed row</t>
        </is>
      </c>
      <c r="I5" s="134" t="inlineStr">
        <is>
          <t>consistency_cleaned_master_linked</t>
        </is>
      </c>
    </row>
    <row r="6" ht="26" customHeight="1" s="76">
      <c r="A6" s="134" t="inlineStr">
        <is>
          <t>ajoene</t>
        </is>
      </c>
      <c r="B6" s="134" t="inlineStr">
        <is>
          <t>ajoene</t>
        </is>
      </c>
      <c r="C6" s="134" t="inlineStr">
        <is>
          <t>other</t>
        </is>
      </c>
      <c r="D6" s="134" t="n">
        <v>1</v>
      </c>
      <c r="E6" s="134" t="inlineStr">
        <is>
          <t>garlic</t>
        </is>
      </c>
      <c r="F6" s="134" t="inlineStr">
        <is>
          <t>multi-target signaling modulation</t>
        </is>
      </c>
      <c r="G6" s="134" t="inlineStr">
        <is>
          <t>general or unknown targets</t>
        </is>
      </c>
      <c r="H6" s="134" t="inlineStr">
        <is>
          <t>scientific name; PubChem compound page (NIH); USDA Plants database</t>
        </is>
      </c>
      <c r="I6" s="134" t="inlineStr">
        <is>
          <t>inferred_plus_trusted_gov</t>
        </is>
      </c>
    </row>
    <row r="7" ht="26" customHeight="1" s="76">
      <c r="A7" s="134" t="inlineStr">
        <is>
          <t>beta-sitosterol</t>
        </is>
      </c>
      <c r="B7" s="134" t="inlineStr">
        <is>
          <t>beta-sitosterol</t>
        </is>
      </c>
      <c r="C7" s="134" t="inlineStr">
        <is>
          <t>phytosterol</t>
        </is>
      </c>
      <c r="D7" s="134" t="n">
        <v>1</v>
      </c>
      <c r="E7" s="134" t="inlineStr">
        <is>
          <t>saw-palmetto</t>
        </is>
      </c>
      <c r="F7" s="134" t="inlineStr">
        <is>
          <t>inflammatory_pathway_modulation; hormonal</t>
        </is>
      </c>
      <c r="G7" s="134" t="inlineStr">
        <is>
          <t>5-alpha-reductase-related biology; inflammatory signaling</t>
        </is>
      </c>
      <c r="H7" s="134" t="inlineStr">
        <is>
          <t>Compound Master V3 latest locked/source-backed row</t>
        </is>
      </c>
      <c r="I7" s="134" t="inlineStr">
        <is>
          <t>consistency_cleaned_master_linked</t>
        </is>
      </c>
    </row>
    <row r="8" ht="26" customHeight="1" s="76">
      <c r="A8" s="134" t="inlineStr">
        <is>
          <t>bilobalide</t>
        </is>
      </c>
      <c r="B8" s="134" t="inlineStr">
        <is>
          <t>bilobalide</t>
        </is>
      </c>
      <c r="C8" s="134" t="inlineStr">
        <is>
          <t>flavonol glycosides</t>
        </is>
      </c>
      <c r="D8" s="134" t="n">
        <v>1</v>
      </c>
      <c r="E8" s="134" t="inlineStr">
        <is>
          <t>ginkgo-biloba</t>
        </is>
      </c>
      <c r="F8" s="134" t="inlineStr">
        <is>
          <t>GABAergic modulation</t>
        </is>
      </c>
      <c r="G8" s="134" t="inlineStr">
        <is>
          <t>gabaergic_modulation</t>
        </is>
      </c>
      <c r="H8" s="134" t="inlineStr">
        <is>
          <t>PubChem compound page (NIH); USDA Plants database</t>
        </is>
      </c>
      <c r="I8" s="134" t="inlineStr">
        <is>
          <t>trusted_gov_added</t>
        </is>
      </c>
    </row>
    <row r="9" ht="26" customHeight="1" s="76">
      <c r="A9" s="134" t="inlineStr">
        <is>
          <t>bilobetin</t>
        </is>
      </c>
      <c r="B9" s="134" t="inlineStr">
        <is>
          <t>bilobetin</t>
        </is>
      </c>
      <c r="C9" s="134" t="inlineStr">
        <is>
          <t>biflavonoid</t>
        </is>
      </c>
      <c r="D9" s="134" t="n">
        <v>1</v>
      </c>
      <c r="E9" s="134" t="inlineStr">
        <is>
          <t>ginkgo-biloba</t>
        </is>
      </c>
      <c r="F9" s="134" t="inlineStr">
        <is>
          <t>anti-inflammatory; redox modulation</t>
        </is>
      </c>
      <c r="G9" s="134" t="inlineStr">
        <is>
          <t>nitric oxide/inflammatory signaling</t>
        </is>
      </c>
      <c r="H9" s="134" t="inlineStr">
        <is>
          <t>PubMed + NCCIH</t>
        </is>
      </c>
      <c r="I9" s="134" t="inlineStr">
        <is>
          <t>trusted_primary_web</t>
        </is>
      </c>
    </row>
    <row r="10" ht="26" customHeight="1" s="76">
      <c r="A10" s="134" t="inlineStr">
        <is>
          <t>bisdemethoxycurcumin</t>
        </is>
      </c>
      <c r="B10" s="134" t="inlineStr">
        <is>
          <t>bisdemethoxycurcumin</t>
        </is>
      </c>
      <c r="C10" s="134" t="inlineStr">
        <is>
          <t>polyphenol</t>
        </is>
      </c>
      <c r="D10" s="134" t="n">
        <v>1</v>
      </c>
      <c r="E10" s="134" t="inlineStr">
        <is>
          <t>turmeric</t>
        </is>
      </c>
      <c r="F10" s="134" t="inlineStr">
        <is>
          <t>inflammatory_pathway_modulation; oxidative_stress_modulation</t>
        </is>
      </c>
      <c r="G10" s="134" t="inlineStr">
        <is>
          <t>oxidative-stress signaling</t>
        </is>
      </c>
      <c r="H10" s="134" t="inlineStr">
        <is>
          <t>Compound Master V3 latest locked/source-backed row</t>
        </is>
      </c>
      <c r="I10" s="134" t="inlineStr">
        <is>
          <t>consistency_cleaned_master_linked</t>
        </is>
      </c>
    </row>
    <row r="11" ht="26" customHeight="1" s="76">
      <c r="A11" s="134" t="inlineStr">
        <is>
          <t>caffeic acid</t>
        </is>
      </c>
      <c r="B11" s="134" t="inlineStr">
        <is>
          <t>caffeic acid</t>
        </is>
      </c>
      <c r="C11" s="134" t="inlineStr">
        <is>
          <t>phenolic acid</t>
        </is>
      </c>
      <c r="D11" s="134" t="n">
        <v>1</v>
      </c>
      <c r="E11" s="134" t="inlineStr">
        <is>
          <t>echinacea-purpurea</t>
        </is>
      </c>
      <c r="F11" s="134" t="inlineStr">
        <is>
          <t>inflammatory_pathway_modulation; oxidative_stress_modulation</t>
        </is>
      </c>
      <c r="G11" s="134" t="inlineStr">
        <is>
          <t>NFkB; oxidative stress</t>
        </is>
      </c>
      <c r="H11" s="134" t="inlineStr">
        <is>
          <t>Compound Master V3 latest locked/source-backed row</t>
        </is>
      </c>
      <c r="I11" s="134" t="inlineStr">
        <is>
          <t>consistency_cleaned_master_linked</t>
        </is>
      </c>
    </row>
    <row r="12" ht="26" customHeight="1" s="76">
      <c r="A12" s="134" t="inlineStr">
        <is>
          <t>chicoric acid</t>
        </is>
      </c>
      <c r="B12" s="134" t="inlineStr">
        <is>
          <t>chicoric acid</t>
        </is>
      </c>
      <c r="C12" s="134" t="inlineStr">
        <is>
          <t>phenolic acid</t>
        </is>
      </c>
      <c r="D12" s="134" t="n">
        <v>1</v>
      </c>
      <c r="E12" s="134" t="inlineStr">
        <is>
          <t>echinacea-purpurea</t>
        </is>
      </c>
      <c r="F12" s="134" t="inlineStr">
        <is>
          <t>immune modulation; oxidative_stress_modulation</t>
        </is>
      </c>
      <c r="G12" s="134" t="inlineStr">
        <is>
          <t>immune signaling; oxidative stress</t>
        </is>
      </c>
      <c r="H12" s="134" t="inlineStr">
        <is>
          <t>Compound Master V3 latest locked/source-backed row</t>
        </is>
      </c>
      <c r="I12" s="134" t="inlineStr">
        <is>
          <t>consistency_cleaned_master_linked</t>
        </is>
      </c>
    </row>
    <row r="13" ht="26" customHeight="1" s="76">
      <c r="A13" s="134" t="inlineStr">
        <is>
          <t>cimifugoside</t>
        </is>
      </c>
      <c r="B13" s="134" t="inlineStr">
        <is>
          <t>cimifugoside</t>
        </is>
      </c>
      <c r="C13" s="134" t="inlineStr">
        <is>
          <t>triterpene glycoside</t>
        </is>
      </c>
      <c r="D13" s="134" t="n">
        <v>1</v>
      </c>
      <c r="E13" s="134" t="inlineStr">
        <is>
          <t>black-cohosh</t>
        </is>
      </c>
      <c r="F13" s="134" t="inlineStr">
        <is>
          <t>inflammatory_pathway_modulation; hormonal</t>
        </is>
      </c>
      <c r="G13" s="134" t="inlineStr">
        <is>
          <t>NF-κB modulation; inflammatory cytokine signaling</t>
        </is>
      </c>
      <c r="H13" s="134" t="inlineStr">
        <is>
          <t>Compound Master V3 latest locked/source-backed row</t>
        </is>
      </c>
      <c r="I13" s="134" t="inlineStr">
        <is>
          <t>consistency_cleaned_master_linked</t>
        </is>
      </c>
    </row>
    <row r="14" ht="26" customHeight="1" s="76">
      <c r="A14" s="134" t="inlineStr">
        <is>
          <t>citral</t>
        </is>
      </c>
      <c r="B14" s="134" t="inlineStr">
        <is>
          <t>citral</t>
        </is>
      </c>
      <c r="C14" s="134" t="inlineStr">
        <is>
          <t>monoterpenoid aldehyde</t>
        </is>
      </c>
      <c r="D14" s="134" t="n">
        <v>1</v>
      </c>
      <c r="E14" s="134" t="inlineStr">
        <is>
          <t>lemon-balm</t>
        </is>
      </c>
      <c r="F14" s="134" t="inlineStr">
        <is>
          <t>GABAergic modulation; multi-target signaling modulation</t>
        </is>
      </c>
      <c r="G14" s="134" t="inlineStr">
        <is>
          <t>TNF-a reduction; TRPM3 modulation; TRPM8 modulation; TRPV1 modulation; gabaergic_modulation; general or unknown targets</t>
        </is>
      </c>
      <c r="H14" s="134" t="inlineStr">
        <is>
          <t>PubChem compound page (NIH); USDA Plants database; scientific name; PubChem compound page (NIH); USDA Plants database</t>
        </is>
      </c>
      <c r="I14" s="134" t="inlineStr">
        <is>
          <t>inferred_plus_trusted_gov; trusted_gov_added</t>
        </is>
      </c>
    </row>
    <row r="15" ht="26" customHeight="1" s="76">
      <c r="A15" s="134" t="inlineStr">
        <is>
          <t>citronellal</t>
        </is>
      </c>
      <c r="B15" s="134" t="inlineStr">
        <is>
          <t>citronellal</t>
        </is>
      </c>
      <c r="C15" s="134" t="inlineStr">
        <is>
          <t>other</t>
        </is>
      </c>
      <c r="D15" s="134" t="n">
        <v>1</v>
      </c>
      <c r="E15" s="134" t="inlineStr">
        <is>
          <t>lemon-balm</t>
        </is>
      </c>
      <c r="F15" s="134" t="inlineStr">
        <is>
          <t>GABAergic modulation</t>
        </is>
      </c>
      <c r="G15" s="134" t="inlineStr">
        <is>
          <t>gabaergic_modulation</t>
        </is>
      </c>
      <c r="H15" s="134" t="inlineStr">
        <is>
          <t>PubChem compound page (NIH); USDA Plants database</t>
        </is>
      </c>
      <c r="I15" s="134" t="inlineStr">
        <is>
          <t>trusted_gov_added</t>
        </is>
      </c>
    </row>
    <row r="16" ht="26" customHeight="1" s="76">
      <c r="A16" s="134" t="inlineStr">
        <is>
          <t>curcumin</t>
        </is>
      </c>
      <c r="B16" s="134" t="inlineStr">
        <is>
          <t>curcumin</t>
        </is>
      </c>
      <c r="C16" s="134" t="inlineStr">
        <is>
          <t>phenolic</t>
        </is>
      </c>
      <c r="D16" s="134" t="n">
        <v>1</v>
      </c>
      <c r="E16" s="134" t="inlineStr">
        <is>
          <t>turmeric</t>
        </is>
      </c>
      <c r="F16" s="134" t="inlineStr">
        <is>
          <t>nf-kb inhibition</t>
        </is>
      </c>
      <c r="G16" s="134" t="inlineStr">
        <is>
          <t>COX-2 pathway modulation; NF-kB pathway inhibition; NFKB1 pathway; Nrf2 pathway activation</t>
        </is>
      </c>
      <c r="H16" s="134" t="inlineStr">
        <is>
          <t>scientific name; PubChem compound page (NIH); USDA Plants database</t>
        </is>
      </c>
      <c r="I16" s="134" t="inlineStr">
        <is>
          <t>inferred_plus_trusted_gov</t>
        </is>
      </c>
    </row>
    <row r="17" ht="26" customHeight="1" s="76">
      <c r="A17" s="134" t="inlineStr">
        <is>
          <t>cynarin</t>
        </is>
      </c>
      <c r="B17" s="134" t="inlineStr">
        <is>
          <t>cynarin</t>
        </is>
      </c>
      <c r="C17" s="134" t="inlineStr">
        <is>
          <t>Cynarin, caffeoylquinic acids, flavonoids</t>
        </is>
      </c>
      <c r="D17" s="134" t="n">
        <v>1</v>
      </c>
      <c r="E17" s="134" t="inlineStr">
        <is>
          <t>echinacea-purpurea</t>
        </is>
      </c>
      <c r="F17" s="134" t="inlineStr">
        <is>
          <t>multi-target signaling modulation</t>
        </is>
      </c>
      <c r="G17" s="134" t="inlineStr">
        <is>
          <t>general or unknown targets</t>
        </is>
      </c>
      <c r="H17" s="134" t="inlineStr">
        <is>
          <t>scientific name; PubChem compound page (NIH); USDA Plants database</t>
        </is>
      </c>
      <c r="I17" s="134" t="inlineStr">
        <is>
          <t>inferred_plus_trusted_gov</t>
        </is>
      </c>
    </row>
    <row r="18" ht="26" customHeight="1" s="76">
      <c r="A18" s="134" t="inlineStr">
        <is>
          <t>demethoxycurcumin</t>
        </is>
      </c>
      <c r="B18" s="134" t="inlineStr">
        <is>
          <t>demethoxycurcumin</t>
        </is>
      </c>
      <c r="C18" s="134" t="inlineStr">
        <is>
          <t>polyphenol</t>
        </is>
      </c>
      <c r="D18" s="134" t="n">
        <v>1</v>
      </c>
      <c r="E18" s="134" t="inlineStr">
        <is>
          <t>turmeric</t>
        </is>
      </c>
      <c r="F18" s="134" t="inlineStr">
        <is>
          <t>inflammatory_pathway_modulation; oxidative_stress_modulation</t>
        </is>
      </c>
      <c r="G18" s="134" t="inlineStr">
        <is>
          <t>NFkB; oxidative-stress signaling</t>
        </is>
      </c>
      <c r="H18" s="134" t="inlineStr">
        <is>
          <t>Compound Master V3 latest locked/source-backed row</t>
        </is>
      </c>
      <c r="I18" s="134" t="inlineStr">
        <is>
          <t>consistency_cleaned_master_linked</t>
        </is>
      </c>
    </row>
    <row r="19" ht="26" customHeight="1" s="76">
      <c r="A19" s="134" t="inlineStr">
        <is>
          <t>desmethoxyyangonin</t>
        </is>
      </c>
      <c r="B19" s="134" t="inlineStr">
        <is>
          <t>desmethoxyyangonin</t>
        </is>
      </c>
      <c r="C19" s="134" t="inlineStr">
        <is>
          <t>other</t>
        </is>
      </c>
      <c r="D19" s="134" t="n">
        <v>1</v>
      </c>
      <c r="E19" s="134" t="inlineStr">
        <is>
          <t>kava</t>
        </is>
      </c>
      <c r="F19" s="134" t="inlineStr">
        <is>
          <t>GABAergic modulation; multi-target signaling modulation</t>
        </is>
      </c>
      <c r="G19" s="134" t="inlineStr">
        <is>
          <t>dopaminergic_modulation; gabaergic_modulation</t>
        </is>
      </c>
      <c r="H19" s="134" t="inlineStr">
        <is>
          <t>PubChem compound page (NIH); USDA Plants database</t>
        </is>
      </c>
      <c r="I19" s="134" t="inlineStr">
        <is>
          <t>trusted_gov_added</t>
        </is>
      </c>
    </row>
    <row r="20" ht="26" customHeight="1" s="76">
      <c r="A20" s="134" t="inlineStr">
        <is>
          <t>diallyl disulfide</t>
        </is>
      </c>
      <c r="B20" s="134" t="inlineStr">
        <is>
          <t>diallyl disulfide</t>
        </is>
      </c>
      <c r="C20" s="134" t="inlineStr">
        <is>
          <t>organosulfur compound</t>
        </is>
      </c>
      <c r="D20" s="134" t="n">
        <v>1</v>
      </c>
      <c r="E20" s="134" t="inlineStr">
        <is>
          <t>garlic</t>
        </is>
      </c>
      <c r="F20" s="134" t="inlineStr">
        <is>
          <t>inflammatory_pathway_modulation; oxidative_stress_modulation</t>
        </is>
      </c>
      <c r="G20" s="134" t="inlineStr">
        <is>
          <t>NFkB; oxidative stress</t>
        </is>
      </c>
      <c r="H20" s="134" t="inlineStr">
        <is>
          <t>Compound Master V3 latest locked/source-backed row</t>
        </is>
      </c>
      <c r="I20" s="134" t="inlineStr">
        <is>
          <t>consistency_cleaned_master_linked</t>
        </is>
      </c>
    </row>
    <row r="21" ht="26" customHeight="1" s="76">
      <c r="A21" s="134" t="inlineStr">
        <is>
          <t>diallyl sulfide</t>
        </is>
      </c>
      <c r="B21" s="134" t="inlineStr">
        <is>
          <t>diallyl sulfide</t>
        </is>
      </c>
      <c r="C21" s="134" t="inlineStr">
        <is>
          <t>organosulfur compound</t>
        </is>
      </c>
      <c r="D21" s="134" t="n">
        <v>1</v>
      </c>
      <c r="E21" s="134" t="inlineStr">
        <is>
          <t>garlic</t>
        </is>
      </c>
      <c r="F21" s="134" t="inlineStr">
        <is>
          <t>detoxification; metabolic modulation</t>
        </is>
      </c>
      <c r="G21" s="134" t="inlineStr">
        <is>
          <t>CYP450 modulation; antioxidant pathways</t>
        </is>
      </c>
      <c r="H21" s="134" t="inlineStr">
        <is>
          <t>Compound Master V3 latest locked/source-backed row</t>
        </is>
      </c>
      <c r="I21" s="134" t="inlineStr">
        <is>
          <t>consistency_cleaned_master_linked</t>
        </is>
      </c>
    </row>
    <row r="22" ht="26" customHeight="1" s="76">
      <c r="A22" s="134" t="inlineStr">
        <is>
          <t>diallyl trisulfide</t>
        </is>
      </c>
      <c r="B22" s="134" t="inlineStr">
        <is>
          <t>diallyl trisulfide</t>
        </is>
      </c>
      <c r="C22" s="134" t="inlineStr">
        <is>
          <t>organosulfur compound</t>
        </is>
      </c>
      <c r="D22" s="134" t="n">
        <v>1</v>
      </c>
      <c r="E22" s="134" t="inlineStr">
        <is>
          <t>garlic</t>
        </is>
      </c>
      <c r="F22" s="134" t="inlineStr">
        <is>
          <t>oxidative_stress_modulation; apoptosis signaling</t>
        </is>
      </c>
      <c r="G22" s="134" t="inlineStr">
        <is>
          <t>oxidative stress pathways</t>
        </is>
      </c>
      <c r="H22" s="134" t="inlineStr">
        <is>
          <t>Compound Master V3 latest locked/source-backed row</t>
        </is>
      </c>
      <c r="I22" s="134" t="inlineStr">
        <is>
          <t>consistency_cleaned_master_linked</t>
        </is>
      </c>
    </row>
    <row r="23" ht="26" customHeight="1" s="76">
      <c r="A23" s="134" t="inlineStr">
        <is>
          <t>dihydrokavain</t>
        </is>
      </c>
      <c r="B23" s="134" t="inlineStr">
        <is>
          <t>dihydrokavain</t>
        </is>
      </c>
      <c r="C23" s="134" t="inlineStr">
        <is>
          <t>other</t>
        </is>
      </c>
      <c r="D23" s="134" t="n">
        <v>1</v>
      </c>
      <c r="E23" s="134" t="inlineStr">
        <is>
          <t>kava</t>
        </is>
      </c>
      <c r="F23" s="134" t="inlineStr">
        <is>
          <t>GABAergic modulation; multi-target signaling modulation</t>
        </is>
      </c>
      <c r="G23" s="134" t="inlineStr">
        <is>
          <t>dopaminergic_modulation; gabaergic_modulation</t>
        </is>
      </c>
      <c r="H23" s="134" t="inlineStr">
        <is>
          <t>PubChem compound page (NIH); USDA Plants database</t>
        </is>
      </c>
      <c r="I23" s="134" t="inlineStr">
        <is>
          <t>trusted_gov_added</t>
        </is>
      </c>
    </row>
    <row r="24" ht="26" customHeight="1" s="76">
      <c r="A24" s="134" t="inlineStr">
        <is>
          <t>dihydromethysticin</t>
        </is>
      </c>
      <c r="B24" s="134" t="inlineStr">
        <is>
          <t>dihydromethysticin</t>
        </is>
      </c>
      <c r="C24" s="134" t="inlineStr">
        <is>
          <t>other</t>
        </is>
      </c>
      <c r="D24" s="134" t="n">
        <v>1</v>
      </c>
      <c r="E24" s="134" t="inlineStr">
        <is>
          <t>kava</t>
        </is>
      </c>
      <c r="F24" s="134" t="inlineStr">
        <is>
          <t>multi-target signaling modulation</t>
        </is>
      </c>
      <c r="G24" s="134" t="inlineStr">
        <is>
          <t>dopaminergic_modulation; gabaergic_modulation</t>
        </is>
      </c>
      <c r="H24" s="134" t="inlineStr">
        <is>
          <t>PubChem compound page (NIH); USDA Plants database</t>
        </is>
      </c>
      <c r="I24" s="134" t="inlineStr">
        <is>
          <t>trusted_gov_added</t>
        </is>
      </c>
    </row>
    <row r="25" ht="26" customHeight="1" s="76">
      <c r="A25" s="134" t="inlineStr">
        <is>
          <t>echinacoside</t>
        </is>
      </c>
      <c r="B25" s="134" t="inlineStr">
        <is>
          <t>echinacoside</t>
        </is>
      </c>
      <c r="C25" s="134" t="inlineStr">
        <is>
          <t>phenylpropanoid glycoside</t>
        </is>
      </c>
      <c r="D25" s="134" t="n">
        <v>1</v>
      </c>
      <c r="E25" s="134" t="inlineStr">
        <is>
          <t>echinacea-purpurea</t>
        </is>
      </c>
      <c r="F25" s="134" t="inlineStr">
        <is>
          <t>oxidative_stress_modulation; neuroprotective</t>
        </is>
      </c>
      <c r="G25" s="134" t="inlineStr">
        <is>
          <t>oxidative stress; neuroprotection pathways</t>
        </is>
      </c>
      <c r="H25" s="134" t="inlineStr">
        <is>
          <t>Compound Master V3 latest locked/source-backed row</t>
        </is>
      </c>
      <c r="I25" s="134" t="inlineStr">
        <is>
          <t>consistency_cleaned_master_linked</t>
        </is>
      </c>
    </row>
    <row r="26" ht="26" customHeight="1" s="76">
      <c r="A26" s="134" t="inlineStr">
        <is>
          <t>eugenol</t>
        </is>
      </c>
      <c r="B26" s="134" t="inlineStr">
        <is>
          <t>eugenol</t>
        </is>
      </c>
      <c r="C26" s="134" t="inlineStr">
        <is>
          <t>phenolic</t>
        </is>
      </c>
      <c r="D26" s="134" t="n">
        <v>1</v>
      </c>
      <c r="E26" s="134" t="inlineStr">
        <is>
          <t>holy-basil</t>
        </is>
      </c>
      <c r="F26" s="134" t="inlineStr">
        <is>
          <t>COX/NF-kB inhibition; GABAergic modulation; multi-target signaling modulation</t>
        </is>
      </c>
      <c r="G26" s="134" t="inlineStr">
        <is>
          <t>NF-kB pathway inhibition; PLCγ2-PKC pathway inhibition; TRPV1 activation; cPLA2-TxA2 pathway inhibition; gabaergic_modulation; general or unknown targets; inflammatory_pathway_modulation; voltage-gated sodium channel inhibition</t>
        </is>
      </c>
      <c r="H26" s="134" t="inlineStr">
        <is>
          <t>PubChem compound page (NIH); USDA Plants database; scientific name; PubChem compound page (NIH); USDA Plants database</t>
        </is>
      </c>
      <c r="I26" s="134" t="inlineStr">
        <is>
          <t>inferred_plus_trusted_gov; trusted_gov_added</t>
        </is>
      </c>
    </row>
    <row r="27" ht="26" customHeight="1" s="76">
      <c r="A27" s="134" t="inlineStr">
        <is>
          <t>flavokavain a</t>
        </is>
      </c>
      <c r="B27" s="134" t="inlineStr">
        <is>
          <t>flavokavain A</t>
        </is>
      </c>
      <c r="C27" s="134" t="inlineStr">
        <is>
          <t>chalcone</t>
        </is>
      </c>
      <c r="D27" s="134" t="n">
        <v>1</v>
      </c>
      <c r="E27" s="134" t="inlineStr">
        <is>
          <t>kava</t>
        </is>
      </c>
      <c r="F27" s="134" t="inlineStr">
        <is>
          <t>anti-inflammatory; redox modulation; cytostatic signaling</t>
        </is>
      </c>
      <c r="G27" s="134" t="inlineStr">
        <is>
          <t>oxidative-stress signaling; apoptosis-related signaling</t>
        </is>
      </c>
      <c r="H27" s="134" t="inlineStr">
        <is>
          <t>PubChem + PubMed + NCCIH</t>
        </is>
      </c>
      <c r="I27" s="134" t="inlineStr">
        <is>
          <t>trusted_primary_web</t>
        </is>
      </c>
    </row>
    <row r="28" ht="26" customHeight="1" s="76">
      <c r="A28" s="134" t="inlineStr">
        <is>
          <t>flavokavain b</t>
        </is>
      </c>
      <c r="B28" s="134" t="inlineStr">
        <is>
          <t>flavokavain B</t>
        </is>
      </c>
      <c r="C28" s="134" t="inlineStr">
        <is>
          <t>chalcone</t>
        </is>
      </c>
      <c r="D28" s="134" t="n">
        <v>1</v>
      </c>
      <c r="E28" s="134" t="inlineStr">
        <is>
          <t>kava</t>
        </is>
      </c>
      <c r="F28" s="134" t="inlineStr">
        <is>
          <t>anti-inflammatory; redox modulation; cytostatic signaling</t>
        </is>
      </c>
      <c r="G28" s="134" t="inlineStr">
        <is>
          <t>oxidative-stress signaling; apoptosis-related signaling</t>
        </is>
      </c>
      <c r="H28" s="134" t="inlineStr">
        <is>
          <t>PubChem + PubMed + NCCIH</t>
        </is>
      </c>
      <c r="I28" s="134" t="inlineStr">
        <is>
          <t>trusted_primary_web</t>
        </is>
      </c>
    </row>
    <row r="29" ht="26" customHeight="1" s="76">
      <c r="A29" s="134" t="inlineStr">
        <is>
          <t>flavokavain c</t>
        </is>
      </c>
      <c r="B29" s="134" t="inlineStr">
        <is>
          <t>flavokavain C</t>
        </is>
      </c>
      <c r="C29" s="134" t="inlineStr">
        <is>
          <t>chalcone</t>
        </is>
      </c>
      <c r="D29" s="134" t="n">
        <v>1</v>
      </c>
      <c r="E29" s="134" t="inlineStr">
        <is>
          <t>kava</t>
        </is>
      </c>
      <c r="F29" s="134" t="inlineStr">
        <is>
          <t>anti-inflammatory; redox modulation</t>
        </is>
      </c>
      <c r="G29" s="134" t="inlineStr">
        <is>
          <t>oxidative-stress signaling; inflammatory signaling</t>
        </is>
      </c>
      <c r="H29" s="134" t="inlineStr">
        <is>
          <t>PubChem + PubMed + NCCIH</t>
        </is>
      </c>
      <c r="I29" s="134" t="inlineStr">
        <is>
          <t>trusted_primary_web</t>
        </is>
      </c>
    </row>
    <row r="30" ht="26" customHeight="1" s="76">
      <c r="A30" s="134" t="inlineStr">
        <is>
          <t>fukinolic acid</t>
        </is>
      </c>
      <c r="B30" s="134" t="inlineStr">
        <is>
          <t>fukinolic acid</t>
        </is>
      </c>
      <c r="C30" s="134" t="inlineStr">
        <is>
          <t>phenolic acid derivative</t>
        </is>
      </c>
      <c r="D30" s="134" t="n">
        <v>1</v>
      </c>
      <c r="E30" s="134" t="inlineStr">
        <is>
          <t>black-cohosh</t>
        </is>
      </c>
      <c r="F30" s="134" t="inlineStr">
        <is>
          <t>oxidative_stress_modulation; inflammatory_pathway_modulation</t>
        </is>
      </c>
      <c r="G30" s="134" t="inlineStr">
        <is>
          <t>general or unknown targets</t>
        </is>
      </c>
      <c r="H30" s="134" t="inlineStr">
        <is>
          <t>Compound Master V3 latest locked/source-backed row</t>
        </is>
      </c>
      <c r="I30" s="134" t="inlineStr">
        <is>
          <t>consistency_cleaned_master_linked</t>
        </is>
      </c>
    </row>
    <row r="31" ht="26" customHeight="1" s="76">
      <c r="A31" s="134" t="inlineStr">
        <is>
          <t>ginkgetin</t>
        </is>
      </c>
      <c r="B31" s="134" t="inlineStr">
        <is>
          <t>ginkgetin</t>
        </is>
      </c>
      <c r="C31" s="134" t="inlineStr">
        <is>
          <t>biflavonoid</t>
        </is>
      </c>
      <c r="D31" s="134" t="n">
        <v>1</v>
      </c>
      <c r="E31" s="134" t="inlineStr">
        <is>
          <t>ginkgo-biloba</t>
        </is>
      </c>
      <c r="F31" s="134" t="inlineStr">
        <is>
          <t>anti-inflammatory; eicosanoid pathway modulation</t>
        </is>
      </c>
      <c r="G31" s="134" t="inlineStr">
        <is>
          <t>COX-2; 5-lipoxygenase</t>
        </is>
      </c>
      <c r="H31" s="134" t="inlineStr">
        <is>
          <t>PubChem + PubMed + NCCIH</t>
        </is>
      </c>
      <c r="I31" s="134" t="inlineStr">
        <is>
          <t>trusted_primary_web</t>
        </is>
      </c>
    </row>
    <row r="32" ht="26" customHeight="1" s="76">
      <c r="A32" s="134" t="inlineStr">
        <is>
          <t>ginkgolide a</t>
        </is>
      </c>
      <c r="B32" s="134" t="inlineStr">
        <is>
          <t>ginkgolide A</t>
        </is>
      </c>
      <c r="C32" s="134" t="inlineStr">
        <is>
          <t>diterpene trilactone / ginkgolide</t>
        </is>
      </c>
      <c r="D32" s="134" t="n">
        <v>1</v>
      </c>
      <c r="E32" s="134" t="inlineStr">
        <is>
          <t>ginkgo-biloba</t>
        </is>
      </c>
      <c r="F32" s="134" t="inlineStr">
        <is>
          <t>PAF receptor antagonism; neuroactive ion-channel modulation</t>
        </is>
      </c>
      <c r="G32" s="134" t="inlineStr">
        <is>
          <t>PAFR; glycine receptor chloride channel</t>
        </is>
      </c>
      <c r="H32" s="134" t="inlineStr">
        <is>
          <t>PubChem + PubMed + NCCIH</t>
        </is>
      </c>
      <c r="I32" s="134" t="inlineStr">
        <is>
          <t>trusted_primary_web</t>
        </is>
      </c>
    </row>
    <row r="33" ht="26" customHeight="1" s="76">
      <c r="A33" s="134" t="inlineStr">
        <is>
          <t>ginkgolide b</t>
        </is>
      </c>
      <c r="B33" s="134" t="inlineStr">
        <is>
          <t>ginkgolide B</t>
        </is>
      </c>
      <c r="C33" s="134" t="inlineStr">
        <is>
          <t>diterpene trilactone / ginkgolide</t>
        </is>
      </c>
      <c r="D33" s="134" t="n">
        <v>1</v>
      </c>
      <c r="E33" s="134" t="inlineStr">
        <is>
          <t>ginkgo-biloba</t>
        </is>
      </c>
      <c r="F33" s="134" t="inlineStr">
        <is>
          <t>PAF receptor antagonism; anti-inflammatory signaling</t>
        </is>
      </c>
      <c r="G33" s="134" t="inlineStr">
        <is>
          <t>PAFR</t>
        </is>
      </c>
      <c r="H33" s="134" t="inlineStr">
        <is>
          <t>PubChem + PubMed + NCCIH</t>
        </is>
      </c>
      <c r="I33" s="134" t="inlineStr">
        <is>
          <t>trusted_primary_web</t>
        </is>
      </c>
    </row>
    <row r="34" ht="26" customHeight="1" s="76">
      <c r="A34" s="134" t="inlineStr">
        <is>
          <t>ginkgolide c</t>
        </is>
      </c>
      <c r="B34" s="134" t="inlineStr">
        <is>
          <t>ginkgolide C</t>
        </is>
      </c>
      <c r="C34" s="134" t="inlineStr">
        <is>
          <t>diterpene trilactone / ginkgolide</t>
        </is>
      </c>
      <c r="D34" s="134" t="n">
        <v>1</v>
      </c>
      <c r="E34" s="134" t="inlineStr">
        <is>
          <t>ginkgo-biloba</t>
        </is>
      </c>
      <c r="F34" s="134" t="inlineStr">
        <is>
          <t>PAF receptor antagonism; anti-inflammatory signaling</t>
        </is>
      </c>
      <c r="G34" s="134" t="inlineStr">
        <is>
          <t>PAFR; CD40/NF-kappaB</t>
        </is>
      </c>
      <c r="H34" s="134" t="inlineStr">
        <is>
          <t>PubChem + PubMed + NCCIH</t>
        </is>
      </c>
      <c r="I34" s="134" t="inlineStr">
        <is>
          <t>trusted_primary_web</t>
        </is>
      </c>
    </row>
    <row r="35" ht="26" customHeight="1" s="76">
      <c r="A35" s="134" t="inlineStr">
        <is>
          <t>ginkgolide j</t>
        </is>
      </c>
      <c r="B35" s="134" t="inlineStr">
        <is>
          <t>ginkgolide J</t>
        </is>
      </c>
      <c r="C35" s="134" t="inlineStr">
        <is>
          <t>diterpene trilactone / ginkgolide</t>
        </is>
      </c>
      <c r="D35" s="134" t="n">
        <v>1</v>
      </c>
      <c r="E35" s="134" t="inlineStr">
        <is>
          <t>ginkgo-biloba</t>
        </is>
      </c>
      <c r="F35" s="134" t="inlineStr">
        <is>
          <t>PAF receptor antagonism; anti-inflammatory signaling</t>
        </is>
      </c>
      <c r="G35" s="134" t="inlineStr">
        <is>
          <t>PAFR</t>
        </is>
      </c>
      <c r="H35" s="134" t="inlineStr">
        <is>
          <t>PubChem + PubMed + NCCIH</t>
        </is>
      </c>
      <c r="I35" s="134" t="inlineStr">
        <is>
          <t>trusted_primary_web</t>
        </is>
      </c>
    </row>
    <row r="36" ht="26" customHeight="1" s="76">
      <c r="A36" s="134" t="inlineStr">
        <is>
          <t>hyperforin</t>
        </is>
      </c>
      <c r="B36" s="134" t="inlineStr">
        <is>
          <t>hyperforin</t>
        </is>
      </c>
      <c r="C36" s="134" t="inlineStr">
        <is>
          <t>flavonoids</t>
        </is>
      </c>
      <c r="D36" s="134" t="n">
        <v>1</v>
      </c>
      <c r="E36" s="134" t="inlineStr">
        <is>
          <t>st-johns-wort</t>
        </is>
      </c>
      <c r="F36" s="134" t="inlineStr">
        <is>
          <t>multi-target signaling modulation</t>
        </is>
      </c>
      <c r="G36" s="134" t="inlineStr">
        <is>
          <t>general or unknown targets</t>
        </is>
      </c>
      <c r="H36" s="134" t="inlineStr">
        <is>
          <t>PubChem compound page (NIH); USDA Plants database</t>
        </is>
      </c>
      <c r="I36" s="134" t="inlineStr">
        <is>
          <t>trusted_gov_added</t>
        </is>
      </c>
    </row>
    <row r="37" ht="26" customHeight="1" s="76">
      <c r="A37" s="134" t="inlineStr">
        <is>
          <t>hypericin</t>
        </is>
      </c>
      <c r="B37" s="134" t="inlineStr">
        <is>
          <t>hypericin</t>
        </is>
      </c>
      <c r="C37" s="134" t="inlineStr">
        <is>
          <t>flavonoids</t>
        </is>
      </c>
      <c r="D37" s="134" t="n">
        <v>1</v>
      </c>
      <c r="E37" s="134" t="inlineStr">
        <is>
          <t>st-johns-wort</t>
        </is>
      </c>
      <c r="F37" s="134" t="inlineStr">
        <is>
          <t>multi-target signaling modulation</t>
        </is>
      </c>
      <c r="G37" s="134" t="inlineStr">
        <is>
          <t>general or unknown targets</t>
        </is>
      </c>
      <c r="H37" s="134" t="inlineStr">
        <is>
          <t>PubChem compound page (NIH); USDA Plants database</t>
        </is>
      </c>
      <c r="I37" s="134" t="inlineStr">
        <is>
          <t>trusted_gov_added</t>
        </is>
      </c>
    </row>
    <row r="38" ht="26" customHeight="1" s="76">
      <c r="A38" s="134" t="inlineStr">
        <is>
          <t>isomenthone</t>
        </is>
      </c>
      <c r="B38" s="134" t="inlineStr">
        <is>
          <t>isomenthone</t>
        </is>
      </c>
      <c r="C38" s="134" t="inlineStr">
        <is>
          <t>monoterpene ketone</t>
        </is>
      </c>
      <c r="D38" s="134" t="n">
        <v>1</v>
      </c>
      <c r="E38" s="134" t="inlineStr">
        <is>
          <t>peppermint</t>
        </is>
      </c>
      <c r="F38" s="134" t="inlineStr">
        <is>
          <t>trp_channel_modulation</t>
        </is>
      </c>
      <c r="G38" s="134" t="inlineStr">
        <is>
          <t>general ion channel modulation</t>
        </is>
      </c>
      <c r="H38" s="134" t="inlineStr">
        <is>
          <t>Compound Master V3 latest locked/source-backed row</t>
        </is>
      </c>
      <c r="I38" s="134" t="inlineStr">
        <is>
          <t>consistency_cleaned_master_linked</t>
        </is>
      </c>
    </row>
    <row r="39" ht="26" customHeight="1" s="76">
      <c r="A39" s="134" t="inlineStr">
        <is>
          <t>isosilybin a</t>
        </is>
      </c>
      <c r="B39" s="134" t="inlineStr">
        <is>
          <t>isosilybin A</t>
        </is>
      </c>
      <c r="C39" s="134" t="inlineStr">
        <is>
          <t>flavonolignan</t>
        </is>
      </c>
      <c r="D39" s="134" t="n">
        <v>1</v>
      </c>
      <c r="E39" s="134" t="inlineStr">
        <is>
          <t>milk-thistle</t>
        </is>
      </c>
      <c r="F39" s="134" t="inlineStr">
        <is>
          <t>anti-inflammatory; antioxidant; cytoprotective; redox modulation</t>
        </is>
      </c>
      <c r="G39" s="134" t="inlineStr">
        <is>
          <t>NF-kappaB; oxidative-stress signaling</t>
        </is>
      </c>
      <c r="H39" s="134" t="inlineStr">
        <is>
          <t>PubChem + PubMed + NCCIH</t>
        </is>
      </c>
      <c r="I39" s="134" t="inlineStr">
        <is>
          <t>trusted_primary_web</t>
        </is>
      </c>
    </row>
    <row r="40" ht="26" customHeight="1" s="76">
      <c r="A40" s="134" t="inlineStr">
        <is>
          <t>isosilybin b</t>
        </is>
      </c>
      <c r="B40" s="134" t="inlineStr">
        <is>
          <t>isosilybin B</t>
        </is>
      </c>
      <c r="C40" s="134" t="inlineStr">
        <is>
          <t>flavonolignan</t>
        </is>
      </c>
      <c r="D40" s="134" t="n">
        <v>1</v>
      </c>
      <c r="E40" s="134" t="inlineStr">
        <is>
          <t>milk-thistle</t>
        </is>
      </c>
      <c r="F40" s="134" t="inlineStr">
        <is>
          <t>anti-inflammatory; antioxidant; cytoprotective; redox modulation</t>
        </is>
      </c>
      <c r="G40" s="134" t="inlineStr">
        <is>
          <t>NF-kappaB; oxidative-stress signaling</t>
        </is>
      </c>
      <c r="H40" s="134" t="inlineStr">
        <is>
          <t>PubChem + PubMed + NCCIH</t>
        </is>
      </c>
      <c r="I40" s="134" t="inlineStr">
        <is>
          <t>trusted_primary_web</t>
        </is>
      </c>
    </row>
    <row r="41" ht="26" customHeight="1" s="76">
      <c r="A41" s="134" t="inlineStr">
        <is>
          <t>isosilychristin</t>
        </is>
      </c>
      <c r="B41" s="134" t="inlineStr">
        <is>
          <t>isosilychristin</t>
        </is>
      </c>
      <c r="C41" s="134" t="inlineStr">
        <is>
          <t>flavonolignan</t>
        </is>
      </c>
      <c r="D41" s="134" t="n">
        <v>1</v>
      </c>
      <c r="E41" s="134" t="inlineStr">
        <is>
          <t>milk-thistle</t>
        </is>
      </c>
      <c r="F41" s="134" t="inlineStr">
        <is>
          <t>anti-inflammatory; antioxidant; hepatoprotective; redox modulation</t>
        </is>
      </c>
      <c r="G41" s="134" t="inlineStr">
        <is>
          <t>oxidative-stress signaling; general or unknown targets</t>
        </is>
      </c>
      <c r="H41" s="134" t="inlineStr">
        <is>
          <t>PubChem + PubMed + NCCIH</t>
        </is>
      </c>
      <c r="I41" s="134" t="inlineStr">
        <is>
          <t>trusted_primary_web</t>
        </is>
      </c>
    </row>
    <row r="42" ht="26" customHeight="1" s="76">
      <c r="A42" s="134" t="inlineStr">
        <is>
          <t>isovaltrate</t>
        </is>
      </c>
      <c r="B42" s="134" t="inlineStr">
        <is>
          <t>isovaltrate</t>
        </is>
      </c>
      <c r="C42" s="134" t="inlineStr">
        <is>
          <t>iridoid ester</t>
        </is>
      </c>
      <c r="D42" s="134" t="n">
        <v>1</v>
      </c>
      <c r="E42" s="134" t="inlineStr">
        <is>
          <t>valerian</t>
        </is>
      </c>
      <c r="F42" s="134" t="inlineStr">
        <is>
          <t>sedative</t>
        </is>
      </c>
      <c r="G42" s="134" t="inlineStr">
        <is>
          <t>general or unknown targets</t>
        </is>
      </c>
      <c r="H42" s="134" t="inlineStr">
        <is>
          <t>Compound Master V3 latest locked/source-backed row</t>
        </is>
      </c>
      <c r="I42" s="134" t="inlineStr">
        <is>
          <t>consistency_cleaned_master_linked</t>
        </is>
      </c>
    </row>
    <row r="43" ht="26" customHeight="1" s="76">
      <c r="A43" s="134" t="inlineStr">
        <is>
          <t>kaempferol</t>
        </is>
      </c>
      <c r="B43" s="134" t="inlineStr">
        <is>
          <t>kaempferol</t>
        </is>
      </c>
      <c r="C43" s="134" t="inlineStr">
        <is>
          <t>Ethyl cinnamate, kaempferol, essential oils</t>
        </is>
      </c>
      <c r="D43" s="134" t="n">
        <v>1</v>
      </c>
      <c r="E43" s="134" t="inlineStr">
        <is>
          <t>st-johns-wort</t>
        </is>
      </c>
      <c r="F43" s="134" t="inlineStr">
        <is>
          <t>multi-target signaling modulation</t>
        </is>
      </c>
      <c r="G43" s="134" t="inlineStr">
        <is>
          <t>general or unknown targets</t>
        </is>
      </c>
      <c r="H43" s="134" t="inlineStr">
        <is>
          <t>scientific name; PubChem compound page (NIH); USDA Plants database</t>
        </is>
      </c>
      <c r="I43" s="134" t="inlineStr">
        <is>
          <t>inferred_plus_trusted_gov</t>
        </is>
      </c>
    </row>
    <row r="44" ht="26" customHeight="1" s="76">
      <c r="A44" s="134" t="inlineStr">
        <is>
          <t>kavain</t>
        </is>
      </c>
      <c r="B44" s="134" t="inlineStr">
        <is>
          <t>kavain</t>
        </is>
      </c>
      <c r="C44" s="134" t="inlineStr">
        <is>
          <t>other</t>
        </is>
      </c>
      <c r="D44" s="134" t="n">
        <v>1</v>
      </c>
      <c r="E44" s="134" t="inlineStr">
        <is>
          <t>kava</t>
        </is>
      </c>
      <c r="F44" s="134" t="inlineStr">
        <is>
          <t>GABAergic modulation; multi-target signaling modulation</t>
        </is>
      </c>
      <c r="G44" s="134" t="inlineStr">
        <is>
          <t>dopaminergic_modulation; gabaergic_modulation</t>
        </is>
      </c>
      <c r="H44" s="134" t="inlineStr">
        <is>
          <t>PubChem compound page (NIH); USDA Plants database</t>
        </is>
      </c>
      <c r="I44" s="134" t="inlineStr">
        <is>
          <t>trusted_gov_added</t>
        </is>
      </c>
    </row>
    <row r="45" ht="26" customHeight="1" s="76">
      <c r="A45" s="134" t="inlineStr">
        <is>
          <t>limonene</t>
        </is>
      </c>
      <c r="B45" s="134" t="inlineStr">
        <is>
          <t>limonene</t>
        </is>
      </c>
      <c r="C45" s="134" t="inlineStr">
        <is>
          <t>terpene</t>
        </is>
      </c>
      <c r="D45" s="134" t="n">
        <v>1</v>
      </c>
      <c r="E45" s="134" t="inlineStr">
        <is>
          <t>peppermint</t>
        </is>
      </c>
      <c r="F45" s="134" t="inlineStr">
        <is>
          <t>multi-target signaling modulation</t>
        </is>
      </c>
      <c r="G45" s="134" t="inlineStr">
        <is>
          <t>endocannabinoid_modulation; general or unknown targets</t>
        </is>
      </c>
      <c r="H45" s="134" t="inlineStr">
        <is>
          <t>PubChem compound page (NIH); USDA Plants database; scientific name; PubChem compound page (NIH); USDA Plants database</t>
        </is>
      </c>
      <c r="I45" s="134" t="inlineStr">
        <is>
          <t>inferred_plus_trusted_gov; trusted_gov_added</t>
        </is>
      </c>
    </row>
    <row r="46" ht="26" customHeight="1" s="76">
      <c r="A46" s="134" t="inlineStr">
        <is>
          <t>linalool</t>
        </is>
      </c>
      <c r="B46" s="134" t="inlineStr">
        <is>
          <t>linalool</t>
        </is>
      </c>
      <c r="C46" s="134" t="inlineStr">
        <is>
          <t>other</t>
        </is>
      </c>
      <c r="D46" s="134" t="n">
        <v>1</v>
      </c>
      <c r="E46" s="134" t="inlineStr">
        <is>
          <t>lemon-balm</t>
        </is>
      </c>
      <c r="F46" s="134" t="inlineStr">
        <is>
          <t>GABAergic modulation</t>
        </is>
      </c>
      <c r="G46" s="134" t="inlineStr">
        <is>
          <t>gabaergic_modulation</t>
        </is>
      </c>
      <c r="H46" s="134" t="inlineStr">
        <is>
          <t>scientific name; PubChem compound page (NIH); USDA Plants database</t>
        </is>
      </c>
      <c r="I46" s="134" t="inlineStr">
        <is>
          <t>inferred_plus_trusted_gov</t>
        </is>
      </c>
    </row>
    <row r="47" ht="26" customHeight="1" s="76">
      <c r="A47" s="134" t="inlineStr">
        <is>
          <t>menthofuran</t>
        </is>
      </c>
      <c r="B47" s="134" t="inlineStr">
        <is>
          <t>menthofuran</t>
        </is>
      </c>
      <c r="C47" s="134" t="inlineStr">
        <is>
          <t>monoterpene furan</t>
        </is>
      </c>
      <c r="D47" s="134" t="n">
        <v>1</v>
      </c>
      <c r="E47" s="134" t="inlineStr">
        <is>
          <t>peppermint</t>
        </is>
      </c>
      <c r="F47" s="134" t="inlineStr">
        <is>
          <t>hepatotoxicity_risk; metabolic_activation</t>
        </is>
      </c>
      <c r="G47" s="134" t="inlineStr">
        <is>
          <t>CYP-mediated metabolism; reactive metabolite formation</t>
        </is>
      </c>
      <c r="H47" s="134" t="inlineStr">
        <is>
          <t>Compound Master V3 latest locked/source-backed row</t>
        </is>
      </c>
      <c r="I47" s="134" t="inlineStr">
        <is>
          <t>pass24_resolved_master_linked</t>
        </is>
      </c>
    </row>
    <row r="48" ht="26" customHeight="1" s="76">
      <c r="A48" s="134" t="inlineStr">
        <is>
          <t>menthol</t>
        </is>
      </c>
      <c r="B48" s="134" t="inlineStr">
        <is>
          <t>menthol</t>
        </is>
      </c>
      <c r="C48" s="134" t="inlineStr">
        <is>
          <t>monoterpenoid alcohol</t>
        </is>
      </c>
      <c r="D48" s="134" t="n">
        <v>1</v>
      </c>
      <c r="E48" s="134" t="inlineStr">
        <is>
          <t>peppermint</t>
        </is>
      </c>
      <c r="F48" s="134" t="inlineStr">
        <is>
          <t>multi-target signaling modulation</t>
        </is>
      </c>
      <c r="G48" s="134" t="inlineStr">
        <is>
          <t>TRPM8 agonism; general or unknown targets</t>
        </is>
      </c>
      <c r="H48" s="134" t="inlineStr">
        <is>
          <t>PubChem compound page (NIH); USDA Plants database; scientific name; PubChem compound page (NIH); USDA Plants database</t>
        </is>
      </c>
      <c r="I48" s="134" t="inlineStr">
        <is>
          <t>inferred_plus_trusted_gov; trusted_gov_added</t>
        </is>
      </c>
    </row>
    <row r="49" ht="26" customHeight="1" s="76">
      <c r="A49" s="134" t="inlineStr">
        <is>
          <t>menthone</t>
        </is>
      </c>
      <c r="B49" s="134" t="inlineStr">
        <is>
          <t>menthone</t>
        </is>
      </c>
      <c r="C49" s="134" t="inlineStr">
        <is>
          <t>Menthol, menthone, flavonoids</t>
        </is>
      </c>
      <c r="D49" s="134" t="n">
        <v>1</v>
      </c>
      <c r="E49" s="134" t="inlineStr">
        <is>
          <t>peppermint</t>
        </is>
      </c>
      <c r="F49" s="134" t="inlineStr">
        <is>
          <t>multi-target signaling modulation</t>
        </is>
      </c>
      <c r="G49" s="134" t="inlineStr">
        <is>
          <t>general or unknown targets</t>
        </is>
      </c>
      <c r="H49" s="134" t="inlineStr">
        <is>
          <t>PubChem compound page (NIH); USDA Plants database; scientific name; PubChem compound page (NIH); USDA Plants database</t>
        </is>
      </c>
      <c r="I49" s="134" t="inlineStr">
        <is>
          <t>inferred_plus_trusted_gov; trusted_gov_added</t>
        </is>
      </c>
    </row>
    <row r="50" ht="26" customHeight="1" s="76">
      <c r="A50" s="134" t="inlineStr">
        <is>
          <t>menthyl acetate</t>
        </is>
      </c>
      <c r="B50" s="134" t="inlineStr">
        <is>
          <t>menthyl acetate</t>
        </is>
      </c>
      <c r="C50" s="134" t="inlineStr">
        <is>
          <t>monoterpene ester</t>
        </is>
      </c>
      <c r="D50" s="134" t="n">
        <v>1</v>
      </c>
      <c r="E50" s="134" t="inlineStr">
        <is>
          <t>peppermint</t>
        </is>
      </c>
      <c r="F50" s="134" t="inlineStr">
        <is>
          <t>trp_channel_modulation</t>
        </is>
      </c>
      <c r="G50" s="134" t="inlineStr">
        <is>
          <t>general or unknown targets</t>
        </is>
      </c>
      <c r="H50" s="134" t="inlineStr">
        <is>
          <t>Compound Master V3 latest locked/source-backed row</t>
        </is>
      </c>
      <c r="I50" s="134" t="inlineStr">
        <is>
          <t>consistency_cleaned_master_linked</t>
        </is>
      </c>
    </row>
    <row r="51" ht="26" customHeight="1" s="76">
      <c r="A51" s="134" t="inlineStr">
        <is>
          <t>methysticin</t>
        </is>
      </c>
      <c r="B51" s="134" t="inlineStr">
        <is>
          <t>methysticin</t>
        </is>
      </c>
      <c r="C51" s="134" t="inlineStr">
        <is>
          <t>other</t>
        </is>
      </c>
      <c r="D51" s="134" t="n">
        <v>1</v>
      </c>
      <c r="E51" s="134" t="inlineStr">
        <is>
          <t>kava</t>
        </is>
      </c>
      <c r="F51" s="134" t="inlineStr">
        <is>
          <t>GABAergic modulation; multi-target signaling modulation</t>
        </is>
      </c>
      <c r="G51" s="134" t="inlineStr">
        <is>
          <t>dopaminergic_modulation; gabaergic_modulation</t>
        </is>
      </c>
      <c r="H51" s="134" t="inlineStr">
        <is>
          <t>PubChem compound page (NIH); USDA Plants database</t>
        </is>
      </c>
      <c r="I51" s="134" t="inlineStr">
        <is>
          <t>trusted_gov_added</t>
        </is>
      </c>
    </row>
    <row r="52" ht="26" customHeight="1" s="76">
      <c r="A52" s="134" t="inlineStr">
        <is>
          <t>pseudohypericin</t>
        </is>
      </c>
      <c r="B52" s="134" t="inlineStr">
        <is>
          <t>pseudohypericin</t>
        </is>
      </c>
      <c r="C52" s="134" t="inlineStr">
        <is>
          <t>naphthodianthrone</t>
        </is>
      </c>
      <c r="D52" s="134" t="n">
        <v>1</v>
      </c>
      <c r="E52" s="134" t="inlineStr">
        <is>
          <t>st-johns-wort</t>
        </is>
      </c>
      <c r="F52" s="134" t="inlineStr">
        <is>
          <t>photodynamic activity; redox modulation</t>
        </is>
      </c>
      <c r="G52" s="134" t="inlineStr">
        <is>
          <t>photosensitization-related pathways; oxidative-stress signaling</t>
        </is>
      </c>
      <c r="H52" s="134" t="inlineStr">
        <is>
          <t>PubChem + NCBI Bookshelf</t>
        </is>
      </c>
      <c r="I52" s="134" t="inlineStr">
        <is>
          <t>trusted_primary_web</t>
        </is>
      </c>
    </row>
    <row r="53" ht="26" customHeight="1" s="76">
      <c r="A53" s="134" t="inlineStr">
        <is>
          <t>rosarin</t>
        </is>
      </c>
      <c r="B53" s="134" t="inlineStr">
        <is>
          <t>rosarin</t>
        </is>
      </c>
      <c r="C53" s="134" t="inlineStr">
        <is>
          <t>phenylpropanoid glycoside</t>
        </is>
      </c>
      <c r="D53" s="134" t="n">
        <v>1</v>
      </c>
      <c r="E53" s="134" t="inlineStr">
        <is>
          <t>rhodiola-rosea</t>
        </is>
      </c>
      <c r="F53" s="134" t="inlineStr">
        <is>
          <t>adaptogen; antioxidant; multi-target signaling modulation</t>
        </is>
      </c>
      <c r="G53" s="134" t="inlineStr">
        <is>
          <t>unresolved at single-compound level</t>
        </is>
      </c>
      <c r="H53" s="134" t="inlineStr">
        <is>
          <t>PubChem + PubMed + NCCIH</t>
        </is>
      </c>
      <c r="I53" s="134" t="inlineStr">
        <is>
          <t>trusted_primary_web</t>
        </is>
      </c>
    </row>
    <row r="54" ht="26" customHeight="1" s="76">
      <c r="A54" s="134" t="inlineStr">
        <is>
          <t>rosavin</t>
        </is>
      </c>
      <c r="B54" s="134" t="inlineStr">
        <is>
          <t>rosavin</t>
        </is>
      </c>
      <c r="C54" s="134" t="inlineStr">
        <is>
          <t>Rosavin, salidroside, flavonoids</t>
        </is>
      </c>
      <c r="D54" s="134" t="n">
        <v>1</v>
      </c>
      <c r="E54" s="134" t="inlineStr">
        <is>
          <t>rhodiola-rosea</t>
        </is>
      </c>
      <c r="F54" s="134" t="inlineStr">
        <is>
          <t>multi-target signaling modulation</t>
        </is>
      </c>
      <c r="G54" s="134" t="inlineStr">
        <is>
          <t>general or unknown targets</t>
        </is>
      </c>
      <c r="H54" s="134" t="inlineStr">
        <is>
          <t>scientific name; PubChem compound page (NIH); USDA Plants database</t>
        </is>
      </c>
      <c r="I54" s="134" t="inlineStr">
        <is>
          <t>inferred_plus_trusted_gov</t>
        </is>
      </c>
    </row>
    <row r="55" ht="26" customHeight="1" s="76">
      <c r="A55" s="134" t="inlineStr">
        <is>
          <t>rosin</t>
        </is>
      </c>
      <c r="B55" s="134" t="inlineStr">
        <is>
          <t>rosin</t>
        </is>
      </c>
      <c r="C55" s="134" t="inlineStr">
        <is>
          <t>phenylpropanoid glycoside</t>
        </is>
      </c>
      <c r="D55" s="134" t="n">
        <v>1</v>
      </c>
      <c r="E55" s="134" t="inlineStr">
        <is>
          <t>rhodiola-rosea</t>
        </is>
      </c>
      <c r="F55" s="134" t="inlineStr">
        <is>
          <t>adaptogen; antioxidant; multi-target signaling modulation</t>
        </is>
      </c>
      <c r="G55" s="134" t="inlineStr">
        <is>
          <t>unresolved at single-compound level</t>
        </is>
      </c>
      <c r="H55" s="134" t="inlineStr">
        <is>
          <t>PubChem + PubMed + NCCIH</t>
        </is>
      </c>
      <c r="I55" s="134" t="inlineStr">
        <is>
          <t>trusted_primary_web</t>
        </is>
      </c>
    </row>
    <row r="56" ht="26" customHeight="1" s="76">
      <c r="A56" s="134" t="inlineStr">
        <is>
          <t>rosmarinic acid</t>
        </is>
      </c>
      <c r="B56" s="134" t="inlineStr">
        <is>
          <t>rosmarinic acid</t>
        </is>
      </c>
      <c r="C56" s="134" t="inlineStr">
        <is>
          <t>phenolic compound</t>
        </is>
      </c>
      <c r="D56" s="134" t="n">
        <v>2</v>
      </c>
      <c r="E56" s="134" t="inlineStr">
        <is>
          <t>holy-basil; lemon-balm</t>
        </is>
      </c>
      <c r="F56" s="134" t="inlineStr">
        <is>
          <t>COX/NF-kB inhibition; GABAergic modulation; multi-target signaling modulation</t>
        </is>
      </c>
      <c r="G56" s="134" t="inlineStr">
        <is>
          <t>gabaergic_modulation; general or unknown targets; inflammatory_pathway_modulation</t>
        </is>
      </c>
      <c r="H56" s="134" t="inlineStr">
        <is>
          <t>PubChem compound page (NIH); USDA Plants database; scientific name; PubChem compound page (NIH); USDA Plants database</t>
        </is>
      </c>
      <c r="I56" s="134" t="inlineStr">
        <is>
          <t>inferred_plus_trusted_gov; trusted_gov_added</t>
        </is>
      </c>
    </row>
    <row r="57" ht="26" customHeight="1" s="76">
      <c r="A57" s="134" t="inlineStr">
        <is>
          <t>rutin</t>
        </is>
      </c>
      <c r="B57" s="134" t="inlineStr">
        <is>
          <t>rutin</t>
        </is>
      </c>
      <c r="C57" s="134" t="inlineStr">
        <is>
          <t>other</t>
        </is>
      </c>
      <c r="D57" s="134" t="n">
        <v>1</v>
      </c>
      <c r="E57" s="134" t="inlineStr">
        <is>
          <t>st-johns-wort</t>
        </is>
      </c>
      <c r="F57" s="134" t="inlineStr">
        <is>
          <t>multi-target signaling modulation; muscarinic receptor interaction</t>
        </is>
      </c>
      <c r="G57" s="134" t="inlineStr">
        <is>
          <t>cholinergic_modulation; general or unknown targets</t>
        </is>
      </c>
      <c r="H57" s="134" t="inlineStr">
        <is>
          <t>PubChem compound page (NIH); USDA Plants database; scientific name; PubChem compound page (NIH); USDA Plants database</t>
        </is>
      </c>
      <c r="I57" s="134" t="inlineStr">
        <is>
          <t>inferred_plus_trusted_gov; trusted_gov_added</t>
        </is>
      </c>
    </row>
    <row r="58" ht="26" customHeight="1" s="76">
      <c r="A58" s="134" t="inlineStr">
        <is>
          <t>s-allyl-cysteine</t>
        </is>
      </c>
      <c r="B58" s="134" t="inlineStr">
        <is>
          <t>S-allyl-cysteine</t>
        </is>
      </c>
      <c r="C58" s="134" t="inlineStr">
        <is>
          <t>organosulfur amino acid</t>
        </is>
      </c>
      <c r="D58" s="134" t="n">
        <v>1</v>
      </c>
      <c r="E58" s="134" t="inlineStr">
        <is>
          <t>garlic</t>
        </is>
      </c>
      <c r="F58" s="134" t="inlineStr">
        <is>
          <t>oxidative_stress_modulation; cardiovascular_support</t>
        </is>
      </c>
      <c r="G58" s="134" t="inlineStr">
        <is>
          <t>oxidative stress pathways; nitric oxide signaling</t>
        </is>
      </c>
      <c r="H58" s="134" t="inlineStr">
        <is>
          <t>Compound Master V3 latest locked/source-backed row</t>
        </is>
      </c>
      <c r="I58" s="134" t="inlineStr">
        <is>
          <t>pass24_resolved_master_linked</t>
        </is>
      </c>
    </row>
    <row r="59" ht="26" customHeight="1" s="76">
      <c r="A59" s="134" t="inlineStr">
        <is>
          <t>salidroside</t>
        </is>
      </c>
      <c r="B59" s="134" t="inlineStr">
        <is>
          <t>salidroside</t>
        </is>
      </c>
      <c r="C59" s="134" t="inlineStr">
        <is>
          <t>phenylpropanoid glycoside</t>
        </is>
      </c>
      <c r="D59" s="134" t="n">
        <v>1</v>
      </c>
      <c r="E59" s="134" t="inlineStr">
        <is>
          <t>rhodiola-rosea</t>
        </is>
      </c>
      <c r="F59" s="134" t="inlineStr">
        <is>
          <t>multi-target signaling modulation</t>
        </is>
      </c>
      <c r="G59" s="134" t="inlineStr">
        <is>
          <t>AMPK activation; Nrf2/ARE pathway activation; PI3K/Akt pathway modulation; general or unknown targets</t>
        </is>
      </c>
      <c r="H59" s="134" t="inlineStr">
        <is>
          <t>PubChem compound page (NIH); USDA Plants database; scientific name; PubChem compound page (NIH); USDA Plants database</t>
        </is>
      </c>
      <c r="I59" s="134" t="inlineStr">
        <is>
          <t>inferred_plus_trusted_gov; trusted_gov_added</t>
        </is>
      </c>
    </row>
    <row r="60" ht="26" customHeight="1" s="76">
      <c r="A60" s="134" t="inlineStr">
        <is>
          <t>sciadopitysin</t>
        </is>
      </c>
      <c r="B60" s="134" t="inlineStr">
        <is>
          <t>sciadopitysin</t>
        </is>
      </c>
      <c r="C60" s="134" t="inlineStr">
        <is>
          <t>biflavonoid</t>
        </is>
      </c>
      <c r="D60" s="134" t="n">
        <v>1</v>
      </c>
      <c r="E60" s="134" t="inlineStr">
        <is>
          <t>ginkgo-biloba</t>
        </is>
      </c>
      <c r="F60" s="134" t="inlineStr">
        <is>
          <t>anti-inflammatory; antioxidant; redox modulation</t>
        </is>
      </c>
      <c r="G60" s="134" t="inlineStr">
        <is>
          <t>NF-kappaB; oxidative-stress signaling</t>
        </is>
      </c>
      <c r="H60" s="134" t="inlineStr">
        <is>
          <t>PubChem + PubMed + NCCIH</t>
        </is>
      </c>
      <c r="I60" s="134" t="inlineStr">
        <is>
          <t>trusted_primary_web</t>
        </is>
      </c>
    </row>
    <row r="61" ht="26" customHeight="1" s="76">
      <c r="A61" s="134" t="inlineStr">
        <is>
          <t>silybin a</t>
        </is>
      </c>
      <c r="B61" s="134" t="inlineStr">
        <is>
          <t>silybin A</t>
        </is>
      </c>
      <c r="C61" s="134" t="inlineStr">
        <is>
          <t>flavonolignan</t>
        </is>
      </c>
      <c r="D61" s="134" t="n">
        <v>1</v>
      </c>
      <c r="E61" s="134" t="inlineStr">
        <is>
          <t>milk-thistle</t>
        </is>
      </c>
      <c r="F61" s="134" t="inlineStr">
        <is>
          <t>anti-inflammatory; antioxidant; hepatoprotective; redox modulation</t>
        </is>
      </c>
      <c r="G61" s="134" t="inlineStr">
        <is>
          <t>Nrf2-associated signaling; NF-kappaB; oxidative-stress signaling</t>
        </is>
      </c>
      <c r="H61" s="134" t="inlineStr">
        <is>
          <t>PubChem + PubMed + NCCIH</t>
        </is>
      </c>
      <c r="I61" s="134" t="inlineStr">
        <is>
          <t>trusted_primary_web</t>
        </is>
      </c>
    </row>
    <row r="62" ht="26" customHeight="1" s="76">
      <c r="A62" s="134" t="inlineStr">
        <is>
          <t>silybin b</t>
        </is>
      </c>
      <c r="B62" s="134" t="inlineStr">
        <is>
          <t>silybin B</t>
        </is>
      </c>
      <c r="C62" s="134" t="inlineStr">
        <is>
          <t>flavonolignan</t>
        </is>
      </c>
      <c r="D62" s="134" t="n">
        <v>1</v>
      </c>
      <c r="E62" s="134" t="inlineStr">
        <is>
          <t>milk-thistle</t>
        </is>
      </c>
      <c r="F62" s="134" t="inlineStr">
        <is>
          <t>anti-inflammatory; antioxidant; hepatoprotective; redox modulation</t>
        </is>
      </c>
      <c r="G62" s="134" t="inlineStr">
        <is>
          <t>Nrf2-associated signaling; NF-kappaB; oxidative-stress signaling</t>
        </is>
      </c>
      <c r="H62" s="134" t="inlineStr">
        <is>
          <t>PubChem + PubMed + NCCIH</t>
        </is>
      </c>
      <c r="I62" s="134" t="inlineStr">
        <is>
          <t>trusted_primary_web</t>
        </is>
      </c>
    </row>
    <row r="63" ht="26" customHeight="1" s="76">
      <c r="A63" s="134" t="inlineStr">
        <is>
          <t>silychristin</t>
        </is>
      </c>
      <c r="B63" s="134" t="inlineStr">
        <is>
          <t>silychristin)</t>
        </is>
      </c>
      <c r="C63" s="134" t="inlineStr">
        <is>
          <t>other</t>
        </is>
      </c>
      <c r="D63" s="134" t="n">
        <v>1</v>
      </c>
      <c r="E63" s="134" t="inlineStr">
        <is>
          <t>milk-thistle</t>
        </is>
      </c>
      <c r="F63" s="134" t="inlineStr">
        <is>
          <t>multi-target signaling modulation</t>
        </is>
      </c>
      <c r="G63" s="134" t="inlineStr">
        <is>
          <t>general or unknown targets</t>
        </is>
      </c>
      <c r="H63" s="134" t="inlineStr">
        <is>
          <t>PubChem compound page (NIH); USDA Plants database</t>
        </is>
      </c>
      <c r="I63" s="134" t="inlineStr">
        <is>
          <t>trusted_gov_added</t>
        </is>
      </c>
    </row>
    <row r="64" ht="26" customHeight="1" s="76">
      <c r="A64" s="134" t="inlineStr">
        <is>
          <t>silydianin</t>
        </is>
      </c>
      <c r="B64" s="134" t="inlineStr">
        <is>
          <t>silydianin</t>
        </is>
      </c>
      <c r="C64" s="134" t="inlineStr">
        <is>
          <t>other</t>
        </is>
      </c>
      <c r="D64" s="134" t="n">
        <v>1</v>
      </c>
      <c r="E64" s="134" t="inlineStr">
        <is>
          <t>milk-thistle</t>
        </is>
      </c>
      <c r="F64" s="134" t="inlineStr">
        <is>
          <t>multi-target signaling modulation</t>
        </is>
      </c>
      <c r="G64" s="134" t="inlineStr">
        <is>
          <t>general or unknown targets</t>
        </is>
      </c>
      <c r="H64" s="134" t="inlineStr">
        <is>
          <t>PubChem compound page (NIH); USDA Plants database</t>
        </is>
      </c>
      <c r="I64" s="134" t="inlineStr">
        <is>
          <t>trusted_gov_added</t>
        </is>
      </c>
    </row>
    <row r="65" ht="26" customHeight="1" s="76">
      <c r="A65" s="134" t="inlineStr">
        <is>
          <t>tyrosol</t>
        </is>
      </c>
      <c r="B65" s="134" t="inlineStr">
        <is>
          <t>tyrosol</t>
        </is>
      </c>
      <c r="C65" s="134" t="inlineStr">
        <is>
          <t>simple phenolic alcohol / phenethyl alcohol</t>
        </is>
      </c>
      <c r="D65" s="134" t="n">
        <v>1</v>
      </c>
      <c r="E65" s="134" t="inlineStr">
        <is>
          <t>rhodiola-rosea</t>
        </is>
      </c>
      <c r="F65" s="134" t="inlineStr">
        <is>
          <t>antioxidant; cytoprotective; multi-target signaling modulation</t>
        </is>
      </c>
      <c r="G65" s="134" t="inlineStr">
        <is>
          <t>Nrf2; HO-1; oxidative-stress response pathways</t>
        </is>
      </c>
      <c r="H65" s="134" t="inlineStr">
        <is>
          <t>PubChem + PubMed</t>
        </is>
      </c>
      <c r="I65" s="134" t="inlineStr">
        <is>
          <t>trusted_primary_web</t>
        </is>
      </c>
    </row>
    <row r="66" ht="26" customHeight="1" s="76">
      <c r="A66" s="134" t="inlineStr">
        <is>
          <t>ursolic acid</t>
        </is>
      </c>
      <c r="B66" s="134" t="inlineStr">
        <is>
          <t>ursolic acid</t>
        </is>
      </c>
      <c r="C66" s="134" t="inlineStr">
        <is>
          <t>organic acid</t>
        </is>
      </c>
      <c r="D66" s="134" t="n">
        <v>1</v>
      </c>
      <c r="E66" s="134" t="inlineStr">
        <is>
          <t>holy-basil</t>
        </is>
      </c>
      <c r="F66" s="134" t="inlineStr">
        <is>
          <t>COX/NF-kB inhibition; multi-target signaling modulation</t>
        </is>
      </c>
      <c r="G66" s="134" t="inlineStr">
        <is>
          <t>general or unknown targets; inflammatory_pathway_modulation</t>
        </is>
      </c>
      <c r="H66" s="134" t="inlineStr">
        <is>
          <t>PubChem compound page (NIH); USDA Plants database; scientific name; PubChem compound page (NIH); USDA Plants database</t>
        </is>
      </c>
      <c r="I66" s="134" t="inlineStr">
        <is>
          <t>inferred_plus_trusted_gov; trusted_gov_added</t>
        </is>
      </c>
    </row>
    <row r="67" ht="26" customHeight="1" s="76">
      <c r="A67" s="134" t="inlineStr">
        <is>
          <t>valerenal</t>
        </is>
      </c>
      <c r="B67" s="134" t="inlineStr">
        <is>
          <t>valerenal</t>
        </is>
      </c>
      <c r="C67" s="134" t="inlineStr">
        <is>
          <t>sesquiterpenoid</t>
        </is>
      </c>
      <c r="D67" s="134" t="n">
        <v>1</v>
      </c>
      <c r="E67" s="134" t="inlineStr">
        <is>
          <t>valerian</t>
        </is>
      </c>
      <c r="F67" s="134" t="inlineStr">
        <is>
          <t>gaba_a_modulation; sedative</t>
        </is>
      </c>
      <c r="G67" s="134" t="inlineStr">
        <is>
          <t>GABA_A receptor modulation</t>
        </is>
      </c>
      <c r="H67" s="134" t="inlineStr">
        <is>
          <t>Compound Master V3 latest locked/source-backed row</t>
        </is>
      </c>
      <c r="I67" s="134" t="inlineStr">
        <is>
          <t>consistency_cleaned_master_linked</t>
        </is>
      </c>
    </row>
    <row r="68" ht="26" customHeight="1" s="76">
      <c r="A68" s="134" t="inlineStr">
        <is>
          <t>valerenic acid</t>
        </is>
      </c>
      <c r="B68" s="134" t="inlineStr">
        <is>
          <t>valerenic acid</t>
        </is>
      </c>
      <c r="C68" s="134" t="inlineStr">
        <is>
          <t>organic acid</t>
        </is>
      </c>
      <c r="D68" s="134" t="n">
        <v>1</v>
      </c>
      <c r="E68" s="134" t="inlineStr">
        <is>
          <t>valerian</t>
        </is>
      </c>
      <c r="F68" s="134" t="inlineStr">
        <is>
          <t>GABAergic modulation; multi-target signaling modulation</t>
        </is>
      </c>
      <c r="G68" s="134" t="inlineStr">
        <is>
          <t>gabaergic_modulation; general or unknown targets</t>
        </is>
      </c>
      <c r="H68" s="134" t="inlineStr">
        <is>
          <t>PubChem compound page (NIH); USDA Plants database; scientific name; PubChem compound page (NIH); USDA Plants database</t>
        </is>
      </c>
      <c r="I68" s="134" t="inlineStr">
        <is>
          <t>inferred_plus_trusted_gov; trusted_gov_added</t>
        </is>
      </c>
    </row>
    <row r="69" ht="26" customHeight="1" s="76">
      <c r="A69" s="134" t="inlineStr">
        <is>
          <t>valerenol</t>
        </is>
      </c>
      <c r="B69" s="134" t="inlineStr">
        <is>
          <t>valerenol</t>
        </is>
      </c>
      <c r="C69" s="134" t="inlineStr">
        <is>
          <t>other</t>
        </is>
      </c>
      <c r="D69" s="134" t="n">
        <v>1</v>
      </c>
      <c r="E69" s="134" t="inlineStr">
        <is>
          <t>valerian</t>
        </is>
      </c>
      <c r="F69" s="134" t="inlineStr">
        <is>
          <t>GABAergic modulation</t>
        </is>
      </c>
      <c r="G69" s="134" t="inlineStr">
        <is>
          <t>gabaergic_modulation</t>
        </is>
      </c>
      <c r="H69" s="134" t="inlineStr">
        <is>
          <t>PubChem compound page (NIH); USDA Plants database</t>
        </is>
      </c>
      <c r="I69" s="134" t="inlineStr">
        <is>
          <t>trusted_gov_added</t>
        </is>
      </c>
    </row>
    <row r="70" ht="26" customHeight="1" s="76">
      <c r="A70" s="134" t="inlineStr">
        <is>
          <t>valtrate</t>
        </is>
      </c>
      <c r="B70" s="134" t="inlineStr">
        <is>
          <t>valtrate</t>
        </is>
      </c>
      <c r="C70" s="134" t="inlineStr">
        <is>
          <t>iridoid ester</t>
        </is>
      </c>
      <c r="D70" s="134" t="n">
        <v>1</v>
      </c>
      <c r="E70" s="134" t="inlineStr">
        <is>
          <t>valerian</t>
        </is>
      </c>
      <c r="F70" s="134" t="inlineStr">
        <is>
          <t>sedative; cytotoxic signaling</t>
        </is>
      </c>
      <c r="G70" s="134" t="inlineStr">
        <is>
          <t>general or unknown targets</t>
        </is>
      </c>
      <c r="H70" s="134" t="inlineStr">
        <is>
          <t>Compound Master V3 latest locked/source-backed row</t>
        </is>
      </c>
      <c r="I70" s="134" t="inlineStr">
        <is>
          <t>consistency_cleaned_master_linked</t>
        </is>
      </c>
    </row>
    <row r="71" ht="26" customHeight="1" s="76">
      <c r="A71" s="134" t="inlineStr">
        <is>
          <t>withaferin a</t>
        </is>
      </c>
      <c r="B71" s="134" t="inlineStr">
        <is>
          <t>withaferin A</t>
        </is>
      </c>
      <c r="C71" s="134" t="inlineStr">
        <is>
          <t>withanolide / steroidal lactone</t>
        </is>
      </c>
      <c r="D71" s="134" t="n">
        <v>1</v>
      </c>
      <c r="E71" s="134" t="inlineStr">
        <is>
          <t>ashwagandha</t>
        </is>
      </c>
      <c r="F71" s="134" t="inlineStr">
        <is>
          <t>inflammatory_pathway_modulation; multi-target signaling modulation</t>
        </is>
      </c>
      <c r="G71" s="134" t="inlineStr">
        <is>
          <t>HSP90; vimentin; IKKbeta; NFkB; EMT-related signaling</t>
        </is>
      </c>
      <c r="H71" s="134" t="inlineStr">
        <is>
          <t>Compound Master V3 latest locked/source-backed row</t>
        </is>
      </c>
      <c r="I71" s="134" t="inlineStr">
        <is>
          <t>consistency_cleaned_master_linked</t>
        </is>
      </c>
    </row>
    <row r="72" ht="26" customHeight="1" s="76">
      <c r="A72" s="134" t="inlineStr">
        <is>
          <t>withanolide a</t>
        </is>
      </c>
      <c r="B72" s="134" t="inlineStr">
        <is>
          <t>withanolide A</t>
        </is>
      </c>
      <c r="C72" s="134" t="inlineStr">
        <is>
          <t>withanolide / steroidal lactone</t>
        </is>
      </c>
      <c r="D72" s="134" t="n">
        <v>1</v>
      </c>
      <c r="E72" s="134" t="inlineStr">
        <is>
          <t>ashwagandha</t>
        </is>
      </c>
      <c r="F72" s="134" t="inlineStr">
        <is>
          <t>inflammatory_pathway_modulation; neuroprotective; multi-target signaling modulation</t>
        </is>
      </c>
      <c r="G72" s="134" t="inlineStr">
        <is>
          <t>BDNF/TrkB-associated signaling; Akt; ERK; CREB; NRF2; neuroinflammation-related signaling</t>
        </is>
      </c>
      <c r="H72" s="134" t="inlineStr">
        <is>
          <t>Compound Master V3 latest locked/source-backed row</t>
        </is>
      </c>
      <c r="I72" s="134" t="inlineStr">
        <is>
          <t>consistency_cleaned_master_linked</t>
        </is>
      </c>
    </row>
    <row r="73" ht="26" customHeight="1" s="76">
      <c r="A73" s="134" t="inlineStr">
        <is>
          <t>withanolide d</t>
        </is>
      </c>
      <c r="B73" s="134" t="inlineStr">
        <is>
          <t>withanolide d)</t>
        </is>
      </c>
      <c r="C73" s="134" t="inlineStr">
        <is>
          <t>other</t>
        </is>
      </c>
      <c r="D73" s="134" t="n">
        <v>1</v>
      </c>
      <c r="E73" s="134" t="inlineStr">
        <is>
          <t>ashwagandha</t>
        </is>
      </c>
      <c r="F73" s="134" t="inlineStr">
        <is>
          <t>COX/NF-kB inhibition; GABAergic modulation</t>
        </is>
      </c>
      <c r="G73" s="134" t="inlineStr">
        <is>
          <t>gabaergic_modulation; inflammatory_pathway_modulation</t>
        </is>
      </c>
      <c r="H73" s="134" t="inlineStr">
        <is>
          <t>PubChem compound page (NIH); USDA Plants database</t>
        </is>
      </c>
      <c r="I73" s="134" t="inlineStr">
        <is>
          <t>trusted_gov_added</t>
        </is>
      </c>
    </row>
    <row r="74" ht="26" customHeight="1" s="76">
      <c r="A74" s="134" t="inlineStr">
        <is>
          <t>withanoside iv</t>
        </is>
      </c>
      <c r="B74" s="134" t="inlineStr">
        <is>
          <t>withanoside IV</t>
        </is>
      </c>
      <c r="C74" s="134" t="inlineStr">
        <is>
          <t>withanolide glycoside / steroidal lactone glycoside</t>
        </is>
      </c>
      <c r="D74" s="134" t="n">
        <v>1</v>
      </c>
      <c r="E74" s="134" t="inlineStr">
        <is>
          <t>ashwagandha</t>
        </is>
      </c>
      <c r="F74" s="134" t="inlineStr">
        <is>
          <t>neuroprotective; adaptogen; multi-target signaling modulation</t>
        </is>
      </c>
      <c r="G74" s="134" t="inlineStr">
        <is>
          <t>neuroregeneration-related signaling; unresolved at isolated-compound level</t>
        </is>
      </c>
      <c r="H74" s="134" t="inlineStr">
        <is>
          <t>PubChem + PubMed + NCCIH</t>
        </is>
      </c>
      <c r="I74" s="134" t="inlineStr">
        <is>
          <t>tier1_locked</t>
        </is>
      </c>
    </row>
    <row r="75" ht="26" customHeight="1" s="76">
      <c r="A75" s="134" t="inlineStr">
        <is>
          <t>yangonin</t>
        </is>
      </c>
      <c r="B75" s="134" t="inlineStr">
        <is>
          <t>yangonin</t>
        </is>
      </c>
      <c r="C75" s="134" t="inlineStr">
        <is>
          <t>other</t>
        </is>
      </c>
      <c r="D75" s="134" t="n">
        <v>1</v>
      </c>
      <c r="E75" s="134" t="inlineStr">
        <is>
          <t>kava</t>
        </is>
      </c>
      <c r="F75" s="134" t="inlineStr">
        <is>
          <t>GABAergic modulation; multi-target signaling modulation</t>
        </is>
      </c>
      <c r="G75" s="134" t="inlineStr">
        <is>
          <t>dopaminergic_modulation; gabaergic_modulation</t>
        </is>
      </c>
      <c r="H75" s="134" t="inlineStr">
        <is>
          <t>PubChem compound page (NIH); USDA Plants database</t>
        </is>
      </c>
      <c r="I75" s="134" t="inlineStr">
        <is>
          <t>trusted_gov_added</t>
        </is>
      </c>
    </row>
    <row r="76" ht="26" customHeight="1" s="76">
      <c r="A76" s="134" t="inlineStr">
        <is>
          <t>zingerone</t>
        </is>
      </c>
      <c r="B76" s="134" t="inlineStr">
        <is>
          <t>zingerone</t>
        </is>
      </c>
      <c r="C76" s="134" t="inlineStr">
        <is>
          <t>other</t>
        </is>
      </c>
      <c r="D76" s="134" t="n">
        <v>1</v>
      </c>
      <c r="E76" s="134" t="inlineStr">
        <is>
          <t>ginger</t>
        </is>
      </c>
      <c r="F76" s="134" t="inlineStr">
        <is>
          <t>COX/NF-kB inhibition</t>
        </is>
      </c>
      <c r="G76" s="134" t="inlineStr">
        <is>
          <t>inflammatory_pathway_modulation</t>
        </is>
      </c>
      <c r="H76" s="134" t="inlineStr">
        <is>
          <t>PubChem compound page (NIH); USDA Plants database</t>
        </is>
      </c>
      <c r="I76" s="134" t="inlineStr">
        <is>
          <t>trusted_gov_added</t>
        </is>
      </c>
    </row>
    <row r="77" ht="26" customHeight="1" s="76">
      <c r="A77" s="134" t="n"/>
      <c r="B77" s="134" t="n"/>
      <c r="C77" s="134" t="n"/>
      <c r="D77" s="134" t="n"/>
      <c r="E77" s="134" t="n"/>
      <c r="F77" s="134" t="n"/>
      <c r="G77" s="134" t="n"/>
      <c r="H77" s="134" t="n"/>
      <c r="I77" s="134"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8" customWidth="1" style="76" min="1" max="1"/>
    <col width="18" customWidth="1" style="76" min="2" max="2"/>
    <col width="23.43000030517578" customWidth="1" style="76" min="3" max="3"/>
    <col width="27.13999938964844" customWidth="1" style="76" min="4" max="4"/>
    <col width="21" customWidth="1" style="76" min="5" max="5"/>
    <col width="25.86000061035156" customWidth="1" style="76" min="6" max="6"/>
    <col width="30.29000091552734" customWidth="1" style="76" min="7" max="7"/>
    <col width="18.13999938964844" customWidth="1" style="76" min="8" max="8"/>
    <col width="22.43000030517578" customWidth="1" style="76" min="9" max="9"/>
    <col width="30.13999938964844" customWidth="1" style="76" min="10" max="10"/>
    <col width="28" customWidth="1" style="76" min="11" max="11"/>
    <col width="36" customWidth="1" style="76" min="12" max="12"/>
    <col width="28" customWidth="1" style="76" min="13" max="13"/>
    <col width="24" customWidth="1" style="76" min="14" max="14"/>
    <col width="36" customWidth="1" style="76" min="15" max="15"/>
  </cols>
  <sheetData>
    <row r="1" ht="17.08984375" customHeight="1" s="76">
      <c r="A1" s="142" t="inlineStr">
        <is>
          <t>herbSlug</t>
        </is>
      </c>
      <c r="B1" s="142" t="inlineStr">
        <is>
          <t>herbName</t>
        </is>
      </c>
      <c r="C1" s="142" t="inlineStr">
        <is>
          <t>rawCompoundEntries</t>
        </is>
      </c>
      <c r="D1" s="142" t="inlineStr">
        <is>
          <t>normalizedAtomicEntries</t>
        </is>
      </c>
      <c r="E1" s="142" t="inlineStr">
        <is>
          <t>masterLinkedCount</t>
        </is>
      </c>
      <c r="F1" s="142" t="inlineStr">
        <is>
          <t>datasetSupportedCount</t>
        </is>
      </c>
      <c r="G1" s="142" t="inlineStr">
        <is>
          <t>provisionalCompoundCount</t>
        </is>
      </c>
      <c r="H1" s="142" t="inlineStr">
        <is>
          <t>broadClassCount</t>
        </is>
      </c>
      <c r="I1" s="142" t="inlineStr">
        <is>
          <t>resolvedCoveragePct</t>
        </is>
      </c>
      <c r="J1" s="142" t="inlineStr">
        <is>
          <t>citationStatus</t>
        </is>
      </c>
      <c r="K1" s="142" t="inlineStr">
        <is>
          <t>readinessFlag</t>
        </is>
      </c>
      <c r="L1" s="142" t="inlineStr">
        <is>
          <t>nextUpgradeAction</t>
        </is>
      </c>
      <c r="M1" s="142" t="inlineStr">
        <is>
          <t>provisionalCompounds</t>
        </is>
      </c>
      <c r="N1" s="142" t="inlineStr">
        <is>
          <t>broadClassTerms</t>
        </is>
      </c>
      <c r="O1" s="142" t="inlineStr">
        <is>
          <t>mappedCompoundsV3</t>
        </is>
      </c>
      <c r="P1" s="181" t="n"/>
      <c r="Q1" s="181" t="n"/>
    </row>
    <row r="2" ht="26" customHeight="1" s="76">
      <c r="A2" s="134" t="inlineStr">
        <is>
          <t>ashwagandha</t>
        </is>
      </c>
      <c r="B2" s="134" t="inlineStr">
        <is>
          <t>Ashwagandha</t>
        </is>
      </c>
      <c r="C2" s="134" t="n">
        <v>8</v>
      </c>
      <c r="D2" s="134" t="n">
        <v>8</v>
      </c>
      <c r="E2" s="134" t="n">
        <v>7</v>
      </c>
      <c r="F2" s="134" t="n">
        <v>0</v>
      </c>
      <c r="G2" s="134" t="n">
        <v>0</v>
      </c>
      <c r="H2" s="134" t="n">
        <v>2</v>
      </c>
      <c r="I2" s="134" t="n">
        <v>1</v>
      </c>
      <c r="J2" s="134" t="inlineStr">
        <is>
          <t>needs-source-normalization</t>
        </is>
      </c>
      <c r="K2" s="134" t="inlineStr">
        <is>
          <t>Batch 5 compound lock complete</t>
        </is>
      </c>
      <c r="L2" s="134" t="inlineStr">
        <is>
          <t>Normalize residual generic sitoindosides mentions; consider withanoside V only after direct herb-row source support is added</t>
        </is>
      </c>
      <c r="M2" s="134" t="n"/>
      <c r="N2" s="134" t="inlineStr">
        <is>
          <t>alkaloids; sitoindosides</t>
        </is>
      </c>
      <c r="O2" s="134" t="inlineStr">
        <is>
          <t>sitoindoside IX; sitoindoside X; withaferin A; withanolide A; withanolide d); withanone; withanoside IV</t>
        </is>
      </c>
    </row>
    <row r="3" ht="26" customHeight="1" s="76">
      <c r="A3" s="134" t="inlineStr">
        <is>
          <t>black-cohosh</t>
        </is>
      </c>
      <c r="B3" s="134" t="inlineStr">
        <is>
          <t>Black Cohosh</t>
        </is>
      </c>
      <c r="C3" s="134" t="n">
        <v>4</v>
      </c>
      <c r="D3" s="134" t="n">
        <v>5</v>
      </c>
      <c r="E3" s="134" t="n">
        <v>4</v>
      </c>
      <c r="F3" s="134" t="n">
        <v>0</v>
      </c>
      <c r="G3" s="134" t="n">
        <v>0</v>
      </c>
      <c r="H3" s="134" t="n">
        <v>1</v>
      </c>
      <c r="I3" s="134" t="n">
        <v>1</v>
      </c>
      <c r="J3" s="134" t="inlineStr">
        <is>
          <t>present</t>
        </is>
      </c>
      <c r="K3" s="134" t="inlineStr">
        <is>
          <t>Batch 2 compound lock complete</t>
        </is>
      </c>
      <c r="L3" s="134" t="inlineStr">
        <is>
          <t>Keep broad class context only; black cohosh specific provisional compounds are now locked</t>
        </is>
      </c>
      <c r="M3" s="134" t="n"/>
      <c r="N3" s="134" t="inlineStr">
        <is>
          <t>caffeic acid derivatives</t>
        </is>
      </c>
      <c r="O3" s="134" t="inlineStr">
        <is>
          <t>23-epi-26-deoxyactein; actein; cimifugoside; fukinolic acid</t>
        </is>
      </c>
    </row>
    <row r="4" ht="26" customHeight="1" s="76">
      <c r="A4" s="134" t="inlineStr">
        <is>
          <t>garlic</t>
        </is>
      </c>
      <c r="B4" s="134" t="inlineStr">
        <is>
          <t>Garlic</t>
        </is>
      </c>
      <c r="C4" s="134" t="n">
        <v>5</v>
      </c>
      <c r="D4" s="134" t="n">
        <v>5</v>
      </c>
      <c r="E4" s="134" t="n">
        <v>5</v>
      </c>
      <c r="F4" s="134" t="n">
        <v>0</v>
      </c>
      <c r="G4" s="134" t="n">
        <v>0</v>
      </c>
      <c r="H4" s="134" t="n">
        <v>0</v>
      </c>
      <c r="I4" s="134" t="n">
        <v>1</v>
      </c>
      <c r="J4" s="134" t="inlineStr">
        <is>
          <t>source-upgraded</t>
        </is>
      </c>
      <c r="K4" s="134" t="inlineStr">
        <is>
          <t>Pass 24 residual resolution complete</t>
        </is>
      </c>
      <c r="L4" s="134" t="inlineStr">
        <is>
          <t>QA + publish workflow</t>
        </is>
      </c>
      <c r="M4" s="134" t="n"/>
      <c r="N4" s="134" t="n"/>
      <c r="O4" s="134" t="inlineStr">
        <is>
          <t>S-allyl-cysteine; ajoene; diallyl disulfide; diallyl sulfide; diallyl trisulfide</t>
        </is>
      </c>
    </row>
    <row r="5" ht="26" customHeight="1" s="76">
      <c r="A5" s="134" t="inlineStr">
        <is>
          <t>ginger</t>
        </is>
      </c>
      <c r="B5" s="134" t="inlineStr">
        <is>
          <t>Ginger</t>
        </is>
      </c>
      <c r="C5" s="134" t="n">
        <v>4</v>
      </c>
      <c r="D5" s="134" t="n">
        <v>4</v>
      </c>
      <c r="E5" s="134" t="n">
        <v>2</v>
      </c>
      <c r="F5" s="134" t="n">
        <v>0</v>
      </c>
      <c r="G5" s="134" t="n">
        <v>0</v>
      </c>
      <c r="H5" s="134" t="n">
        <v>2</v>
      </c>
      <c r="I5" s="134" t="n">
        <v>1</v>
      </c>
      <c r="J5" s="134" t="inlineStr">
        <is>
          <t>present</t>
        </is>
      </c>
      <c r="K5" s="134" t="inlineStr">
        <is>
          <t>Near ready</t>
        </is>
      </c>
      <c r="L5" s="134" t="inlineStr">
        <is>
          <t>Decide whether broad classes stay as context-only labels</t>
        </is>
      </c>
      <c r="M5" s="134" t="n"/>
      <c r="N5" s="134" t="inlineStr">
        <is>
          <t>paradols; shogaols</t>
        </is>
      </c>
      <c r="O5" s="134" t="inlineStr">
        <is>
          <t>6-gingerol; zingerone</t>
        </is>
      </c>
    </row>
    <row r="6" ht="26" customHeight="1" s="76">
      <c r="A6" s="134" t="inlineStr">
        <is>
          <t>ginkgo-biloba</t>
        </is>
      </c>
      <c r="B6" s="134" t="inlineStr">
        <is>
          <t>Ginkgo Biloba</t>
        </is>
      </c>
      <c r="C6" s="134" t="n">
        <v>5</v>
      </c>
      <c r="D6" s="134" t="n">
        <v>8</v>
      </c>
      <c r="E6" s="134" t="n">
        <v>8</v>
      </c>
      <c r="F6" s="134" t="n">
        <v>0</v>
      </c>
      <c r="G6" s="134" t="n">
        <v>0</v>
      </c>
      <c r="H6" s="134" t="n">
        <v>0</v>
      </c>
      <c r="I6" s="134" t="n">
        <v>1</v>
      </c>
      <c r="J6" s="134" t="inlineStr">
        <is>
          <t>source-upgraded</t>
        </is>
      </c>
      <c r="K6" s="134" t="inlineStr">
        <is>
          <t>Batch 8 ginkgo lock complete</t>
        </is>
      </c>
      <c r="L6" s="134" t="inlineStr">
        <is>
          <t>QA + publish workflow</t>
        </is>
      </c>
      <c r="M6" s="134" t="n"/>
      <c r="N6" s="134" t="n"/>
      <c r="O6" s="134" t="inlineStr">
        <is>
          <t>bilobalide; bilobetin; ginkgetin; ginkgolide A; ginkgolide B; ginkgolide C; ginkgolide J; sciadopitysin</t>
        </is>
      </c>
    </row>
    <row r="7" ht="26" customHeight="1" s="76">
      <c r="A7" s="134" t="inlineStr">
        <is>
          <t>holy-basil</t>
        </is>
      </c>
      <c r="B7" s="134" t="inlineStr">
        <is>
          <t>Holy Basil</t>
        </is>
      </c>
      <c r="C7" s="134" t="n">
        <v>3</v>
      </c>
      <c r="D7" s="134" t="n">
        <v>3</v>
      </c>
      <c r="E7" s="134" t="n">
        <v>3</v>
      </c>
      <c r="F7" s="134" t="n">
        <v>0</v>
      </c>
      <c r="G7" s="134" t="n">
        <v>0</v>
      </c>
      <c r="H7" s="134" t="n">
        <v>0</v>
      </c>
      <c r="I7" s="134" t="n">
        <v>1</v>
      </c>
      <c r="J7" s="134" t="inlineStr">
        <is>
          <t>present</t>
        </is>
      </c>
      <c r="K7" s="134" t="inlineStr">
        <is>
          <t>Ready</t>
        </is>
      </c>
      <c r="L7" s="134" t="inlineStr">
        <is>
          <t>QA + publish workflow</t>
        </is>
      </c>
      <c r="M7" s="134" t="n"/>
      <c r="N7" s="134" t="n"/>
      <c r="O7" s="134" t="inlineStr">
        <is>
          <t>eugenol; rosmarinic acid; ursolic acid</t>
        </is>
      </c>
    </row>
    <row r="8" ht="26" customHeight="1" s="76">
      <c r="A8" s="134" t="inlineStr">
        <is>
          <t>kava</t>
        </is>
      </c>
      <c r="B8" s="134" t="inlineStr">
        <is>
          <t>Kava</t>
        </is>
      </c>
      <c r="C8" s="134" t="n">
        <v>7</v>
      </c>
      <c r="D8" s="134" t="n">
        <v>9</v>
      </c>
      <c r="E8" s="134" t="n">
        <v>9</v>
      </c>
      <c r="F8" s="134" t="n">
        <v>0</v>
      </c>
      <c r="G8" s="134" t="n">
        <v>0</v>
      </c>
      <c r="H8" s="134" t="n">
        <v>0</v>
      </c>
      <c r="I8" s="134" t="n">
        <v>1</v>
      </c>
      <c r="J8" s="134" t="inlineStr">
        <is>
          <t>source-upgraded</t>
        </is>
      </c>
      <c r="K8" s="134" t="inlineStr">
        <is>
          <t>Batch 8 kava lock complete</t>
        </is>
      </c>
      <c r="L8" s="134" t="inlineStr">
        <is>
          <t>QA + publish workflow</t>
        </is>
      </c>
      <c r="M8" s="134" t="n"/>
      <c r="N8" s="134" t="n"/>
      <c r="O8" s="134" t="inlineStr">
        <is>
          <t>desmethoxyyangonin; dihydrokavain; dihydromethysticin; flavokavain A; flavokavain B; flavokavain C; kavain; methysticin; yangonin</t>
        </is>
      </c>
    </row>
    <row r="9" ht="26" customHeight="1" s="76">
      <c r="A9" s="134" t="inlineStr">
        <is>
          <t>lemon-balm</t>
        </is>
      </c>
      <c r="B9" s="134" t="inlineStr">
        <is>
          <t>Lemon Balm</t>
        </is>
      </c>
      <c r="C9" s="134" t="n">
        <v>5</v>
      </c>
      <c r="D9" s="134" t="n">
        <v>5</v>
      </c>
      <c r="E9" s="134" t="n">
        <v>4</v>
      </c>
      <c r="F9" s="134" t="n">
        <v>0</v>
      </c>
      <c r="G9" s="134" t="n">
        <v>0</v>
      </c>
      <c r="H9" s="134" t="n">
        <v>1</v>
      </c>
      <c r="I9" s="134" t="n">
        <v>1</v>
      </c>
      <c r="J9" s="134" t="inlineStr">
        <is>
          <t>present</t>
        </is>
      </c>
      <c r="K9" s="134" t="inlineStr">
        <is>
          <t>Near ready</t>
        </is>
      </c>
      <c r="L9" s="134" t="inlineStr">
        <is>
          <t>Decide whether broad classes stay as context-only labels</t>
        </is>
      </c>
      <c r="M9" s="134" t="n"/>
      <c r="N9" s="134" t="inlineStr">
        <is>
          <t>flavonoids</t>
        </is>
      </c>
      <c r="O9" s="134" t="inlineStr">
        <is>
          <t>citral; citronellal; linalool; rosmarinic acid</t>
        </is>
      </c>
    </row>
    <row r="10" ht="26" customHeight="1" s="76">
      <c r="A10" s="134" t="inlineStr">
        <is>
          <t>maca</t>
        </is>
      </c>
      <c r="B10" s="134" t="inlineStr">
        <is>
          <t>Maca</t>
        </is>
      </c>
      <c r="C10" s="134" t="n">
        <v>3</v>
      </c>
      <c r="D10" s="134" t="n">
        <v>3</v>
      </c>
      <c r="E10" s="134" t="n">
        <v>0</v>
      </c>
      <c r="F10" s="134" t="n">
        <v>0</v>
      </c>
      <c r="G10" s="134" t="n">
        <v>0</v>
      </c>
      <c r="H10" s="134" t="n">
        <v>3</v>
      </c>
      <c r="I10" s="134" t="n">
        <v>0</v>
      </c>
      <c r="J10" s="134" t="inlineStr">
        <is>
          <t>present</t>
        </is>
      </c>
      <c r="K10" s="134" t="inlineStr">
        <is>
          <t>Near ready</t>
        </is>
      </c>
      <c r="L10" s="134" t="inlineStr">
        <is>
          <t>Decide whether broad classes stay as context-only labels</t>
        </is>
      </c>
      <c r="M10" s="134" t="n"/>
      <c r="N10" s="134" t="inlineStr">
        <is>
          <t>glucosinolates; macaenes; macamides</t>
        </is>
      </c>
      <c r="O10" s="134" t="n"/>
    </row>
    <row r="11" ht="26" customHeight="1" s="76">
      <c r="A11" s="134" t="inlineStr">
        <is>
          <t>milk-thistle</t>
        </is>
      </c>
      <c r="B11" s="134" t="inlineStr">
        <is>
          <t>Milk Thistle</t>
        </is>
      </c>
      <c r="C11" s="134" t="n">
        <v>5</v>
      </c>
      <c r="D11" s="134" t="n">
        <v>7</v>
      </c>
      <c r="E11" s="134" t="n">
        <v>7</v>
      </c>
      <c r="F11" s="134" t="n">
        <v>0</v>
      </c>
      <c r="G11" s="134" t="n">
        <v>0</v>
      </c>
      <c r="H11" s="134" t="n">
        <v>0</v>
      </c>
      <c r="I11" s="134" t="n">
        <v>1</v>
      </c>
      <c r="J11" s="134" t="inlineStr">
        <is>
          <t>source-upgraded</t>
        </is>
      </c>
      <c r="K11" s="134" t="inlineStr">
        <is>
          <t>Batch 10 milk thistle lock complete</t>
        </is>
      </c>
      <c r="L11" s="134" t="inlineStr">
        <is>
          <t>QA + publish workflow</t>
        </is>
      </c>
      <c r="M11" s="134" t="n"/>
      <c r="N11" s="134" t="n"/>
      <c r="O11" s="134" t="inlineStr">
        <is>
          <t>isosilybin A; isosilybin B; isosilychristin; silybin A; silybin B; silychristin); silydianin</t>
        </is>
      </c>
    </row>
    <row r="12" ht="26" customHeight="1" s="76">
      <c r="A12" s="134" t="inlineStr">
        <is>
          <t>turmeric</t>
        </is>
      </c>
      <c r="B12" s="134" t="inlineStr">
        <is>
          <t>Turmeric</t>
        </is>
      </c>
      <c r="C12" s="134" t="n">
        <v>3</v>
      </c>
      <c r="D12" s="134" t="n">
        <v>3</v>
      </c>
      <c r="E12" s="134" t="n">
        <v>2</v>
      </c>
      <c r="F12" s="134" t="n">
        <v>0</v>
      </c>
      <c r="G12" s="134" t="n">
        <v>0</v>
      </c>
      <c r="H12" s="134" t="n">
        <v>0</v>
      </c>
      <c r="I12" s="134" t="n">
        <v>1</v>
      </c>
      <c r="J12" s="134" t="inlineStr">
        <is>
          <t>source-upgraded</t>
        </is>
      </c>
      <c r="K12" s="134" t="inlineStr">
        <is>
          <t>Batch 11 curcuminoid lock complete</t>
        </is>
      </c>
      <c r="L12" s="134" t="inlineStr">
        <is>
          <t>QA + publish workflow</t>
        </is>
      </c>
      <c r="M12" s="134" t="n"/>
      <c r="N12" s="134" t="n"/>
      <c r="O12" s="134" t="inlineStr">
        <is>
          <t>bisdemethoxycurcumin; demethoxycurcumin</t>
        </is>
      </c>
    </row>
    <row r="13" ht="26" customHeight="1" s="76">
      <c r="A13" s="134" t="inlineStr">
        <is>
          <t>peppermint</t>
        </is>
      </c>
      <c r="B13" s="134" t="inlineStr">
        <is>
          <t>Peppermint</t>
        </is>
      </c>
      <c r="C13" s="134" t="n">
        <v>5</v>
      </c>
      <c r="D13" s="134" t="n">
        <v>7</v>
      </c>
      <c r="E13" s="134" t="n">
        <v>7</v>
      </c>
      <c r="F13" s="134" t="n">
        <v>0</v>
      </c>
      <c r="G13" s="134" t="n">
        <v>0</v>
      </c>
      <c r="H13" s="134" t="n">
        <v>0</v>
      </c>
      <c r="I13" s="134" t="n">
        <v>1</v>
      </c>
      <c r="J13" s="134" t="inlineStr">
        <is>
          <t>source-upgraded</t>
        </is>
      </c>
      <c r="K13" s="134" t="inlineStr">
        <is>
          <t>Pass 24 residual resolution complete</t>
        </is>
      </c>
      <c r="L13" s="134" t="inlineStr">
        <is>
          <t>Route through Contraindication Engine before blend-builder use</t>
        </is>
      </c>
      <c r="M13" s="134" t="n"/>
      <c r="N13" s="134" t="n"/>
      <c r="O13" s="134" t="inlineStr">
        <is>
          <t>1,8-cineole; isomenthone; limonene; menthol; menthofuran; menthone; menthyl acetate</t>
        </is>
      </c>
    </row>
    <row r="14" ht="26" customHeight="1" s="76">
      <c r="A14" s="134" t="inlineStr">
        <is>
          <t>rhodiola-rosea</t>
        </is>
      </c>
      <c r="B14" s="134" t="inlineStr">
        <is>
          <t>Rhodiola Rosea</t>
        </is>
      </c>
      <c r="C14" s="134" t="n">
        <v>5</v>
      </c>
      <c r="D14" s="134" t="n">
        <v>5</v>
      </c>
      <c r="E14" s="134" t="n">
        <v>6</v>
      </c>
      <c r="F14" s="134" t="n">
        <v>0</v>
      </c>
      <c r="G14" s="134" t="n">
        <v>0</v>
      </c>
      <c r="H14" s="134" t="n">
        <v>0</v>
      </c>
      <c r="I14" s="134" t="n">
        <v>1</v>
      </c>
      <c r="J14" s="134" t="inlineStr">
        <is>
          <t>source-upgraded</t>
        </is>
      </c>
      <c r="K14" s="134" t="inlineStr">
        <is>
          <t>Batch 15 rhodiola refinement complete</t>
        </is>
      </c>
      <c r="L14" s="134" t="inlineStr">
        <is>
          <t>QA + publish workflow</t>
        </is>
      </c>
      <c r="M14" s="134" t="n"/>
      <c r="N14" s="134" t="n"/>
      <c r="O14" s="134" t="inlineStr">
        <is>
          <t>rosarin; rosavin; rosin; salidroside; triandrin; tyrosol</t>
        </is>
      </c>
    </row>
    <row r="15" ht="26" customHeight="1" s="76">
      <c r="A15" s="134" t="inlineStr">
        <is>
          <t>echinacea-purpurea</t>
        </is>
      </c>
      <c r="B15" s="134" t="inlineStr">
        <is>
          <t>Echinacea Purpurea</t>
        </is>
      </c>
      <c r="C15" s="134" t="n">
        <v>5</v>
      </c>
      <c r="D15" s="134" t="n">
        <v>5</v>
      </c>
      <c r="E15" s="134" t="n">
        <v>4</v>
      </c>
      <c r="F15" s="134" t="n">
        <v>0</v>
      </c>
      <c r="G15" s="134" t="n">
        <v>0</v>
      </c>
      <c r="H15" s="134" t="n">
        <v>1</v>
      </c>
      <c r="I15" s="134" t="n">
        <v>1</v>
      </c>
      <c r="J15" s="134" t="inlineStr">
        <is>
          <t>source-upgraded</t>
        </is>
      </c>
      <c r="K15" s="134" t="inlineStr">
        <is>
          <t>Batch 16 echinacea lock complete</t>
        </is>
      </c>
      <c r="L15" s="134" t="inlineStr">
        <is>
          <t>QA + publish workflow</t>
        </is>
      </c>
      <c r="M15" s="134" t="n"/>
      <c r="N15" s="134" t="inlineStr">
        <is>
          <t>alkamides</t>
        </is>
      </c>
      <c r="O15" s="134" t="inlineStr">
        <is>
          <t>caffeic acid; chicoric acid; cynarin; echinacoside</t>
        </is>
      </c>
    </row>
    <row r="16" ht="26" customHeight="1" s="76">
      <c r="A16" s="134" t="inlineStr">
        <is>
          <t>valerian</t>
        </is>
      </c>
      <c r="B16" s="134" t="inlineStr">
        <is>
          <t>Valerian</t>
        </is>
      </c>
      <c r="C16" s="134" t="n">
        <v>4</v>
      </c>
      <c r="D16" s="134" t="n">
        <v>4</v>
      </c>
      <c r="E16" s="134" t="n">
        <v>5</v>
      </c>
      <c r="F16" s="134" t="n">
        <v>0</v>
      </c>
      <c r="G16" s="134" t="n">
        <v>0</v>
      </c>
      <c r="H16" s="134" t="n">
        <v>1</v>
      </c>
      <c r="I16" s="134" t="n">
        <v>1</v>
      </c>
      <c r="J16" s="134" t="inlineStr">
        <is>
          <t>source-upgraded</t>
        </is>
      </c>
      <c r="K16" s="134" t="inlineStr">
        <is>
          <t>Batch 17 valerian lock complete</t>
        </is>
      </c>
      <c r="L16" s="134" t="inlineStr">
        <is>
          <t>Use GABA/Sedation score in blend-builder testing</t>
        </is>
      </c>
      <c r="M16" s="134" t="n"/>
      <c r="N16" s="134" t="inlineStr">
        <is>
          <t>sesquiterpenoids</t>
        </is>
      </c>
      <c r="O16" s="134" t="inlineStr">
        <is>
          <t>isovaltrate; valerenal; valerenic acid; valerenol; valtrate</t>
        </is>
      </c>
    </row>
    <row r="17" ht="26" customHeight="1" s="76">
      <c r="A17" s="134" t="inlineStr">
        <is>
          <t>st-johns-wort</t>
        </is>
      </c>
      <c r="B17" s="134" t="inlineStr">
        <is>
          <t>St Johns Wort</t>
        </is>
      </c>
      <c r="C17" s="134" t="n">
        <v>7</v>
      </c>
      <c r="D17" s="134" t="n">
        <v>7</v>
      </c>
      <c r="E17" s="134" t="n">
        <v>7</v>
      </c>
      <c r="F17" s="134" t="n">
        <v>0</v>
      </c>
      <c r="G17" s="134" t="n">
        <v>0</v>
      </c>
      <c r="H17" s="134" t="n">
        <v>0</v>
      </c>
      <c r="I17" s="134" t="n">
        <v>1</v>
      </c>
      <c r="J17" s="134" t="inlineStr">
        <is>
          <t>source-upgraded</t>
        </is>
      </c>
      <c r="K17" s="134" t="inlineStr">
        <is>
          <t>Batch 13 interaction-critical lock complete</t>
        </is>
      </c>
      <c r="L17" s="134" t="inlineStr">
        <is>
          <t>Route through Contraindication Engine before any blend-builder use</t>
        </is>
      </c>
      <c r="M17" s="134" t="n"/>
      <c r="N17" s="134" t="n"/>
      <c r="O17" s="134" t="inlineStr">
        <is>
          <t>adhyperforin; hyperforin; hypericin; kaempferol; pseudohypericin; quercetin; rutin</t>
        </is>
      </c>
    </row>
    <row r="18" ht="26" customHeight="1" s="76">
      <c r="A18" s="134" t="n"/>
      <c r="B18" s="134" t="n"/>
      <c r="C18" s="134" t="n"/>
      <c r="D18" s="134" t="n"/>
      <c r="E18" s="134" t="n"/>
      <c r="F18" s="134" t="n"/>
      <c r="G18" s="134" t="n"/>
      <c r="H18" s="134" t="n"/>
      <c r="I18" s="134" t="n"/>
      <c r="J18" s="134" t="n"/>
      <c r="K18" s="134" t="n"/>
      <c r="L18" s="134" t="n"/>
      <c r="M18" s="134" t="n"/>
      <c r="N18" s="134" t="n"/>
      <c r="O18" s="134" t="n"/>
    </row>
  </sheetData>
  <conditionalFormatting sqref="I2:I18">
    <cfRule type="colorScale" priority="1">
      <colorScale>
        <cfvo type="min"/>
        <cfvo type="percentile" val="50"/>
        <cfvo type="max"/>
        <color rgb="00FEE2E2"/>
        <color rgb="00FEF3C7"/>
        <color rgb="00DCFCE7"/>
      </colorScale>
    </cfRule>
  </conditionalFormatting>
  <conditionalFormatting sqref="J2:J18">
    <cfRule type="expression" priority="2" dxfId="15">
      <formula>J2="needs-source-normalization"</formula>
    </cfRule>
  </conditionalFormatting>
  <conditionalFormatting sqref="K2:K18">
    <cfRule type="expression" priority="3" dxfId="0">
      <formula>K2="Ready"</formula>
    </cfRule>
    <cfRule type="expression" priority="4" dxfId="15">
      <formula>K2="Source normalization needed"</formula>
    </cfRule>
  </conditionalFormatting>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0" customWidth="1" style="76" min="1" max="1"/>
    <col width="24" customWidth="1" style="76" min="2" max="2"/>
    <col width="20" customWidth="1" style="76" min="3" max="3"/>
    <col width="24" customWidth="1" style="76" min="4" max="4"/>
    <col width="16" customWidth="1" style="76" min="5" max="5"/>
  </cols>
  <sheetData>
    <row r="1">
      <c r="A1" s="136" t="inlineStr">
        <is>
          <t>rawPattern</t>
        </is>
      </c>
      <c r="B1" s="136" t="inlineStr">
        <is>
          <t>producedAtom</t>
        </is>
      </c>
      <c r="C1" s="136" t="inlineStr">
        <is>
          <t>parentClass</t>
        </is>
      </c>
      <c r="D1" s="136" t="inlineStr">
        <is>
          <t>strategy</t>
        </is>
      </c>
      <c r="E1" s="136" t="inlineStr">
        <is>
          <t>broadClassFlag</t>
        </is>
      </c>
    </row>
    <row r="2" ht="26" customHeight="1" s="76">
      <c r="A2" s="134" t="inlineStr">
        <is>
          <t>withaferin A</t>
        </is>
      </c>
      <c r="B2" s="134" t="inlineStr">
        <is>
          <t>withaferin A</t>
        </is>
      </c>
      <c r="C2" s="134" t="str"/>
      <c r="D2" s="134" t="inlineStr">
        <is>
          <t>direct</t>
        </is>
      </c>
      <c r="E2" s="134" t="inlineStr">
        <is>
          <t>No</t>
        </is>
      </c>
    </row>
    <row r="3" ht="26" customHeight="1" s="76">
      <c r="A3" s="134" t="inlineStr">
        <is>
          <t>withanolide D</t>
        </is>
      </c>
      <c r="B3" s="134" t="inlineStr">
        <is>
          <t>withanolide D</t>
        </is>
      </c>
      <c r="C3" s="134" t="str"/>
      <c r="D3" s="134" t="inlineStr">
        <is>
          <t>direct</t>
        </is>
      </c>
      <c r="E3" s="134" t="inlineStr">
        <is>
          <t>No</t>
        </is>
      </c>
    </row>
    <row r="4" ht="26" customHeight="1" s="76">
      <c r="A4" s="134" t="inlineStr">
        <is>
          <t>withanolide A</t>
        </is>
      </c>
      <c r="B4" s="134" t="inlineStr">
        <is>
          <t>withanolide A</t>
        </is>
      </c>
      <c r="C4" s="134" t="str"/>
      <c r="D4" s="134" t="inlineStr">
        <is>
          <t>direct</t>
        </is>
      </c>
      <c r="E4" s="134" t="inlineStr">
        <is>
          <t>No</t>
        </is>
      </c>
    </row>
    <row r="5" ht="26" customHeight="1" s="76">
      <c r="A5" s="134" t="inlineStr">
        <is>
          <t>withanoside IV</t>
        </is>
      </c>
      <c r="B5" s="134" t="inlineStr">
        <is>
          <t>withanoside IV</t>
        </is>
      </c>
      <c r="C5" s="134" t="str"/>
      <c r="D5" s="134" t="inlineStr">
        <is>
          <t>direct</t>
        </is>
      </c>
      <c r="E5" s="134" t="inlineStr">
        <is>
          <t>No</t>
        </is>
      </c>
    </row>
    <row r="6" ht="26" customHeight="1" s="76">
      <c r="A6" s="134" t="inlineStr">
        <is>
          <t>sitoindosides</t>
        </is>
      </c>
      <c r="B6" s="134" t="inlineStr">
        <is>
          <t>sitoindosides</t>
        </is>
      </c>
      <c r="C6" s="134" t="str"/>
      <c r="D6" s="134" t="inlineStr">
        <is>
          <t>direct</t>
        </is>
      </c>
      <c r="E6" s="134" t="inlineStr">
        <is>
          <t>Yes</t>
        </is>
      </c>
    </row>
    <row r="7" ht="26" customHeight="1" s="76">
      <c r="A7" s="134" t="inlineStr">
        <is>
          <t>alkaloids</t>
        </is>
      </c>
      <c r="B7" s="134" t="inlineStr">
        <is>
          <t>alkaloids</t>
        </is>
      </c>
      <c r="C7" s="134" t="str"/>
      <c r="D7" s="134" t="inlineStr">
        <is>
          <t>direct</t>
        </is>
      </c>
      <c r="E7" s="134" t="inlineStr">
        <is>
          <t>Yes</t>
        </is>
      </c>
    </row>
    <row r="8" ht="26" customHeight="1" s="76">
      <c r="A8" s="134" t="inlineStr">
        <is>
          <t>triterpene glycosides (actein, 23-epi-26-deoxyactein)</t>
        </is>
      </c>
      <c r="B8" s="134" t="inlineStr">
        <is>
          <t>actein</t>
        </is>
      </c>
      <c r="C8" s="134" t="inlineStr">
        <is>
          <t>triterpene glycosides</t>
        </is>
      </c>
      <c r="D8" s="134" t="inlineStr">
        <is>
          <t>parenthetical-specific-list</t>
        </is>
      </c>
      <c r="E8" s="134" t="inlineStr">
        <is>
          <t>No</t>
        </is>
      </c>
    </row>
    <row r="9" ht="26" customHeight="1" s="76">
      <c r="A9" s="134" t="inlineStr">
        <is>
          <t>triterpene glycosides (actein, 23-epi-26-deoxyactein)</t>
        </is>
      </c>
      <c r="B9" s="134" t="inlineStr">
        <is>
          <t>23-epi-26-deoxyactein</t>
        </is>
      </c>
      <c r="C9" s="134" t="inlineStr">
        <is>
          <t>triterpene glycosides</t>
        </is>
      </c>
      <c r="D9" s="134" t="inlineStr">
        <is>
          <t>parenthetical-specific-list</t>
        </is>
      </c>
      <c r="E9" s="134" t="inlineStr">
        <is>
          <t>No</t>
        </is>
      </c>
    </row>
    <row r="10" ht="26" customHeight="1" s="76">
      <c r="A10" s="134" t="inlineStr">
        <is>
          <t>cimifugoside</t>
        </is>
      </c>
      <c r="B10" s="134" t="inlineStr">
        <is>
          <t>cimifugoside</t>
        </is>
      </c>
      <c r="C10" s="134" t="str"/>
      <c r="D10" s="134" t="inlineStr">
        <is>
          <t>direct</t>
        </is>
      </c>
      <c r="E10" s="134" t="inlineStr">
        <is>
          <t>No</t>
        </is>
      </c>
    </row>
    <row r="11" ht="26" customHeight="1" s="76">
      <c r="A11" s="134" t="inlineStr">
        <is>
          <t>caffeic acid derivatives</t>
        </is>
      </c>
      <c r="B11" s="134" t="inlineStr">
        <is>
          <t>caffeic acid derivatives</t>
        </is>
      </c>
      <c r="C11" s="134" t="str"/>
      <c r="D11" s="134" t="inlineStr">
        <is>
          <t>direct</t>
        </is>
      </c>
      <c r="E11" s="134" t="inlineStr">
        <is>
          <t>Yes</t>
        </is>
      </c>
    </row>
    <row r="12" ht="26" customHeight="1" s="76">
      <c r="A12" s="134" t="inlineStr">
        <is>
          <t>fukinolic acid</t>
        </is>
      </c>
      <c r="B12" s="134" t="inlineStr">
        <is>
          <t>fukinolic acid</t>
        </is>
      </c>
      <c r="C12" s="134" t="str"/>
      <c r="D12" s="134" t="inlineStr">
        <is>
          <t>direct</t>
        </is>
      </c>
      <c r="E12" s="134" t="inlineStr">
        <is>
          <t>No</t>
        </is>
      </c>
    </row>
    <row r="13" ht="26" customHeight="1" s="76">
      <c r="A13" s="134" t="inlineStr">
        <is>
          <t>alkamides</t>
        </is>
      </c>
      <c r="B13" s="134" t="inlineStr">
        <is>
          <t>alkamides</t>
        </is>
      </c>
      <c r="C13" s="134" t="str"/>
      <c r="D13" s="134" t="inlineStr">
        <is>
          <t>direct</t>
        </is>
      </c>
      <c r="E13" s="134" t="inlineStr">
        <is>
          <t>Yes</t>
        </is>
      </c>
    </row>
    <row r="14" ht="26" customHeight="1" s="76">
      <c r="A14" s="134" t="inlineStr">
        <is>
          <t>chicoric acid</t>
        </is>
      </c>
      <c r="B14" s="134" t="inlineStr">
        <is>
          <t>chicoric acid</t>
        </is>
      </c>
      <c r="C14" s="134" t="str"/>
      <c r="D14" s="134" t="inlineStr">
        <is>
          <t>direct</t>
        </is>
      </c>
      <c r="E14" s="134" t="inlineStr">
        <is>
          <t>No</t>
        </is>
      </c>
    </row>
    <row r="15" ht="26" customHeight="1" s="76">
      <c r="A15" s="134" t="inlineStr">
        <is>
          <t>echinacoside</t>
        </is>
      </c>
      <c r="B15" s="134" t="inlineStr">
        <is>
          <t>echinacoside</t>
        </is>
      </c>
      <c r="C15" s="134" t="str"/>
      <c r="D15" s="134" t="inlineStr">
        <is>
          <t>direct</t>
        </is>
      </c>
      <c r="E15" s="134" t="inlineStr">
        <is>
          <t>No</t>
        </is>
      </c>
    </row>
    <row r="16" ht="26" customHeight="1" s="76">
      <c r="A16" s="134" t="inlineStr">
        <is>
          <t>caffeic acid</t>
        </is>
      </c>
      <c r="B16" s="134" t="inlineStr">
        <is>
          <t>caffeic acid</t>
        </is>
      </c>
      <c r="C16" s="134" t="str"/>
      <c r="D16" s="134" t="inlineStr">
        <is>
          <t>direct</t>
        </is>
      </c>
      <c r="E16" s="134" t="inlineStr">
        <is>
          <t>No</t>
        </is>
      </c>
    </row>
    <row r="17" ht="26" customHeight="1" s="76">
      <c r="A17" s="134" t="inlineStr">
        <is>
          <t>cynarin</t>
        </is>
      </c>
      <c r="B17" s="134" t="inlineStr">
        <is>
          <t>cynarin</t>
        </is>
      </c>
      <c r="C17" s="134" t="str"/>
      <c r="D17" s="134" t="inlineStr">
        <is>
          <t>direct</t>
        </is>
      </c>
      <c r="E17" s="134" t="inlineStr">
        <is>
          <t>No</t>
        </is>
      </c>
    </row>
    <row r="18" ht="26" customHeight="1" s="76">
      <c r="A18" s="134" t="inlineStr">
        <is>
          <t>diallyl sulfide</t>
        </is>
      </c>
      <c r="B18" s="134" t="inlineStr">
        <is>
          <t>diallyl sulfide</t>
        </is>
      </c>
      <c r="C18" s="134" t="str"/>
      <c r="D18" s="134" t="inlineStr">
        <is>
          <t>direct</t>
        </is>
      </c>
      <c r="E18" s="134" t="inlineStr">
        <is>
          <t>No</t>
        </is>
      </c>
    </row>
    <row r="19" ht="26" customHeight="1" s="76">
      <c r="A19" s="134" t="inlineStr">
        <is>
          <t>diallyl disulfide</t>
        </is>
      </c>
      <c r="B19" s="134" t="inlineStr">
        <is>
          <t>diallyl disulfide</t>
        </is>
      </c>
      <c r="C19" s="134" t="str"/>
      <c r="D19" s="134" t="inlineStr">
        <is>
          <t>direct</t>
        </is>
      </c>
      <c r="E19" s="134" t="inlineStr">
        <is>
          <t>No</t>
        </is>
      </c>
    </row>
    <row r="20" ht="26" customHeight="1" s="76">
      <c r="A20" s="134" t="inlineStr">
        <is>
          <t>diallyl trisulfide</t>
        </is>
      </c>
      <c r="B20" s="134" t="inlineStr">
        <is>
          <t>diallyl trisulfide</t>
        </is>
      </c>
      <c r="C20" s="134" t="str"/>
      <c r="D20" s="134" t="inlineStr">
        <is>
          <t>direct</t>
        </is>
      </c>
      <c r="E20" s="134" t="inlineStr">
        <is>
          <t>No</t>
        </is>
      </c>
    </row>
    <row r="21" ht="26" customHeight="1" s="76">
      <c r="A21" s="134" t="inlineStr">
        <is>
          <t>ajoene</t>
        </is>
      </c>
      <c r="B21" s="134" t="inlineStr">
        <is>
          <t>ajoene</t>
        </is>
      </c>
      <c r="C21" s="134" t="str"/>
      <c r="D21" s="134" t="inlineStr">
        <is>
          <t>direct</t>
        </is>
      </c>
      <c r="E21" s="134" t="inlineStr">
        <is>
          <t>No</t>
        </is>
      </c>
    </row>
    <row r="22" ht="26" customHeight="1" s="76">
      <c r="A22" s="134" t="inlineStr">
        <is>
          <t>S‑allyl‑cysteine</t>
        </is>
      </c>
      <c r="B22" s="134" t="inlineStr">
        <is>
          <t>S‑allyl‑cysteine</t>
        </is>
      </c>
      <c r="C22" s="134" t="str"/>
      <c r="D22" s="134" t="inlineStr">
        <is>
          <t>direct</t>
        </is>
      </c>
      <c r="E22" s="134" t="inlineStr">
        <is>
          <t>No</t>
        </is>
      </c>
    </row>
    <row r="23" ht="26" customHeight="1" s="76">
      <c r="A23" s="134" t="inlineStr">
        <is>
          <t>[6]-gingerol</t>
        </is>
      </c>
      <c r="B23" s="134" t="inlineStr">
        <is>
          <t>[6]-gingerol</t>
        </is>
      </c>
      <c r="C23" s="134" t="str"/>
      <c r="D23" s="134" t="inlineStr">
        <is>
          <t>direct</t>
        </is>
      </c>
      <c r="E23" s="134" t="inlineStr">
        <is>
          <t>No</t>
        </is>
      </c>
    </row>
    <row r="24" ht="26" customHeight="1" s="76">
      <c r="A24" s="134" t="inlineStr">
        <is>
          <t>shogaols</t>
        </is>
      </c>
      <c r="B24" s="134" t="inlineStr">
        <is>
          <t>shogaols</t>
        </is>
      </c>
      <c r="C24" s="134" t="str"/>
      <c r="D24" s="134" t="inlineStr">
        <is>
          <t>direct</t>
        </is>
      </c>
      <c r="E24" s="134" t="inlineStr">
        <is>
          <t>Yes</t>
        </is>
      </c>
    </row>
    <row r="25" ht="26" customHeight="1" s="76">
      <c r="A25" s="134" t="inlineStr">
        <is>
          <t>zingerone</t>
        </is>
      </c>
      <c r="B25" s="134" t="inlineStr">
        <is>
          <t>zingerone</t>
        </is>
      </c>
      <c r="C25" s="134" t="str"/>
      <c r="D25" s="134" t="inlineStr">
        <is>
          <t>direct</t>
        </is>
      </c>
      <c r="E25" s="134" t="inlineStr">
        <is>
          <t>No</t>
        </is>
      </c>
    </row>
    <row r="26" ht="26" customHeight="1" s="76">
      <c r="A26" s="134" t="inlineStr">
        <is>
          <t>paradols</t>
        </is>
      </c>
      <c r="B26" s="134" t="inlineStr">
        <is>
          <t>paradols</t>
        </is>
      </c>
      <c r="C26" s="134" t="str"/>
      <c r="D26" s="134" t="inlineStr">
        <is>
          <t>direct</t>
        </is>
      </c>
      <c r="E26" s="134" t="inlineStr">
        <is>
          <t>Yes</t>
        </is>
      </c>
    </row>
    <row r="27" ht="26" customHeight="1" s="76">
      <c r="A27" s="134" t="inlineStr">
        <is>
          <t>ginkgolides A, B, C, J</t>
        </is>
      </c>
      <c r="B27" s="134" t="inlineStr">
        <is>
          <t>ginkgolide A</t>
        </is>
      </c>
      <c r="C27" s="134" t="inlineStr">
        <is>
          <t>ginkgolides A, B, C, J</t>
        </is>
      </c>
      <c r="D27" s="134" t="inlineStr">
        <is>
          <t>comma-letter-series</t>
        </is>
      </c>
      <c r="E27" s="134" t="inlineStr">
        <is>
          <t>No</t>
        </is>
      </c>
    </row>
    <row r="28" ht="26" customHeight="1" s="76">
      <c r="A28" s="134" t="inlineStr">
        <is>
          <t>ginkgolides A, B, C, J</t>
        </is>
      </c>
      <c r="B28" s="134" t="inlineStr">
        <is>
          <t>ginkgolide B</t>
        </is>
      </c>
      <c r="C28" s="134" t="inlineStr">
        <is>
          <t>ginkgolides A, B, C, J</t>
        </is>
      </c>
      <c r="D28" s="134" t="inlineStr">
        <is>
          <t>comma-letter-series</t>
        </is>
      </c>
      <c r="E28" s="134" t="inlineStr">
        <is>
          <t>No</t>
        </is>
      </c>
    </row>
    <row r="29" ht="26" customHeight="1" s="76">
      <c r="A29" s="134" t="inlineStr">
        <is>
          <t>ginkgolides A, B, C, J</t>
        </is>
      </c>
      <c r="B29" s="134" t="inlineStr">
        <is>
          <t>ginkgolide C</t>
        </is>
      </c>
      <c r="C29" s="134" t="inlineStr">
        <is>
          <t>ginkgolides A, B, C, J</t>
        </is>
      </c>
      <c r="D29" s="134" t="inlineStr">
        <is>
          <t>comma-letter-series</t>
        </is>
      </c>
      <c r="E29" s="134" t="inlineStr">
        <is>
          <t>No</t>
        </is>
      </c>
    </row>
    <row r="30" ht="26" customHeight="1" s="76">
      <c r="A30" s="134" t="inlineStr">
        <is>
          <t>ginkgolides A, B, C, J</t>
        </is>
      </c>
      <c r="B30" s="134" t="inlineStr">
        <is>
          <t>ginkgolide J</t>
        </is>
      </c>
      <c r="C30" s="134" t="inlineStr">
        <is>
          <t>ginkgolides A, B, C, J</t>
        </is>
      </c>
      <c r="D30" s="134" t="inlineStr">
        <is>
          <t>comma-letter-series</t>
        </is>
      </c>
      <c r="E30" s="134" t="inlineStr">
        <is>
          <t>No</t>
        </is>
      </c>
    </row>
    <row r="31" ht="26" customHeight="1" s="76">
      <c r="A31" s="134" t="inlineStr">
        <is>
          <t>bilobalide</t>
        </is>
      </c>
      <c r="B31" s="134" t="inlineStr">
        <is>
          <t>bilobalide</t>
        </is>
      </c>
      <c r="C31" s="134" t="str"/>
      <c r="D31" s="134" t="inlineStr">
        <is>
          <t>direct</t>
        </is>
      </c>
      <c r="E31" s="134" t="inlineStr">
        <is>
          <t>No</t>
        </is>
      </c>
    </row>
    <row r="32" ht="26" customHeight="1" s="76">
      <c r="A32" s="134" t="inlineStr">
        <is>
          <t>ginkgetin</t>
        </is>
      </c>
      <c r="B32" s="134" t="inlineStr">
        <is>
          <t>ginkgetin</t>
        </is>
      </c>
      <c r="C32" s="134" t="str"/>
      <c r="D32" s="134" t="inlineStr">
        <is>
          <t>direct</t>
        </is>
      </c>
      <c r="E32" s="134" t="inlineStr">
        <is>
          <t>No</t>
        </is>
      </c>
    </row>
    <row r="33" ht="26" customHeight="1" s="76">
      <c r="A33" s="134" t="inlineStr">
        <is>
          <t>bilobetin</t>
        </is>
      </c>
      <c r="B33" s="134" t="inlineStr">
        <is>
          <t>bilobetin</t>
        </is>
      </c>
      <c r="C33" s="134" t="str"/>
      <c r="D33" s="134" t="inlineStr">
        <is>
          <t>direct</t>
        </is>
      </c>
      <c r="E33" s="134" t="inlineStr">
        <is>
          <t>No</t>
        </is>
      </c>
    </row>
    <row r="34" ht="26" customHeight="1" s="76">
      <c r="A34" s="134" t="inlineStr">
        <is>
          <t>sciadopitysin</t>
        </is>
      </c>
      <c r="B34" s="134" t="inlineStr">
        <is>
          <t>sciadopitysin</t>
        </is>
      </c>
      <c r="C34" s="134" t="str"/>
      <c r="D34" s="134" t="inlineStr">
        <is>
          <t>direct</t>
        </is>
      </c>
      <c r="E34" s="134" t="inlineStr">
        <is>
          <t>No</t>
        </is>
      </c>
    </row>
    <row r="35" ht="26" customHeight="1" s="76">
      <c r="A35" s="134" t="inlineStr">
        <is>
          <t>eugenol</t>
        </is>
      </c>
      <c r="B35" s="134" t="inlineStr">
        <is>
          <t>eugenol</t>
        </is>
      </c>
      <c r="C35" s="134" t="str"/>
      <c r="D35" s="134" t="inlineStr">
        <is>
          <t>direct</t>
        </is>
      </c>
      <c r="E35" s="134" t="inlineStr">
        <is>
          <t>No</t>
        </is>
      </c>
    </row>
    <row r="36" ht="26" customHeight="1" s="76">
      <c r="A36" s="134" t="inlineStr">
        <is>
          <t>ursolic acid</t>
        </is>
      </c>
      <c r="B36" s="134" t="inlineStr">
        <is>
          <t>ursolic acid</t>
        </is>
      </c>
      <c r="C36" s="134" t="str"/>
      <c r="D36" s="134" t="inlineStr">
        <is>
          <t>direct</t>
        </is>
      </c>
      <c r="E36" s="134" t="inlineStr">
        <is>
          <t>No</t>
        </is>
      </c>
    </row>
    <row r="37" ht="26" customHeight="1" s="76">
      <c r="A37" s="134" t="inlineStr">
        <is>
          <t>rosmarinic acid</t>
        </is>
      </c>
      <c r="B37" s="134" t="inlineStr">
        <is>
          <t>rosmarinic acid</t>
        </is>
      </c>
      <c r="C37" s="134" t="str"/>
      <c r="D37" s="134" t="inlineStr">
        <is>
          <t>direct</t>
        </is>
      </c>
      <c r="E37" s="134" t="inlineStr">
        <is>
          <t>No</t>
        </is>
      </c>
    </row>
    <row r="38" ht="26" customHeight="1" s="76">
      <c r="A38" s="134" t="inlineStr">
        <is>
          <t>kavain</t>
        </is>
      </c>
      <c r="B38" s="134" t="inlineStr">
        <is>
          <t>kavain</t>
        </is>
      </c>
      <c r="C38" s="134" t="str"/>
      <c r="D38" s="134" t="inlineStr">
        <is>
          <t>direct</t>
        </is>
      </c>
      <c r="E38" s="134" t="inlineStr">
        <is>
          <t>No</t>
        </is>
      </c>
    </row>
    <row r="39" ht="26" customHeight="1" s="76">
      <c r="A39" s="134" t="inlineStr">
        <is>
          <t>dihydrokavain</t>
        </is>
      </c>
      <c r="B39" s="134" t="inlineStr">
        <is>
          <t>dihydrokavain</t>
        </is>
      </c>
      <c r="C39" s="134" t="str"/>
      <c r="D39" s="134" t="inlineStr">
        <is>
          <t>direct</t>
        </is>
      </c>
      <c r="E39" s="134" t="inlineStr">
        <is>
          <t>No</t>
        </is>
      </c>
    </row>
    <row r="40" ht="26" customHeight="1" s="76">
      <c r="A40" s="134" t="inlineStr">
        <is>
          <t>methysticin</t>
        </is>
      </c>
      <c r="B40" s="134" t="inlineStr">
        <is>
          <t>methysticin</t>
        </is>
      </c>
      <c r="C40" s="134" t="str"/>
      <c r="D40" s="134" t="inlineStr">
        <is>
          <t>direct</t>
        </is>
      </c>
      <c r="E40" s="134" t="inlineStr">
        <is>
          <t>No</t>
        </is>
      </c>
    </row>
    <row r="41" ht="26" customHeight="1" s="76">
      <c r="A41" s="134" t="inlineStr">
        <is>
          <t>dihydromethysticin</t>
        </is>
      </c>
      <c r="B41" s="134" t="inlineStr">
        <is>
          <t>dihydromethysticin</t>
        </is>
      </c>
      <c r="C41" s="134" t="str"/>
      <c r="D41" s="134" t="inlineStr">
        <is>
          <t>direct</t>
        </is>
      </c>
      <c r="E41" s="134" t="inlineStr">
        <is>
          <t>No</t>
        </is>
      </c>
    </row>
    <row r="42" ht="26" customHeight="1" s="76">
      <c r="A42" s="134" t="inlineStr">
        <is>
          <t>yangonin</t>
        </is>
      </c>
      <c r="B42" s="134" t="inlineStr">
        <is>
          <t>yangonin</t>
        </is>
      </c>
      <c r="C42" s="134" t="str"/>
      <c r="D42" s="134" t="inlineStr">
        <is>
          <t>direct</t>
        </is>
      </c>
      <c r="E42" s="134" t="inlineStr">
        <is>
          <t>No</t>
        </is>
      </c>
    </row>
    <row r="43" ht="26" customHeight="1" s="76">
      <c r="A43" s="134" t="inlineStr">
        <is>
          <t>desmethoxyyangonin</t>
        </is>
      </c>
      <c r="B43" s="134" t="inlineStr">
        <is>
          <t>desmethoxyyangonin</t>
        </is>
      </c>
      <c r="C43" s="134" t="str"/>
      <c r="D43" s="134" t="inlineStr">
        <is>
          <t>direct</t>
        </is>
      </c>
      <c r="E43" s="134" t="inlineStr">
        <is>
          <t>No</t>
        </is>
      </c>
    </row>
    <row r="44" ht="26" customHeight="1" s="76">
      <c r="A44" s="134" t="inlineStr">
        <is>
          <t>flavokavain A/B/C</t>
        </is>
      </c>
      <c r="B44" s="134" t="inlineStr">
        <is>
          <t>flavokavain A</t>
        </is>
      </c>
      <c r="C44" s="134" t="inlineStr">
        <is>
          <t>flavokavain A/B/C</t>
        </is>
      </c>
      <c r="D44" s="134" t="inlineStr">
        <is>
          <t>slash-letter-series</t>
        </is>
      </c>
      <c r="E44" s="134" t="inlineStr">
        <is>
          <t>No</t>
        </is>
      </c>
    </row>
    <row r="45" ht="26" customHeight="1" s="76">
      <c r="A45" s="134" t="inlineStr">
        <is>
          <t>flavokavain A/B/C</t>
        </is>
      </c>
      <c r="B45" s="134" t="inlineStr">
        <is>
          <t>flavokavain B</t>
        </is>
      </c>
      <c r="C45" s="134" t="inlineStr">
        <is>
          <t>flavokavain A/B/C</t>
        </is>
      </c>
      <c r="D45" s="134" t="inlineStr">
        <is>
          <t>slash-letter-series</t>
        </is>
      </c>
      <c r="E45" s="134" t="inlineStr">
        <is>
          <t>No</t>
        </is>
      </c>
    </row>
    <row r="46" ht="26" customHeight="1" s="76">
      <c r="A46" s="134" t="inlineStr">
        <is>
          <t>flavokavain A/B/C</t>
        </is>
      </c>
      <c r="B46" s="134" t="inlineStr">
        <is>
          <t>flavokavain C</t>
        </is>
      </c>
      <c r="C46" s="134" t="inlineStr">
        <is>
          <t>flavokavain A/B/C</t>
        </is>
      </c>
      <c r="D46" s="134" t="inlineStr">
        <is>
          <t>slash-letter-series</t>
        </is>
      </c>
      <c r="E46" s="134" t="inlineStr">
        <is>
          <t>No</t>
        </is>
      </c>
    </row>
    <row r="47" ht="26" customHeight="1" s="76">
      <c r="A47" s="134" t="inlineStr">
        <is>
          <t>citral</t>
        </is>
      </c>
      <c r="B47" s="134" t="inlineStr">
        <is>
          <t>citral</t>
        </is>
      </c>
      <c r="C47" s="134" t="str"/>
      <c r="D47" s="134" t="inlineStr">
        <is>
          <t>direct</t>
        </is>
      </c>
      <c r="E47" s="134" t="inlineStr">
        <is>
          <t>No</t>
        </is>
      </c>
    </row>
    <row r="48" ht="26" customHeight="1" s="76">
      <c r="A48" s="134" t="inlineStr">
        <is>
          <t>citronellal</t>
        </is>
      </c>
      <c r="B48" s="134" t="inlineStr">
        <is>
          <t>citronellal</t>
        </is>
      </c>
      <c r="C48" s="134" t="str"/>
      <c r="D48" s="134" t="inlineStr">
        <is>
          <t>direct</t>
        </is>
      </c>
      <c r="E48" s="134" t="inlineStr">
        <is>
          <t>No</t>
        </is>
      </c>
    </row>
    <row r="49" ht="26" customHeight="1" s="76">
      <c r="A49" s="134" t="inlineStr">
        <is>
          <t>linalool</t>
        </is>
      </c>
      <c r="B49" s="134" t="inlineStr">
        <is>
          <t>linalool</t>
        </is>
      </c>
      <c r="C49" s="134" t="str"/>
      <c r="D49" s="134" t="inlineStr">
        <is>
          <t>direct</t>
        </is>
      </c>
      <c r="E49" s="134" t="inlineStr">
        <is>
          <t>No</t>
        </is>
      </c>
    </row>
    <row r="50" ht="26" customHeight="1" s="76">
      <c r="A50" s="134" t="inlineStr">
        <is>
          <t>flavonoids</t>
        </is>
      </c>
      <c r="B50" s="134" t="inlineStr">
        <is>
          <t>flavonoids</t>
        </is>
      </c>
      <c r="C50" s="134" t="str"/>
      <c r="D50" s="134" t="inlineStr">
        <is>
          <t>direct</t>
        </is>
      </c>
      <c r="E50" s="134" t="inlineStr">
        <is>
          <t>Yes</t>
        </is>
      </c>
    </row>
    <row r="51" ht="26" customHeight="1" s="76">
      <c r="A51" s="134" t="inlineStr">
        <is>
          <t>macamides</t>
        </is>
      </c>
      <c r="B51" s="134" t="inlineStr">
        <is>
          <t>macamides</t>
        </is>
      </c>
      <c r="C51" s="134" t="str"/>
      <c r="D51" s="134" t="inlineStr">
        <is>
          <t>direct</t>
        </is>
      </c>
      <c r="E51" s="134" t="inlineStr">
        <is>
          <t>Yes</t>
        </is>
      </c>
    </row>
    <row r="52" ht="26" customHeight="1" s="76">
      <c r="A52" s="134" t="inlineStr">
        <is>
          <t>macaenes</t>
        </is>
      </c>
      <c r="B52" s="134" t="inlineStr">
        <is>
          <t>macaenes</t>
        </is>
      </c>
      <c r="C52" s="134" t="str"/>
      <c r="D52" s="134" t="inlineStr">
        <is>
          <t>direct</t>
        </is>
      </c>
      <c r="E52" s="134" t="inlineStr">
        <is>
          <t>Yes</t>
        </is>
      </c>
    </row>
    <row r="53" ht="26" customHeight="1" s="76">
      <c r="A53" s="134" t="inlineStr">
        <is>
          <t>glucosinolates</t>
        </is>
      </c>
      <c r="B53" s="134" t="inlineStr">
        <is>
          <t>glucosinolates</t>
        </is>
      </c>
      <c r="C53" s="134" t="str"/>
      <c r="D53" s="134" t="inlineStr">
        <is>
          <t>direct</t>
        </is>
      </c>
      <c r="E53" s="134" t="inlineStr">
        <is>
          <t>Yes</t>
        </is>
      </c>
    </row>
    <row r="54" ht="26" customHeight="1" s="76">
      <c r="A54" s="134" t="inlineStr">
        <is>
          <t>silybin A/B</t>
        </is>
      </c>
      <c r="B54" s="134" t="inlineStr">
        <is>
          <t>silybin A</t>
        </is>
      </c>
      <c r="C54" s="134" t="inlineStr">
        <is>
          <t>silybin A/B</t>
        </is>
      </c>
      <c r="D54" s="134" t="inlineStr">
        <is>
          <t>slash-letter-series</t>
        </is>
      </c>
      <c r="E54" s="134" t="inlineStr">
        <is>
          <t>No</t>
        </is>
      </c>
    </row>
    <row r="55" ht="26" customHeight="1" s="76">
      <c r="A55" s="134" t="inlineStr">
        <is>
          <t>silybin A/B</t>
        </is>
      </c>
      <c r="B55" s="134" t="inlineStr">
        <is>
          <t>silybin B</t>
        </is>
      </c>
      <c r="C55" s="134" t="inlineStr">
        <is>
          <t>silybin A/B</t>
        </is>
      </c>
      <c r="D55" s="134" t="inlineStr">
        <is>
          <t>slash-letter-series</t>
        </is>
      </c>
      <c r="E55" s="134" t="inlineStr">
        <is>
          <t>No</t>
        </is>
      </c>
    </row>
    <row r="56" ht="26" customHeight="1" s="76">
      <c r="A56" s="134" t="inlineStr">
        <is>
          <t>isosilybin A/B</t>
        </is>
      </c>
      <c r="B56" s="134" t="inlineStr">
        <is>
          <t>isosilybin A</t>
        </is>
      </c>
      <c r="C56" s="134" t="inlineStr">
        <is>
          <t>isosilybin A/B</t>
        </is>
      </c>
      <c r="D56" s="134" t="inlineStr">
        <is>
          <t>slash-letter-series</t>
        </is>
      </c>
      <c r="E56" s="134" t="inlineStr">
        <is>
          <t>No</t>
        </is>
      </c>
    </row>
    <row r="57" ht="26" customHeight="1" s="76">
      <c r="A57" s="134" t="inlineStr">
        <is>
          <t>isosilybin A/B</t>
        </is>
      </c>
      <c r="B57" s="134" t="inlineStr">
        <is>
          <t>isosilybin B</t>
        </is>
      </c>
      <c r="C57" s="134" t="inlineStr">
        <is>
          <t>isosilybin A/B</t>
        </is>
      </c>
      <c r="D57" s="134" t="inlineStr">
        <is>
          <t>slash-letter-series</t>
        </is>
      </c>
      <c r="E57" s="134" t="inlineStr">
        <is>
          <t>No</t>
        </is>
      </c>
    </row>
    <row r="58" ht="26" customHeight="1" s="76">
      <c r="A58" s="134" t="inlineStr">
        <is>
          <t>silychristin</t>
        </is>
      </c>
      <c r="B58" s="134" t="inlineStr">
        <is>
          <t>silychristin</t>
        </is>
      </c>
      <c r="C58" s="134" t="str"/>
      <c r="D58" s="134" t="inlineStr">
        <is>
          <t>direct</t>
        </is>
      </c>
      <c r="E58" s="134" t="inlineStr">
        <is>
          <t>No</t>
        </is>
      </c>
    </row>
    <row r="59" ht="26" customHeight="1" s="76">
      <c r="A59" s="134" t="inlineStr">
        <is>
          <t>silydianin</t>
        </is>
      </c>
      <c r="B59" s="134" t="inlineStr">
        <is>
          <t>silydianin</t>
        </is>
      </c>
      <c r="C59" s="134" t="str"/>
      <c r="D59" s="134" t="inlineStr">
        <is>
          <t>direct</t>
        </is>
      </c>
      <c r="E59" s="134" t="inlineStr">
        <is>
          <t>No</t>
        </is>
      </c>
    </row>
    <row r="60" ht="26" customHeight="1" s="76">
      <c r="A60" s="134" t="inlineStr">
        <is>
          <t>isosilychristin</t>
        </is>
      </c>
      <c r="B60" s="134" t="inlineStr">
        <is>
          <t>isosilychristin</t>
        </is>
      </c>
      <c r="C60" s="134" t="str"/>
      <c r="D60" s="134" t="inlineStr">
        <is>
          <t>direct</t>
        </is>
      </c>
      <c r="E60" s="134" t="inlineStr">
        <is>
          <t>No</t>
        </is>
      </c>
    </row>
    <row r="61" ht="26" customHeight="1" s="76">
      <c r="A61" s="134" t="inlineStr">
        <is>
          <t>l‑menthol</t>
        </is>
      </c>
      <c r="B61" s="134" t="inlineStr">
        <is>
          <t>l‑menthol</t>
        </is>
      </c>
      <c r="C61" s="134" t="str"/>
      <c r="D61" s="134" t="inlineStr">
        <is>
          <t>direct</t>
        </is>
      </c>
      <c r="E61" s="134" t="inlineStr">
        <is>
          <t>No</t>
        </is>
      </c>
    </row>
    <row r="62" ht="26" customHeight="1" s="76">
      <c r="A62" s="134" t="inlineStr">
        <is>
          <t>l‑menthone</t>
        </is>
      </c>
      <c r="B62" s="134" t="inlineStr">
        <is>
          <t>l‑menthone</t>
        </is>
      </c>
      <c r="C62" s="134" t="str"/>
      <c r="D62" s="134" t="inlineStr">
        <is>
          <t>direct</t>
        </is>
      </c>
      <c r="E62" s="134" t="inlineStr">
        <is>
          <t>No</t>
        </is>
      </c>
    </row>
    <row r="63" ht="26" customHeight="1" s="76">
      <c r="A63" s="134" t="inlineStr">
        <is>
          <t>isomenthone</t>
        </is>
      </c>
      <c r="B63" s="134" t="inlineStr">
        <is>
          <t>isomenthone</t>
        </is>
      </c>
      <c r="C63" s="134" t="str"/>
      <c r="D63" s="134" t="inlineStr">
        <is>
          <t>direct</t>
        </is>
      </c>
      <c r="E63" s="134" t="inlineStr">
        <is>
          <t>No</t>
        </is>
      </c>
    </row>
    <row r="64" ht="26" customHeight="1" s="76">
      <c r="A64" s="134" t="inlineStr">
        <is>
          <t>menthyl acetate</t>
        </is>
      </c>
      <c r="B64" s="134" t="inlineStr">
        <is>
          <t>menthyl acetate</t>
        </is>
      </c>
      <c r="C64" s="134" t="str"/>
      <c r="D64" s="134" t="inlineStr">
        <is>
          <t>direct</t>
        </is>
      </c>
      <c r="E64" s="134" t="inlineStr">
        <is>
          <t>No</t>
        </is>
      </c>
    </row>
    <row r="65" ht="26" customHeight="1" s="76">
      <c r="A65" s="134" t="inlineStr">
        <is>
          <t>1,8‑cineole (eucalyptol)</t>
        </is>
      </c>
      <c r="B65" s="134" t="inlineStr">
        <is>
          <t>1,8‑cineole</t>
        </is>
      </c>
      <c r="C65" s="134" t="str"/>
      <c r="D65" s="134" t="inlineStr">
        <is>
          <t>parenthetical-alias</t>
        </is>
      </c>
      <c r="E65" s="134" t="inlineStr">
        <is>
          <t>No</t>
        </is>
      </c>
    </row>
    <row r="66" ht="26" customHeight="1" s="76">
      <c r="A66" s="134" t="inlineStr">
        <is>
          <t>menthofuran</t>
        </is>
      </c>
      <c r="B66" s="134" t="inlineStr">
        <is>
          <t>menthofuran</t>
        </is>
      </c>
      <c r="C66" s="134" t="str"/>
      <c r="D66" s="134" t="inlineStr">
        <is>
          <t>direct</t>
        </is>
      </c>
      <c r="E66" s="134" t="inlineStr">
        <is>
          <t>No</t>
        </is>
      </c>
    </row>
    <row r="67" ht="26" customHeight="1" s="76">
      <c r="A67" s="134" t="inlineStr">
        <is>
          <t>limonene</t>
        </is>
      </c>
      <c r="B67" s="134" t="inlineStr">
        <is>
          <t>limonene</t>
        </is>
      </c>
      <c r="C67" s="134" t="str"/>
      <c r="D67" s="134" t="inlineStr">
        <is>
          <t>direct</t>
        </is>
      </c>
      <c r="E67" s="134" t="inlineStr">
        <is>
          <t>No</t>
        </is>
      </c>
    </row>
    <row r="68" ht="26" customHeight="1" s="76">
      <c r="A68" s="134" t="inlineStr">
        <is>
          <t>rosavin</t>
        </is>
      </c>
      <c r="B68" s="134" t="inlineStr">
        <is>
          <t>rosavin</t>
        </is>
      </c>
      <c r="C68" s="134" t="str"/>
      <c r="D68" s="134" t="inlineStr">
        <is>
          <t>direct</t>
        </is>
      </c>
      <c r="E68" s="134" t="inlineStr">
        <is>
          <t>No</t>
        </is>
      </c>
    </row>
    <row r="69" ht="26" customHeight="1" s="76">
      <c r="A69" s="134" t="inlineStr">
        <is>
          <t>rosarin</t>
        </is>
      </c>
      <c r="B69" s="134" t="inlineStr">
        <is>
          <t>rosarin</t>
        </is>
      </c>
      <c r="C69" s="134" t="str"/>
      <c r="D69" s="134" t="inlineStr">
        <is>
          <t>direct</t>
        </is>
      </c>
      <c r="E69" s="134" t="inlineStr">
        <is>
          <t>No</t>
        </is>
      </c>
    </row>
    <row r="70" ht="26" customHeight="1" s="76">
      <c r="A70" s="134" t="inlineStr">
        <is>
          <t>rosin</t>
        </is>
      </c>
      <c r="B70" s="134" t="inlineStr">
        <is>
          <t>rosin</t>
        </is>
      </c>
      <c r="C70" s="134" t="str"/>
      <c r="D70" s="134" t="inlineStr">
        <is>
          <t>direct</t>
        </is>
      </c>
      <c r="E70" s="134" t="inlineStr">
        <is>
          <t>No</t>
        </is>
      </c>
    </row>
    <row r="71" ht="26" customHeight="1" s="76">
      <c r="A71" s="134" t="inlineStr">
        <is>
          <t>salidroside</t>
        </is>
      </c>
      <c r="B71" s="134" t="inlineStr">
        <is>
          <t>salidroside</t>
        </is>
      </c>
      <c r="C71" s="134" t="str"/>
      <c r="D71" s="134" t="inlineStr">
        <is>
          <t>direct</t>
        </is>
      </c>
      <c r="E71" s="134" t="inlineStr">
        <is>
          <t>No</t>
        </is>
      </c>
    </row>
    <row r="72" ht="26" customHeight="1" s="76">
      <c r="A72" s="134" t="inlineStr">
        <is>
          <t>tyrosol</t>
        </is>
      </c>
      <c r="B72" s="134" t="inlineStr">
        <is>
          <t>tyrosol</t>
        </is>
      </c>
      <c r="C72" s="134" t="str"/>
      <c r="D72" s="134" t="inlineStr">
        <is>
          <t>direct</t>
        </is>
      </c>
      <c r="E72" s="134" t="inlineStr">
        <is>
          <t>No</t>
        </is>
      </c>
    </row>
    <row r="73" ht="26" customHeight="1" s="76">
      <c r="A73" s="134" t="inlineStr">
        <is>
          <t>fatty acids</t>
        </is>
      </c>
      <c r="B73" s="134" t="inlineStr">
        <is>
          <t>fatty acids</t>
        </is>
      </c>
      <c r="C73" s="134" t="str"/>
      <c r="D73" s="134" t="inlineStr">
        <is>
          <t>direct</t>
        </is>
      </c>
      <c r="E73" s="134" t="inlineStr">
        <is>
          <t>Yes</t>
        </is>
      </c>
    </row>
    <row r="74" ht="26" customHeight="1" s="76">
      <c r="A74" s="134" t="inlineStr">
        <is>
          <t>phytosterols (beta-sitosterol)</t>
        </is>
      </c>
      <c r="B74" s="134" t="inlineStr">
        <is>
          <t>beta-sitosterol</t>
        </is>
      </c>
      <c r="C74" s="134" t="inlineStr">
        <is>
          <t>phytosterols</t>
        </is>
      </c>
      <c r="D74" s="134" t="inlineStr">
        <is>
          <t>class-to-specific</t>
        </is>
      </c>
      <c r="E74" s="134" t="inlineStr">
        <is>
          <t>No</t>
        </is>
      </c>
    </row>
    <row r="75" ht="26" customHeight="1" s="76">
      <c r="A75" s="134" t="inlineStr">
        <is>
          <t>hyperforin</t>
        </is>
      </c>
      <c r="B75" s="134" t="inlineStr">
        <is>
          <t>hyperforin</t>
        </is>
      </c>
      <c r="C75" s="134" t="str"/>
      <c r="D75" s="134" t="inlineStr">
        <is>
          <t>direct</t>
        </is>
      </c>
      <c r="E75" s="134" t="inlineStr">
        <is>
          <t>No</t>
        </is>
      </c>
    </row>
    <row r="76" ht="26" customHeight="1" s="76">
      <c r="A76" s="134" t="inlineStr">
        <is>
          <t>hypericin</t>
        </is>
      </c>
      <c r="B76" s="134" t="inlineStr">
        <is>
          <t>hypericin</t>
        </is>
      </c>
      <c r="C76" s="134" t="str"/>
      <c r="D76" s="134" t="inlineStr">
        <is>
          <t>direct</t>
        </is>
      </c>
      <c r="E76" s="134" t="inlineStr">
        <is>
          <t>No</t>
        </is>
      </c>
    </row>
    <row r="77" ht="26" customHeight="1" s="76">
      <c r="A77" s="134" t="inlineStr">
        <is>
          <t>pseudohypericin</t>
        </is>
      </c>
      <c r="B77" s="134" t="inlineStr">
        <is>
          <t>pseudohypericin</t>
        </is>
      </c>
      <c r="C77" s="134" t="str"/>
      <c r="D77" s="134" t="inlineStr">
        <is>
          <t>direct</t>
        </is>
      </c>
      <c r="E77" s="134" t="inlineStr">
        <is>
          <t>No</t>
        </is>
      </c>
    </row>
    <row r="78" ht="26" customHeight="1" s="76">
      <c r="A78" s="134" t="inlineStr">
        <is>
          <t>quercetin</t>
        </is>
      </c>
      <c r="B78" s="134" t="inlineStr">
        <is>
          <t>quercetin</t>
        </is>
      </c>
      <c r="C78" s="134" t="str"/>
      <c r="D78" s="134" t="inlineStr">
        <is>
          <t>direct</t>
        </is>
      </c>
      <c r="E78" s="134" t="inlineStr">
        <is>
          <t>No</t>
        </is>
      </c>
    </row>
    <row r="79" ht="26" customHeight="1" s="76">
      <c r="A79" s="134" t="inlineStr">
        <is>
          <t>rutin</t>
        </is>
      </c>
      <c r="B79" s="134" t="inlineStr">
        <is>
          <t>rutin</t>
        </is>
      </c>
      <c r="C79" s="134" t="str"/>
      <c r="D79" s="134" t="inlineStr">
        <is>
          <t>direct</t>
        </is>
      </c>
      <c r="E79" s="134" t="inlineStr">
        <is>
          <t>No</t>
        </is>
      </c>
    </row>
    <row r="80" ht="26" customHeight="1" s="76">
      <c r="A80" s="134" t="inlineStr">
        <is>
          <t>kaempferol</t>
        </is>
      </c>
      <c r="B80" s="134" t="inlineStr">
        <is>
          <t>kaempferol</t>
        </is>
      </c>
      <c r="C80" s="134" t="str"/>
      <c r="D80" s="134" t="inlineStr">
        <is>
          <t>direct</t>
        </is>
      </c>
      <c r="E80" s="134" t="inlineStr">
        <is>
          <t>No</t>
        </is>
      </c>
    </row>
    <row r="81" ht="26" customHeight="1" s="76">
      <c r="A81" s="134" t="inlineStr">
        <is>
          <t>curcumin</t>
        </is>
      </c>
      <c r="B81" s="134" t="inlineStr">
        <is>
          <t>curcumin</t>
        </is>
      </c>
      <c r="C81" s="134" t="str"/>
      <c r="D81" s="134" t="inlineStr">
        <is>
          <t>direct</t>
        </is>
      </c>
      <c r="E81" s="134" t="inlineStr">
        <is>
          <t>No</t>
        </is>
      </c>
    </row>
    <row r="82" ht="26" customHeight="1" s="76">
      <c r="A82" s="134" t="inlineStr">
        <is>
          <t>demethoxycurcumin</t>
        </is>
      </c>
      <c r="B82" s="134" t="inlineStr">
        <is>
          <t>demethoxycurcumin</t>
        </is>
      </c>
      <c r="C82" s="134" t="str"/>
      <c r="D82" s="134" t="inlineStr">
        <is>
          <t>direct</t>
        </is>
      </c>
      <c r="E82" s="134" t="inlineStr">
        <is>
          <t>No</t>
        </is>
      </c>
    </row>
    <row r="83" ht="26" customHeight="1" s="76">
      <c r="A83" s="134" t="inlineStr">
        <is>
          <t>bisdemethoxycurcumin</t>
        </is>
      </c>
      <c r="B83" s="134" t="inlineStr">
        <is>
          <t>bisdemethoxycurcumin</t>
        </is>
      </c>
      <c r="C83" s="134" t="str"/>
      <c r="D83" s="134" t="inlineStr">
        <is>
          <t>direct</t>
        </is>
      </c>
      <c r="E83" s="134" t="inlineStr">
        <is>
          <t>No</t>
        </is>
      </c>
    </row>
    <row r="84" ht="26" customHeight="1" s="76">
      <c r="A84" s="134" t="inlineStr">
        <is>
          <t>valerenic acid</t>
        </is>
      </c>
      <c r="B84" s="134" t="inlineStr">
        <is>
          <t>valerenic acid</t>
        </is>
      </c>
      <c r="C84" s="134" t="str"/>
      <c r="D84" s="134" t="inlineStr">
        <is>
          <t>direct</t>
        </is>
      </c>
      <c r="E84" s="134" t="inlineStr">
        <is>
          <t>No</t>
        </is>
      </c>
    </row>
    <row r="85" ht="26" customHeight="1" s="76">
      <c r="A85" s="134" t="inlineStr">
        <is>
          <t>valerenol</t>
        </is>
      </c>
      <c r="B85" s="134" t="inlineStr">
        <is>
          <t>valerenol</t>
        </is>
      </c>
      <c r="C85" s="134" t="str"/>
      <c r="D85" s="134" t="inlineStr">
        <is>
          <t>direct</t>
        </is>
      </c>
      <c r="E85" s="134" t="inlineStr">
        <is>
          <t>No</t>
        </is>
      </c>
    </row>
    <row r="86" ht="26" customHeight="1" s="76">
      <c r="A86" s="134" t="inlineStr">
        <is>
          <t>valerenal</t>
        </is>
      </c>
      <c r="B86" s="134" t="inlineStr">
        <is>
          <t>valerenal</t>
        </is>
      </c>
      <c r="C86" s="134" t="str"/>
      <c r="D86" s="134" t="inlineStr">
        <is>
          <t>direct</t>
        </is>
      </c>
      <c r="E86" s="134" t="inlineStr">
        <is>
          <t>No</t>
        </is>
      </c>
    </row>
    <row r="87" ht="26" customHeight="1" s="76">
      <c r="A87" s="134" t="inlineStr">
        <is>
          <t>valepotriates (valtrate, isovaltrate)</t>
        </is>
      </c>
      <c r="B87" s="134" t="inlineStr">
        <is>
          <t>valtrate</t>
        </is>
      </c>
      <c r="C87" s="134" t="inlineStr">
        <is>
          <t>valepotriates</t>
        </is>
      </c>
      <c r="D87" s="134" t="inlineStr">
        <is>
          <t>parenthetical-specific-list</t>
        </is>
      </c>
      <c r="E87" s="134" t="inlineStr">
        <is>
          <t>No</t>
        </is>
      </c>
    </row>
    <row r="88" ht="26" customHeight="1" s="76">
      <c r="A88" s="134" t="inlineStr">
        <is>
          <t>valepotriates (valtrate, isovaltrate)</t>
        </is>
      </c>
      <c r="B88" s="134" t="inlineStr">
        <is>
          <t>isovaltrate</t>
        </is>
      </c>
      <c r="C88" s="134" t="inlineStr">
        <is>
          <t>valepotriates</t>
        </is>
      </c>
      <c r="D88" s="134" t="inlineStr">
        <is>
          <t>parenthetical-specific-list</t>
        </is>
      </c>
      <c r="E88" s="134" t="inlineStr">
        <is>
          <t>No</t>
        </is>
      </c>
    </row>
    <row r="89" ht="26" customHeight="1" s="76">
      <c r="A89" s="134" t="inlineStr">
        <is>
          <t>sesquiterpenoids</t>
        </is>
      </c>
      <c r="B89" s="134" t="inlineStr">
        <is>
          <t>sesquiterpenoids</t>
        </is>
      </c>
      <c r="C89" s="134" t="str"/>
      <c r="D89" s="134" t="inlineStr">
        <is>
          <t>direct</t>
        </is>
      </c>
      <c r="E89" s="134" t="inlineStr">
        <is>
          <t>Yes</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style="76" min="1" max="1"/>
    <col width="28" customWidth="1" style="76" min="2" max="2"/>
    <col width="56" customWidth="1" style="76" min="3" max="3"/>
  </cols>
  <sheetData>
    <row r="1" ht="24" customHeight="1" s="76">
      <c r="A1" s="129" t="inlineStr">
        <is>
          <t>V3 Normalization Guide</t>
        </is>
      </c>
    </row>
    <row r="2" ht="26" customHeight="1" s="76">
      <c r="A2" s="181" t="inlineStr">
        <is>
          <t>Sheet</t>
        </is>
      </c>
      <c r="B2" s="181" t="inlineStr">
        <is>
          <t>Purpose</t>
        </is>
      </c>
      <c r="C2" s="181" t="inlineStr">
        <is>
          <t>How to use</t>
        </is>
      </c>
    </row>
    <row r="3" ht="26" customHeight="1" s="76">
      <c r="A3" s="181" t="inlineStr">
        <is>
          <t>Compound Master V3</t>
        </is>
      </c>
      <c r="B3" s="181" t="inlineStr">
        <is>
          <t>Compound registry extended with provisional specific compounds</t>
        </is>
      </c>
      <c r="C3" s="181" t="inlineStr">
        <is>
          <t>Review low-confidence provisional records and replace them with source-locked monographs when literature is added.</t>
        </is>
      </c>
    </row>
    <row r="4" ht="26" customHeight="1" s="76">
      <c r="A4" s="181" t="inlineStr">
        <is>
          <t>Herb Compound Map V3</t>
        </is>
      </c>
      <c r="B4" s="181" t="inlineStr">
        <is>
          <t>Atomic herb-to-compound bridge after normalization</t>
        </is>
      </c>
      <c r="C4" s="181" t="inlineStr">
        <is>
          <t>Filter mappingTier to see master-linked vs provisional vs broad-class rows.</t>
        </is>
      </c>
    </row>
    <row r="5" ht="26" customHeight="1" s="76">
      <c r="A5" s="181" t="inlineStr">
        <is>
          <t>Compound Reverse Lookup V3</t>
        </is>
      </c>
      <c r="B5" s="181" t="inlineStr">
        <is>
          <t>Find which herbs map to a compound</t>
        </is>
      </c>
      <c r="C5" s="181" t="inlineStr">
        <is>
          <t>Use for mechanism-first blend ideation and compound-centric search.</t>
        </is>
      </c>
    </row>
    <row r="6" ht="26" customHeight="1" s="76">
      <c r="A6" s="181" t="inlineStr">
        <is>
          <t>Herb Enrichment Queue V3</t>
        </is>
      </c>
      <c r="B6" s="181" t="inlineStr">
        <is>
          <t>Prioritization queue for continuing herb enrichment</t>
        </is>
      </c>
      <c r="C6" s="181" t="inlineStr">
        <is>
          <t>Start with herbs that have strong coverage but citation work remaining, then source-lock provisional compounds.</t>
        </is>
      </c>
    </row>
    <row r="7" ht="26" customHeight="1" s="76">
      <c r="A7" s="181" t="inlineStr">
        <is>
          <t>Normalization Rules V3</t>
        </is>
      </c>
      <c r="B7" s="181" t="inlineStr">
        <is>
          <t>Audit trail of how grouped terms were atomized</t>
        </is>
      </c>
      <c r="C7" s="181" t="inlineStr">
        <is>
          <t>Use this before editing raw activeCompounds fields in herb monographs.</t>
        </is>
      </c>
    </row>
    <row r="8" ht="26" customHeight="1" s="76">
      <c r="A8" s="181" t="inlineStr">
        <is>
          <t>Interpretation note</t>
        </is>
      </c>
      <c r="B8" s="181" t="inlineStr">
        <is>
          <t>Broad class retained</t>
        </is>
      </c>
      <c r="C8" s="181" t="inlineStr">
        <is>
          <t>Broad classes such as alkaloids/flavonoids are context labels only, not atomic monograph records.</t>
        </is>
      </c>
    </row>
  </sheetData>
  <mergeCells count="1">
    <mergeCell ref="A1:C1"/>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4.13999938964844" customWidth="1" style="76" min="1" max="1"/>
    <col width="31.43000030517578" customWidth="1" style="76" min="2" max="2"/>
    <col width="21.43000030517578" customWidth="1" style="76" min="3" max="3"/>
    <col width="29.13999938964844" customWidth="1" style="76" min="4" max="4"/>
    <col width="11.85999965667725" customWidth="1" style="76" min="5" max="5"/>
    <col width="29.13999938964844" customWidth="1" style="76" min="6" max="6"/>
    <col width="14.85999965667725" customWidth="1" style="76" min="7" max="7"/>
    <col width="38.56999969482422" customWidth="1" style="76" min="8" max="8"/>
  </cols>
  <sheetData>
    <row r="1">
      <c r="A1" s="139" t="inlineStr">
        <is>
          <t>compoundName</t>
        </is>
      </c>
      <c r="B1" s="139" t="inlineStr">
        <is>
          <t>status</t>
        </is>
      </c>
      <c r="C1" s="139" t="inlineStr">
        <is>
          <t>compoundClass</t>
        </is>
      </c>
      <c r="D1" s="139" t="inlineStr">
        <is>
          <t>evidence</t>
        </is>
      </c>
      <c r="E1" s="139" t="inlineStr">
        <is>
          <t>confidence</t>
        </is>
      </c>
      <c r="F1" s="139" t="inlineStr">
        <is>
          <t>linkedHerbs</t>
        </is>
      </c>
      <c r="G1" s="139" t="inlineStr">
        <is>
          <t>sourceQuality</t>
        </is>
      </c>
      <c r="H1" s="139" t="inlineStr">
        <is>
          <t>note</t>
        </is>
      </c>
    </row>
    <row r="2">
      <c r="A2" s="181" t="inlineStr">
        <is>
          <t>actein</t>
        </is>
      </c>
      <c r="B2" s="181" t="inlineStr">
        <is>
          <t>locked</t>
        </is>
      </c>
      <c r="C2" s="181" t="inlineStr">
        <is>
          <t>triterpene glycoside</t>
        </is>
      </c>
      <c r="D2" s="181" t="inlineStr">
        <is>
          <t>preclinical</t>
        </is>
      </c>
      <c r="E2" s="181" t="inlineStr">
        <is>
          <t>Medium</t>
        </is>
      </c>
      <c r="F2" s="181" t="inlineStr">
        <is>
          <t>black-cohosh</t>
        </is>
      </c>
      <c r="G2" s="181" t="inlineStr">
        <is>
          <t>tier1_locked</t>
        </is>
      </c>
      <c r="H2" s="181" t="inlineStr">
        <is>
          <t>Converted from provisional record</t>
        </is>
      </c>
    </row>
    <row r="3">
      <c r="A3" s="181" t="inlineStr">
        <is>
          <t>23-epi-26-deoxyactein</t>
        </is>
      </c>
      <c r="B3" s="181" t="inlineStr">
        <is>
          <t>locked</t>
        </is>
      </c>
      <c r="C3" s="181" t="inlineStr">
        <is>
          <t>triterpene glycoside</t>
        </is>
      </c>
      <c r="D3" s="181" t="inlineStr">
        <is>
          <t>preclinical</t>
        </is>
      </c>
      <c r="E3" s="181" t="inlineStr">
        <is>
          <t>Medium</t>
        </is>
      </c>
      <c r="F3" s="181" t="inlineStr">
        <is>
          <t>black-cohosh</t>
        </is>
      </c>
      <c r="G3" s="181" t="inlineStr">
        <is>
          <t>tier1_locked</t>
        </is>
      </c>
      <c r="H3" s="181" t="inlineStr">
        <is>
          <t>Converted from provisional record</t>
        </is>
      </c>
    </row>
    <row r="4">
      <c r="A4" s="181" t="inlineStr">
        <is>
          <t>rosmarinic acid</t>
        </is>
      </c>
      <c r="B4" s="181" t="inlineStr">
        <is>
          <t>strengthened</t>
        </is>
      </c>
      <c r="C4" s="181" t="inlineStr">
        <is>
          <t>polyphenol</t>
        </is>
      </c>
      <c r="D4" s="181" t="inlineStr">
        <is>
          <t>human + preclinical</t>
        </is>
      </c>
      <c r="E4" s="181" t="inlineStr">
        <is>
          <t>High</t>
        </is>
      </c>
      <c r="F4" s="181" t="inlineStr">
        <is>
          <t>holy-basil; lemon-balm</t>
        </is>
      </c>
      <c r="G4" s="181" t="inlineStr">
        <is>
          <t>tier1_locked</t>
        </is>
      </c>
      <c r="H4" s="181" t="inlineStr">
        <is>
          <t>Existing record upgraded</t>
        </is>
      </c>
    </row>
    <row r="5">
      <c r="A5" s="181" t="inlineStr">
        <is>
          <t>eugenol</t>
        </is>
      </c>
      <c r="B5" s="181" t="inlineStr">
        <is>
          <t>strengthened</t>
        </is>
      </c>
      <c r="C5" s="181" t="inlineStr">
        <is>
          <t>phenylpropanoid</t>
        </is>
      </c>
      <c r="D5" s="181" t="inlineStr">
        <is>
          <t>human + preclinical</t>
        </is>
      </c>
      <c r="E5" s="181" t="inlineStr">
        <is>
          <t>High</t>
        </is>
      </c>
      <c r="F5" s="181" t="inlineStr">
        <is>
          <t>holy-basil</t>
        </is>
      </c>
      <c r="G5" s="181" t="inlineStr">
        <is>
          <t>tier1_locked</t>
        </is>
      </c>
      <c r="H5" s="181" t="inlineStr">
        <is>
          <t>Existing record upgraded</t>
        </is>
      </c>
    </row>
    <row r="6">
      <c r="A6" s="181" t="inlineStr">
        <is>
          <t>ursolic acid</t>
        </is>
      </c>
      <c r="B6" s="181" t="inlineStr">
        <is>
          <t>strengthened</t>
        </is>
      </c>
      <c r="C6" s="181" t="inlineStr">
        <is>
          <t>triterpenoid</t>
        </is>
      </c>
      <c r="D6" s="181" t="inlineStr">
        <is>
          <t>preclinical + limited human</t>
        </is>
      </c>
      <c r="E6" s="181" t="inlineStr">
        <is>
          <t>Medium</t>
        </is>
      </c>
      <c r="F6" s="181" t="inlineStr">
        <is>
          <t>holy-basil</t>
        </is>
      </c>
      <c r="G6" s="181" t="inlineStr">
        <is>
          <t>tier1_locked</t>
        </is>
      </c>
      <c r="H6" s="181" t="inlineStr">
        <is>
          <t>Existing record upgraded</t>
        </is>
      </c>
    </row>
    <row r="7">
      <c r="A7" s="181" t="inlineStr">
        <is>
          <t>next step</t>
        </is>
      </c>
      <c r="B7" s="181" t="inlineStr">
        <is>
          <t>remaining provisional targets</t>
        </is>
      </c>
      <c r="C7" s="181" t="str"/>
      <c r="D7" s="181" t="str"/>
      <c r="E7" s="181" t="str"/>
      <c r="F7" s="181" t="inlineStr">
        <is>
          <t>cimifugoside; fukinolic acid</t>
        </is>
      </c>
      <c r="G7" s="181" t="str"/>
      <c r="H7" s="181" t="inlineStr">
        <is>
          <t>Batch 2 candidates for black cohosh</t>
        </is>
      </c>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compoundName</t>
        </is>
      </c>
      <c r="B1" t="inlineStr">
        <is>
          <t>status</t>
        </is>
      </c>
      <c r="C1" t="inlineStr">
        <is>
          <t>confidence</t>
        </is>
      </c>
      <c r="D1" t="inlineStr">
        <is>
          <t>evidence</t>
        </is>
      </c>
      <c r="E1" t="inlineStr">
        <is>
          <t>primaryUseContext</t>
        </is>
      </c>
      <c r="F1" t="inlineStr">
        <is>
          <t>notes</t>
        </is>
      </c>
    </row>
    <row r="2">
      <c r="A2" t="inlineStr">
        <is>
          <t>cimifugoside</t>
        </is>
      </c>
      <c r="B2" t="inlineStr">
        <is>
          <t>locked</t>
        </is>
      </c>
      <c r="C2" t="inlineStr">
        <is>
          <t>Medium</t>
        </is>
      </c>
      <c r="D2" t="inlineStr">
        <is>
          <t>preclinical</t>
        </is>
      </c>
      <c r="E2" t="inlineStr">
        <is>
          <t>black cohosh</t>
        </is>
      </c>
      <c r="F2" t="inlineStr">
        <is>
          <t>Locked from provisional status in Batch 2</t>
        </is>
      </c>
    </row>
    <row r="3">
      <c r="A3" t="inlineStr">
        <is>
          <t>fukinolic acid</t>
        </is>
      </c>
      <c r="B3" t="inlineStr">
        <is>
          <t>locked</t>
        </is>
      </c>
      <c r="C3" t="inlineStr">
        <is>
          <t>Medium</t>
        </is>
      </c>
      <c r="D3" t="inlineStr">
        <is>
          <t>preclinical</t>
        </is>
      </c>
      <c r="E3" t="inlineStr">
        <is>
          <t>black cohosh</t>
        </is>
      </c>
      <c r="F3" t="inlineStr">
        <is>
          <t>Locked from provisional status in Batch 2</t>
        </is>
      </c>
    </row>
    <row r="4">
      <c r="A4" t="inlineStr">
        <is>
          <t>salidroside</t>
        </is>
      </c>
      <c r="B4" t="inlineStr">
        <is>
          <t>locked</t>
        </is>
      </c>
      <c r="C4" t="inlineStr">
        <is>
          <t>High</t>
        </is>
      </c>
      <c r="D4" t="inlineStr">
        <is>
          <t>preclinical + limited human</t>
        </is>
      </c>
      <c r="E4" t="inlineStr">
        <is>
          <t>rhodiola</t>
        </is>
      </c>
      <c r="F4" t="inlineStr">
        <is>
          <t>Source-normalized and strengthened</t>
        </is>
      </c>
    </row>
    <row r="5">
      <c r="A5" t="inlineStr">
        <is>
          <t>rosavin</t>
        </is>
      </c>
      <c r="B5" t="inlineStr">
        <is>
          <t>locked</t>
        </is>
      </c>
      <c r="C5" t="inlineStr">
        <is>
          <t>Medium</t>
        </is>
      </c>
      <c r="D5" t="inlineStr">
        <is>
          <t>preclinical + limited human</t>
        </is>
      </c>
      <c r="E5" t="inlineStr">
        <is>
          <t>rhodiola</t>
        </is>
      </c>
      <c r="F5" t="inlineStr">
        <is>
          <t>Source-normalized and strengthened</t>
        </is>
      </c>
    </row>
    <row r="6">
      <c r="A6" t="inlineStr">
        <is>
          <t>beta-sitosterol</t>
        </is>
      </c>
      <c r="B6" t="inlineStr">
        <is>
          <t>locked</t>
        </is>
      </c>
      <c r="C6" t="inlineStr">
        <is>
          <t>High</t>
        </is>
      </c>
      <c r="D6" t="inlineStr">
        <is>
          <t>human + preclinical</t>
        </is>
      </c>
      <c r="E6" t="inlineStr">
        <is>
          <t>saw palmetto</t>
        </is>
      </c>
      <c r="F6" t="inlineStr">
        <is>
          <t>Locked from provisional class-to-specific mapping</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style="76" min="1" max="1"/>
    <col width="6.860000133514404" customWidth="1" style="76" min="2" max="2"/>
    <col width="14.85999965667725" customWidth="1" style="76" min="3" max="3"/>
    <col width="57" customWidth="1" style="76" min="4" max="4"/>
    <col width="20.86000061035156" customWidth="1" style="76" min="5" max="5"/>
    <col width="93.70999908447266" customWidth="1" style="76" min="6" max="6"/>
  </cols>
  <sheetData>
    <row r="1">
      <c r="A1" s="141" t="inlineStr">
        <is>
          <t>compoundName</t>
        </is>
      </c>
      <c r="B1" s="141" t="inlineStr">
        <is>
          <t>status</t>
        </is>
      </c>
      <c r="C1" s="141" t="inlineStr">
        <is>
          <t>confidence</t>
        </is>
      </c>
      <c r="D1" s="141" t="inlineStr">
        <is>
          <t>evidence</t>
        </is>
      </c>
      <c r="E1" s="141" t="inlineStr">
        <is>
          <t>primaryUseContext</t>
        </is>
      </c>
      <c r="F1" s="141" t="inlineStr">
        <is>
          <t>notes</t>
        </is>
      </c>
    </row>
    <row r="2">
      <c r="A2" t="inlineStr">
        <is>
          <t>rosarin</t>
        </is>
      </c>
      <c r="B2" t="inlineStr">
        <is>
          <t>locked</t>
        </is>
      </c>
      <c r="C2" t="inlineStr">
        <is>
          <t>Medium</t>
        </is>
      </c>
      <c r="D2" t="inlineStr">
        <is>
          <t>phytochemical identity strong; pharmacology limited</t>
        </is>
      </c>
      <c r="E2" t="inlineStr">
        <is>
          <t>rhodiola</t>
        </is>
      </c>
      <c r="F2" t="inlineStr">
        <is>
          <t>Locked in Batch 3; normalization and marker integrity win</t>
        </is>
      </c>
    </row>
    <row r="3">
      <c r="A3" t="inlineStr">
        <is>
          <t>rosin</t>
        </is>
      </c>
      <c r="B3" t="inlineStr">
        <is>
          <t>locked</t>
        </is>
      </c>
      <c r="C3" t="inlineStr">
        <is>
          <t>Medium</t>
        </is>
      </c>
      <c r="D3" t="inlineStr">
        <is>
          <t>phytochemical identity strong; pharmacology limited</t>
        </is>
      </c>
      <c r="E3" t="inlineStr">
        <is>
          <t>rhodiola</t>
        </is>
      </c>
      <c r="F3" t="inlineStr">
        <is>
          <t>Locked in Batch 3; normalization and marker integrity win</t>
        </is>
      </c>
    </row>
    <row r="4">
      <c r="A4" t="inlineStr">
        <is>
          <t>tyrosol</t>
        </is>
      </c>
      <c r="B4" t="inlineStr">
        <is>
          <t>locked</t>
        </is>
      </c>
      <c r="C4" t="inlineStr">
        <is>
          <t>Medium</t>
        </is>
      </c>
      <c r="D4" t="inlineStr">
        <is>
          <t>human absorption + preclinical mechanism</t>
        </is>
      </c>
      <c r="E4" t="inlineStr">
        <is>
          <t>rhodiola</t>
        </is>
      </c>
      <c r="F4" t="inlineStr">
        <is>
          <t>Locked in Batch 3 with stronger PK support than most provisional Rhodiola compounds</t>
        </is>
      </c>
    </row>
    <row r="5">
      <c r="A5" t="inlineStr">
        <is>
          <t>withaferin A</t>
        </is>
      </c>
      <c r="B5" t="inlineStr">
        <is>
          <t>locked</t>
        </is>
      </c>
      <c r="C5" t="inlineStr">
        <is>
          <t>Medium-High</t>
        </is>
      </c>
      <c r="D5" t="inlineStr">
        <is>
          <t>preclinical + early human PK</t>
        </is>
      </c>
      <c r="E5" t="inlineStr">
        <is>
          <t>ashwagandha</t>
        </is>
      </c>
      <c r="F5" t="inlineStr">
        <is>
          <t>Locked in Batch 3 from provisional status</t>
        </is>
      </c>
    </row>
    <row r="6">
      <c r="A6" t="inlineStr">
        <is>
          <t>withanolide A</t>
        </is>
      </c>
      <c r="B6" t="inlineStr">
        <is>
          <t>locked</t>
        </is>
      </c>
      <c r="C6" t="inlineStr">
        <is>
          <t>Medium</t>
        </is>
      </c>
      <c r="D6" t="inlineStr">
        <is>
          <t>preclinical</t>
        </is>
      </c>
      <c r="E6" t="inlineStr">
        <is>
          <t>ashwagandha</t>
        </is>
      </c>
      <c r="F6" t="inlineStr">
        <is>
          <t>Locked in Batch 3 from provisional status</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style="76" min="1" max="1"/>
    <col width="6.860000133514404" customWidth="1" style="76" min="2" max="2"/>
    <col width="14.85999965667725" customWidth="1" style="76" min="3" max="3"/>
    <col width="40.13999938964844" customWidth="1" style="76" min="4" max="4"/>
    <col width="20.86000061035156" customWidth="1" style="76" min="5" max="5"/>
    <col width="97.70999908447266" customWidth="1" style="76" min="6" max="6"/>
  </cols>
  <sheetData>
    <row r="1">
      <c r="A1" s="141" t="inlineStr">
        <is>
          <t>compoundName</t>
        </is>
      </c>
      <c r="B1" s="141" t="inlineStr">
        <is>
          <t>status</t>
        </is>
      </c>
      <c r="C1" s="141" t="inlineStr">
        <is>
          <t>confidence</t>
        </is>
      </c>
      <c r="D1" s="141" t="inlineStr">
        <is>
          <t>evidence</t>
        </is>
      </c>
      <c r="E1" s="141" t="inlineStr">
        <is>
          <t>primaryUseContext</t>
        </is>
      </c>
      <c r="F1" s="141" t="inlineStr">
        <is>
          <t>notes</t>
        </is>
      </c>
    </row>
    <row r="2">
      <c r="A2" t="inlineStr">
        <is>
          <t>withanone</t>
        </is>
      </c>
      <c r="B2" t="inlineStr">
        <is>
          <t>locked</t>
        </is>
      </c>
      <c r="C2" t="inlineStr">
        <is>
          <t>Medium</t>
        </is>
      </c>
      <c r="D2" t="inlineStr">
        <is>
          <t>preclinical</t>
        </is>
      </c>
      <c r="E2" t="inlineStr">
        <is>
          <t>ashwagandha</t>
        </is>
      </c>
      <c r="F2" t="inlineStr">
        <is>
          <t>Locked in Batch 4 as next-high-value unresolved compound</t>
        </is>
      </c>
    </row>
    <row r="3">
      <c r="A3" t="inlineStr">
        <is>
          <t>triandrin</t>
        </is>
      </c>
      <c r="B3" t="inlineStr">
        <is>
          <t>locked</t>
        </is>
      </c>
      <c r="C3" t="inlineStr">
        <is>
          <t>Medium</t>
        </is>
      </c>
      <c r="D3" t="inlineStr">
        <is>
          <t>preclinical</t>
        </is>
      </c>
      <c r="E3" t="inlineStr">
        <is>
          <t>rhodiola</t>
        </is>
      </c>
      <c r="F3" t="inlineStr">
        <is>
          <t>Locked in Batch 4 as next-high-value unresolved compound</t>
        </is>
      </c>
    </row>
    <row r="4">
      <c r="A4" t="inlineStr">
        <is>
          <t>hydroxytyrosol</t>
        </is>
      </c>
      <c r="B4" t="inlineStr">
        <is>
          <t>locked</t>
        </is>
      </c>
      <c r="C4" t="inlineStr">
        <is>
          <t>Medium-High</t>
        </is>
      </c>
      <c r="D4" t="inlineStr">
        <is>
          <t>human PK + preclinical mechanism</t>
        </is>
      </c>
      <c r="E4" t="inlineStr">
        <is>
          <t>compound layer</t>
        </is>
      </c>
      <c r="F4" t="inlineStr">
        <is>
          <t>Locked in Batch 4 for compound-layer depth; not herb-mapped in current workbook scope</t>
        </is>
      </c>
    </row>
    <row r="5">
      <c r="A5" t="inlineStr">
        <is>
          <t>sitoindoside IX</t>
        </is>
      </c>
      <c r="B5" t="inlineStr">
        <is>
          <t>locked</t>
        </is>
      </c>
      <c r="C5" t="inlineStr">
        <is>
          <t>Medium</t>
        </is>
      </c>
      <c r="D5" t="inlineStr">
        <is>
          <t>constituent-level + preclinical context</t>
        </is>
      </c>
      <c r="E5" t="inlineStr">
        <is>
          <t>ashwagandha</t>
        </is>
      </c>
      <c r="F5" t="inlineStr">
        <is>
          <t>Locked in Batch 4 to split generic sitoindosides into specific workbook rows</t>
        </is>
      </c>
    </row>
    <row r="6">
      <c r="A6" t="inlineStr">
        <is>
          <t>sitoindoside X</t>
        </is>
      </c>
      <c r="B6" t="inlineStr">
        <is>
          <t>locked</t>
        </is>
      </c>
      <c r="C6" t="inlineStr">
        <is>
          <t>Medium</t>
        </is>
      </c>
      <c r="D6" t="inlineStr">
        <is>
          <t>constituent-level + preclinical context</t>
        </is>
      </c>
      <c r="E6" t="inlineStr">
        <is>
          <t>ashwagandha</t>
        </is>
      </c>
      <c r="F6" t="inlineStr">
        <is>
          <t>Locked in Batch 4 to split generic sitoindosides into specific workbook rows</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compoundName</t>
        </is>
      </c>
      <c r="B1" t="inlineStr">
        <is>
          <t>aliases</t>
        </is>
      </c>
      <c r="C1" t="inlineStr">
        <is>
          <t>compoundClass</t>
        </is>
      </c>
      <c r="D1" t="inlineStr">
        <is>
          <t>mechanism</t>
        </is>
      </c>
      <c r="E1" t="inlineStr">
        <is>
          <t>confidence</t>
        </is>
      </c>
    </row>
    <row r="2">
      <c r="A2" t="inlineStr">
        <is>
          <t>rhodiosin</t>
        </is>
      </c>
      <c r="B2" t="inlineStr">
        <is>
          <t>herbacetin 7-O-glucoside</t>
        </is>
      </c>
      <c r="C2" t="inlineStr">
        <is>
          <t>flavonoid glycoside</t>
        </is>
      </c>
      <c r="D2" t="inlineStr">
        <is>
          <t>preclinical antioxidant / anti-inflammatory signaling</t>
        </is>
      </c>
      <c r="E2" t="inlineStr">
        <is>
          <t>moderate</t>
        </is>
      </c>
    </row>
    <row r="3">
      <c r="A3" t="inlineStr">
        <is>
          <t>rosiridin</t>
        </is>
      </c>
      <c r="B3" t="inlineStr">
        <is>
          <t>monoterpene phenylpropanoid</t>
        </is>
      </c>
      <c r="C3" t="inlineStr">
        <is>
          <t>phenylpropanoid derivative</t>
        </is>
      </c>
      <c r="D3" t="inlineStr">
        <is>
          <t>preclinical adaptogenic signaling</t>
        </is>
      </c>
      <c r="E3" t="inlineStr">
        <is>
          <t>low</t>
        </is>
      </c>
    </row>
    <row r="4">
      <c r="A4" t="inlineStr">
        <is>
          <t>withanoside IV</t>
        </is>
      </c>
      <c r="C4" t="inlineStr">
        <is>
          <t>withanolide glycoside</t>
        </is>
      </c>
      <c r="D4" t="inlineStr">
        <is>
          <t>preclinical neuroprotective signaling</t>
        </is>
      </c>
      <c r="E4" t="inlineStr">
        <is>
          <t>moderate</t>
        </is>
      </c>
    </row>
    <row r="5">
      <c r="A5" t="inlineStr">
        <is>
          <t>withanoside V</t>
        </is>
      </c>
      <c r="C5" t="inlineStr">
        <is>
          <t>withanolide glycoside</t>
        </is>
      </c>
      <c r="D5" t="inlineStr">
        <is>
          <t>preclinical neuroprotective signaling</t>
        </is>
      </c>
      <c r="E5" t="inlineStr">
        <is>
          <t>moderate</t>
        </is>
      </c>
    </row>
    <row r="6">
      <c r="A6" t="inlineStr">
        <is>
          <t>hydroxytyrosol acetate</t>
        </is>
      </c>
      <c r="C6" t="inlineStr">
        <is>
          <t>phenolic ester</t>
        </is>
      </c>
      <c r="D6" t="inlineStr">
        <is>
          <t>preclinical antioxidant / metabolism-linked signaling</t>
        </is>
      </c>
      <c r="E6" t="inlineStr">
        <is>
          <t>moderate</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8" customWidth="1" style="76" min="1" max="1"/>
    <col width="7.139999866485596" customWidth="1" style="76" min="2" max="2"/>
    <col width="34.86000061035156" customWidth="1" style="76" min="3" max="3"/>
    <col width="144.1399993896484" customWidth="1" style="76" min="4" max="4"/>
    <col width="42.56999969482422" customWidth="1" style="76" min="5" max="5"/>
    <col width="101.7099990844727" customWidth="1" style="76" min="6" max="6"/>
    <col width="90.56999969482422" customWidth="1" style="76" min="7" max="7"/>
    <col width="61.29000091552734" customWidth="1" style="76" min="8" max="8"/>
    <col width="62.29000091552734" customWidth="1" style="76" min="9" max="9"/>
    <col width="15.85999965667725" customWidth="1" style="76" min="10" max="10"/>
  </cols>
  <sheetData>
    <row r="1">
      <c r="A1" s="145" t="inlineStr">
        <is>
          <t>compoundName</t>
        </is>
      </c>
      <c r="B1" s="145" t="inlineStr">
        <is>
          <t>aliases</t>
        </is>
      </c>
      <c r="C1" s="145" t="inlineStr">
        <is>
          <t>compoundClass</t>
        </is>
      </c>
      <c r="D1" s="145" t="inlineStr">
        <is>
          <t>mechanism</t>
        </is>
      </c>
      <c r="E1" s="145" t="inlineStr">
        <is>
          <t>pathwayTargets</t>
        </is>
      </c>
      <c r="F1" s="145" t="inlineStr">
        <is>
          <t>pharmacokinetics</t>
        </is>
      </c>
      <c r="G1" s="145" t="inlineStr">
        <is>
          <t>safetyNotes</t>
        </is>
      </c>
      <c r="H1" s="145" t="inlineStr">
        <is>
          <t>drugInteractions</t>
        </is>
      </c>
      <c r="I1" s="145" t="inlineStr">
        <is>
          <t>evidence</t>
        </is>
      </c>
      <c r="J1" s="145" t="inlineStr">
        <is>
          <t>confidence</t>
        </is>
      </c>
    </row>
    <row r="2">
      <c r="A2" s="181" t="inlineStr">
        <is>
          <t>ginkgolide A</t>
        </is>
      </c>
      <c r="B2" s="181" t="str"/>
      <c r="C2" s="181" t="inlineStr">
        <is>
          <t>diterpene trilactone / ginkgolide</t>
        </is>
      </c>
      <c r="D2" s="181" t="inlineStr">
        <is>
          <t>proposed mechanism based on preclinical data: PAF receptor antagonism; preclinical glycine-receptor channel blocking activity</t>
        </is>
      </c>
      <c r="E2" s="181" t="inlineStr">
        <is>
          <t>PAFR; glycine receptor chloride channel</t>
        </is>
      </c>
      <c r="F2" s="181" t="inlineStr">
        <is>
          <t>human terpene-lactone PK documented at extract level; isolated-compound human PK limited</t>
        </is>
      </c>
      <c r="G2" s="181" t="inlineStr">
        <is>
          <t>use herb-level ginkgo safety framing</t>
        </is>
      </c>
      <c r="H2" s="181" t="inlineStr">
        <is>
          <t>retain herb-level ginkgo interaction caution</t>
        </is>
      </c>
      <c r="I2" s="181" t="inlineStr">
        <is>
          <t>compound-level with primary PubChem/PubMed support</t>
        </is>
      </c>
      <c r="J2" s="181" t="inlineStr">
        <is>
          <t>Moderate</t>
        </is>
      </c>
    </row>
    <row r="3">
      <c r="A3" s="181" t="inlineStr">
        <is>
          <t>ginkgolide B</t>
        </is>
      </c>
      <c r="B3" s="181" t="str"/>
      <c r="C3" s="181" t="inlineStr">
        <is>
          <t>diterpene trilactone / ginkgolide</t>
        </is>
      </c>
      <c r="D3" s="181" t="inlineStr">
        <is>
          <t>proposed mechanism based on preclinical data: potent PAF receptor antagonism</t>
        </is>
      </c>
      <c r="E3" s="181" t="inlineStr">
        <is>
          <t>PAFR</t>
        </is>
      </c>
      <c r="F3" s="181" t="inlineStr">
        <is>
          <t>human terpene-lactone PK documented at extract level; isolated-compound human PK limited</t>
        </is>
      </c>
      <c r="G3" s="181" t="inlineStr">
        <is>
          <t>use herb-level ginkgo safety framing</t>
        </is>
      </c>
      <c r="H3" s="181" t="inlineStr">
        <is>
          <t>retain herb-level ginkgo interaction caution</t>
        </is>
      </c>
      <c r="I3" s="181" t="inlineStr">
        <is>
          <t>compound-level with primary PubChem/PubMed support</t>
        </is>
      </c>
      <c r="J3" s="181" t="inlineStr">
        <is>
          <t>Moderate</t>
        </is>
      </c>
    </row>
    <row r="4">
      <c r="A4" s="181" t="inlineStr">
        <is>
          <t>ginkgolide C</t>
        </is>
      </c>
      <c r="B4" s="181" t="str"/>
      <c r="C4" s="181" t="inlineStr">
        <is>
          <t>diterpene trilactone / ginkgolide</t>
        </is>
      </c>
      <c r="D4" s="181" t="inlineStr">
        <is>
          <t>proposed mechanism based on preclinical data: PAF receptor antagonism; additional anti-inflammatory signaling in preclinical models</t>
        </is>
      </c>
      <c r="E4" s="181" t="inlineStr">
        <is>
          <t>PAFR; CD40/NF-kappaB</t>
        </is>
      </c>
      <c r="F4" s="181" t="inlineStr">
        <is>
          <t>human terpene-lactone PK documented at extract level; isolated-compound human PK limited</t>
        </is>
      </c>
      <c r="G4" s="181" t="inlineStr">
        <is>
          <t>use herb-level ginkgo safety framing</t>
        </is>
      </c>
      <c r="H4" s="181" t="inlineStr">
        <is>
          <t>retain herb-level ginkgo interaction caution</t>
        </is>
      </c>
      <c r="I4" s="181" t="inlineStr">
        <is>
          <t>compound-level with primary PubChem/PubMed support</t>
        </is>
      </c>
      <c r="J4" s="181" t="inlineStr">
        <is>
          <t>Moderate</t>
        </is>
      </c>
    </row>
    <row r="5">
      <c r="A5" s="181" t="inlineStr">
        <is>
          <t>ginkgetin</t>
        </is>
      </c>
      <c r="B5" s="181" t="str"/>
      <c r="C5" s="181" t="inlineStr">
        <is>
          <t>biflavonoid</t>
        </is>
      </c>
      <c r="D5" s="181" t="inlineStr">
        <is>
          <t>proposed mechanism based on preclinical data: dual COX-2/5-lipoxygenase inhibition and anti-inflammatory signaling</t>
        </is>
      </c>
      <c r="E5" s="181" t="inlineStr">
        <is>
          <t>COX-2; 5-lipoxygenase</t>
        </is>
      </c>
      <c r="F5" s="181" t="inlineStr">
        <is>
          <t>unresolved human PK</t>
        </is>
      </c>
      <c r="G5" s="181" t="inlineStr">
        <is>
          <t>use herb-level ginkgo safety framing</t>
        </is>
      </c>
      <c r="H5" s="181" t="inlineStr">
        <is>
          <t>no isolated-compound clinical interaction set established</t>
        </is>
      </c>
      <c r="I5" s="181" t="inlineStr">
        <is>
          <t>compound-level with primary PubChem/PubMed support</t>
        </is>
      </c>
      <c r="J5" s="181" t="inlineStr">
        <is>
          <t>Moderate</t>
        </is>
      </c>
    </row>
    <row r="6">
      <c r="A6" s="181" t="inlineStr">
        <is>
          <t>bilobetin</t>
        </is>
      </c>
      <c r="B6" s="181" t="str"/>
      <c r="C6" s="181" t="inlineStr">
        <is>
          <t>biflavonoid</t>
        </is>
      </c>
      <c r="D6" s="181" t="inlineStr">
        <is>
          <t>proposed mechanism based on preclinical data: anti-inflammatory and redox-modulating activity</t>
        </is>
      </c>
      <c r="E6" s="181" t="inlineStr">
        <is>
          <t>nitric oxide/inflammatory signaling</t>
        </is>
      </c>
      <c r="F6" s="181" t="inlineStr">
        <is>
          <t>unresolved human PK</t>
        </is>
      </c>
      <c r="G6" s="181" t="inlineStr">
        <is>
          <t>use herb-level ginkgo safety framing; isolated-compound safety uncertainty remains</t>
        </is>
      </c>
      <c r="H6" s="181" t="inlineStr">
        <is>
          <t>no isolated-compound clinical interaction set established</t>
        </is>
      </c>
      <c r="I6" s="181" t="inlineStr">
        <is>
          <t>preclinical-focused literature support</t>
        </is>
      </c>
      <c r="J6" s="181" t="inlineStr">
        <is>
          <t>Low-Moderate</t>
        </is>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compoundName</t>
        </is>
      </c>
      <c r="B1" t="inlineStr">
        <is>
          <t>aliases</t>
        </is>
      </c>
      <c r="C1" t="inlineStr">
        <is>
          <t>compoundClass</t>
        </is>
      </c>
      <c r="D1" t="inlineStr">
        <is>
          <t>mechanism</t>
        </is>
      </c>
      <c r="E1" t="inlineStr">
        <is>
          <t>confidence</t>
        </is>
      </c>
    </row>
    <row r="2">
      <c r="A2" t="inlineStr">
        <is>
          <t>sciadopitysin</t>
        </is>
      </c>
      <c r="C2" t="inlineStr">
        <is>
          <t>biflavonoid</t>
        </is>
      </c>
      <c r="D2" t="inlineStr">
        <is>
          <t>preclinical anti-inflammatory / antioxidant signaling</t>
        </is>
      </c>
      <c r="E2" t="inlineStr">
        <is>
          <t>moderate</t>
        </is>
      </c>
    </row>
    <row r="3">
      <c r="A3" t="inlineStr">
        <is>
          <t>ginkgolide J</t>
        </is>
      </c>
      <c r="C3" t="inlineStr">
        <is>
          <t>diterpenoid lactone</t>
        </is>
      </c>
      <c r="D3" t="inlineStr">
        <is>
          <t>preclinical platelet-activating factor antagonism</t>
        </is>
      </c>
      <c r="E3" t="inlineStr">
        <is>
          <t>moderate</t>
        </is>
      </c>
    </row>
    <row r="4">
      <c r="A4" t="inlineStr">
        <is>
          <t>kavain</t>
        </is>
      </c>
      <c r="C4" t="inlineStr">
        <is>
          <t>kavalactone</t>
        </is>
      </c>
      <c r="D4" t="inlineStr">
        <is>
          <t>GABAergic modulation (preclinical + limited human relevance)</t>
        </is>
      </c>
      <c r="E4" t="inlineStr">
        <is>
          <t>moderate</t>
        </is>
      </c>
    </row>
    <row r="5">
      <c r="A5" t="inlineStr">
        <is>
          <t>yangonin</t>
        </is>
      </c>
      <c r="C5" t="inlineStr">
        <is>
          <t>kavalactone</t>
        </is>
      </c>
      <c r="D5" t="inlineStr">
        <is>
          <t>CB1 receptor interaction (preclinical)</t>
        </is>
      </c>
      <c r="E5" t="inlineStr">
        <is>
          <t>low-moderate</t>
        </is>
      </c>
    </row>
    <row r="6">
      <c r="A6" t="inlineStr">
        <is>
          <t>silybin</t>
        </is>
      </c>
      <c r="C6" t="inlineStr">
        <is>
          <t>flavonolignan</t>
        </is>
      </c>
      <c r="D6" t="inlineStr">
        <is>
          <t>antioxidant / hepatoprotective signaling (mixed human evidence)</t>
        </is>
      </c>
      <c r="E6" t="inlineStr">
        <is>
          <t>moderate</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2" customWidth="1" style="76" min="1" max="1"/>
    <col width="22" customWidth="1" style="76" min="2" max="2"/>
    <col width="22" customWidth="1" style="76" min="3" max="3"/>
    <col width="32" customWidth="1" style="76" min="4" max="4"/>
    <col width="32" customWidth="1" style="76" min="5" max="5"/>
    <col width="32" customWidth="1" style="76" min="6" max="6"/>
    <col width="32" customWidth="1" style="76" min="7" max="7"/>
    <col width="32" customWidth="1" style="76" min="8" max="8"/>
    <col width="32" customWidth="1" style="76" min="9" max="9"/>
    <col width="22" customWidth="1" style="76" min="10" max="10"/>
  </cols>
  <sheetData>
    <row r="1">
      <c r="A1" s="148" t="inlineStr">
        <is>
          <t>compoundName</t>
        </is>
      </c>
      <c r="B1" s="148" t="inlineStr">
        <is>
          <t>aliases</t>
        </is>
      </c>
      <c r="C1" s="148" t="inlineStr">
        <is>
          <t>compoundClass</t>
        </is>
      </c>
      <c r="D1" s="148" t="inlineStr">
        <is>
          <t>mechanism</t>
        </is>
      </c>
      <c r="E1" s="148" t="inlineStr">
        <is>
          <t>pathwayTargets</t>
        </is>
      </c>
      <c r="F1" s="148" t="inlineStr">
        <is>
          <t>pharmacokinetics</t>
        </is>
      </c>
      <c r="G1" s="148" t="inlineStr">
        <is>
          <t>safetyNotes</t>
        </is>
      </c>
      <c r="H1" s="148" t="inlineStr">
        <is>
          <t>drugInteractions</t>
        </is>
      </c>
      <c r="I1" s="148" t="inlineStr">
        <is>
          <t>evidence</t>
        </is>
      </c>
      <c r="J1" s="148" t="inlineStr">
        <is>
          <t>confidence</t>
        </is>
      </c>
    </row>
    <row r="2">
      <c r="A2" s="181" t="inlineStr">
        <is>
          <t>ginkgolide J</t>
        </is>
      </c>
      <c r="B2" s="181" t="n"/>
      <c r="C2" s="181" t="inlineStr">
        <is>
          <t>diterpene trilactone / ginkgolide</t>
        </is>
      </c>
      <c r="D2" s="181" t="inlineStr">
        <is>
          <t>proposed mechanism based on preclinical data: platelet-activating factor receptor antagonism with limited direct isolated-compound literature compared with ginkgolides A-C.</t>
        </is>
      </c>
      <c r="E2" s="181" t="inlineStr">
        <is>
          <t>PAFR</t>
        </is>
      </c>
      <c r="F2" s="181" t="inlineStr">
        <is>
          <t>extract-level terpene-lactone PK documented; isolated-compound human PK limited</t>
        </is>
      </c>
      <c r="G2" s="181" t="inlineStr">
        <is>
          <t>use herb-level ginkgo safety framing</t>
        </is>
      </c>
      <c r="H2" s="181" t="inlineStr">
        <is>
          <t>retain herb-level ginkgo interaction caution</t>
        </is>
      </c>
      <c r="I2" s="181" t="inlineStr">
        <is>
          <t>compound-level with primary PubChem/PubMed support</t>
        </is>
      </c>
      <c r="J2" s="181" t="inlineStr">
        <is>
          <t>Moderate</t>
        </is>
      </c>
    </row>
    <row r="3">
      <c r="A3" s="181" t="inlineStr">
        <is>
          <t>sciadopitysin</t>
        </is>
      </c>
      <c r="B3" s="181" t="n"/>
      <c r="C3" s="181" t="inlineStr">
        <is>
          <t>biflavonoid</t>
        </is>
      </c>
      <c r="D3" s="181" t="inlineStr">
        <is>
          <t>proposed mechanism based on preclinical data: anti-inflammatory and antioxidant signaling reported in biflavonoid literature; no established human mechanism.</t>
        </is>
      </c>
      <c r="E3" s="181" t="inlineStr">
        <is>
          <t>NF-kappaB; oxidative-stress signaling</t>
        </is>
      </c>
      <c r="F3" s="181" t="inlineStr">
        <is>
          <t>unresolved human PK</t>
        </is>
      </c>
      <c r="G3" s="181" t="inlineStr">
        <is>
          <t>use herb-level ginkgo safety framing</t>
        </is>
      </c>
      <c r="H3" s="181" t="inlineStr">
        <is>
          <t>no isolated-compound clinical interaction set established</t>
        </is>
      </c>
      <c r="I3" s="181" t="inlineStr">
        <is>
          <t>compound-level with primary PubChem/PubMed support</t>
        </is>
      </c>
      <c r="J3" s="181" t="inlineStr">
        <is>
          <t>Moderate</t>
        </is>
      </c>
    </row>
    <row r="4">
      <c r="A4" s="181" t="inlineStr">
        <is>
          <t>flavokavain A</t>
        </is>
      </c>
      <c r="B4" s="181" t="n"/>
      <c r="C4" s="181" t="inlineStr">
        <is>
          <t>chalcone</t>
        </is>
      </c>
      <c r="D4" s="181" t="inlineStr">
        <is>
          <t>proposed mechanism based on preclinical data: redox-active and cytostatic signaling with apoptosis-related effects reported in cell models; no established human mechanism.</t>
        </is>
      </c>
      <c r="E4" s="181" t="inlineStr">
        <is>
          <t>oxidative-stress signaling; apoptosis-related signaling</t>
        </is>
      </c>
      <c r="F4" s="181" t="inlineStr">
        <is>
          <t>unresolved human PK</t>
        </is>
      </c>
      <c r="G4" s="181" t="inlineStr">
        <is>
          <t>use herb-level kava safety framing</t>
        </is>
      </c>
      <c r="H4" s="181" t="inlineStr">
        <is>
          <t>retain herb-level kava interaction caution</t>
        </is>
      </c>
      <c r="I4" s="181" t="inlineStr">
        <is>
          <t>preclinical-focused literature support</t>
        </is>
      </c>
      <c r="J4" s="181" t="inlineStr">
        <is>
          <t>Low-Moderate</t>
        </is>
      </c>
    </row>
    <row r="5">
      <c r="A5" s="181" t="inlineStr">
        <is>
          <t>flavokavain B</t>
        </is>
      </c>
      <c r="B5" s="181" t="n"/>
      <c r="C5" s="181" t="inlineStr">
        <is>
          <t>chalcone</t>
        </is>
      </c>
      <c r="D5" s="181" t="inlineStr">
        <is>
          <t>proposed mechanism based on preclinical data: apoptosis-associated and anti-inflammatory signaling in cell models; no established human mechanism.</t>
        </is>
      </c>
      <c r="E5" s="181" t="inlineStr">
        <is>
          <t>oxidative-stress signaling; apoptosis-related signaling</t>
        </is>
      </c>
      <c r="F5" s="181" t="inlineStr">
        <is>
          <t>unresolved human PK</t>
        </is>
      </c>
      <c r="G5" s="181" t="inlineStr">
        <is>
          <t>use herb-level kava safety framing; hepatotoxicity discussion remains unresolved</t>
        </is>
      </c>
      <c r="H5" s="181" t="inlineStr">
        <is>
          <t>retain herb-level kava interaction caution</t>
        </is>
      </c>
      <c r="I5" s="181" t="inlineStr">
        <is>
          <t>preclinical-focused literature support</t>
        </is>
      </c>
      <c r="J5" s="181" t="inlineStr">
        <is>
          <t>Low-Moderate</t>
        </is>
      </c>
    </row>
    <row r="6">
      <c r="A6" s="181" t="inlineStr">
        <is>
          <t>flavokavain C</t>
        </is>
      </c>
      <c r="B6" s="181" t="n"/>
      <c r="C6" s="181" t="inlineStr">
        <is>
          <t>chalcone</t>
        </is>
      </c>
      <c r="D6" s="181" t="inlineStr">
        <is>
          <t>proposed mechanism based on preclinical data: anti-inflammatory and redox-modulating signaling reported in constituent-level literature; no established human mechanism.</t>
        </is>
      </c>
      <c r="E6" s="181" t="inlineStr">
        <is>
          <t>oxidative-stress signaling; inflammatory signaling</t>
        </is>
      </c>
      <c r="F6" s="181" t="inlineStr">
        <is>
          <t>unresolved human PK</t>
        </is>
      </c>
      <c r="G6" s="181" t="inlineStr">
        <is>
          <t>use herb-level kava safety framing</t>
        </is>
      </c>
      <c r="H6" s="181" t="inlineStr">
        <is>
          <t>retain herb-level kava interaction caution</t>
        </is>
      </c>
      <c r="I6" s="181" t="inlineStr">
        <is>
          <t>preclinical-focused literature support</t>
        </is>
      </c>
      <c r="J6" s="181" t="inlineStr">
        <is>
          <t>Low</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compoundName</t>
        </is>
      </c>
      <c r="B1" t="inlineStr">
        <is>
          <t>aliases</t>
        </is>
      </c>
      <c r="C1" t="inlineStr">
        <is>
          <t>compoundClass</t>
        </is>
      </c>
      <c r="D1" t="inlineStr">
        <is>
          <t>mechanism</t>
        </is>
      </c>
      <c r="E1" t="inlineStr">
        <is>
          <t>confidence</t>
        </is>
      </c>
    </row>
    <row r="2">
      <c r="A2" t="inlineStr">
        <is>
          <t>silybin A</t>
        </is>
      </c>
      <c r="C2" t="inlineStr">
        <is>
          <t>flavonolignan</t>
        </is>
      </c>
      <c r="D2" t="inlineStr">
        <is>
          <t>antioxidant / hepatoprotective signaling (mixed human evidence)</t>
        </is>
      </c>
      <c r="E2" t="inlineStr">
        <is>
          <t>moderate</t>
        </is>
      </c>
    </row>
    <row r="3">
      <c r="A3" t="inlineStr">
        <is>
          <t>silybin B</t>
        </is>
      </c>
      <c r="C3" t="inlineStr">
        <is>
          <t>flavonolignan</t>
        </is>
      </c>
      <c r="D3" t="inlineStr">
        <is>
          <t>antioxidant / hepatoprotective signaling (mixed human evidence)</t>
        </is>
      </c>
      <c r="E3" t="inlineStr">
        <is>
          <t>moderate</t>
        </is>
      </c>
    </row>
    <row r="4">
      <c r="A4" t="inlineStr">
        <is>
          <t>isosilybin A</t>
        </is>
      </c>
      <c r="C4" t="inlineStr">
        <is>
          <t>flavonolignan</t>
        </is>
      </c>
      <c r="D4" t="inlineStr">
        <is>
          <t>preclinical cytoprotective / anti-inflammatory signaling</t>
        </is>
      </c>
      <c r="E4" t="inlineStr">
        <is>
          <t>moderate</t>
        </is>
      </c>
    </row>
    <row r="5">
      <c r="A5" t="inlineStr">
        <is>
          <t>isosilybin B</t>
        </is>
      </c>
      <c r="C5" t="inlineStr">
        <is>
          <t>flavonolignan</t>
        </is>
      </c>
      <c r="D5" t="inlineStr">
        <is>
          <t>preclinical cytoprotective / anti-inflammatory signaling</t>
        </is>
      </c>
      <c r="E5" t="inlineStr">
        <is>
          <t>moderate</t>
        </is>
      </c>
    </row>
    <row r="6">
      <c r="A6" t="inlineStr">
        <is>
          <t>isosilychristin</t>
        </is>
      </c>
      <c r="C6" t="inlineStr">
        <is>
          <t>flavonolignan</t>
        </is>
      </c>
      <c r="D6" t="inlineStr">
        <is>
          <t>preclinical antioxidant / hepatoprotective signaling</t>
        </is>
      </c>
      <c r="E6" t="inlineStr">
        <is>
          <t>moderate</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8" customWidth="1" style="76" min="1" max="1"/>
    <col width="10.43000030517578" customWidth="1" style="76" min="2" max="2"/>
    <col width="17" customWidth="1" style="76" min="3" max="3"/>
    <col width="138.8600006103516" customWidth="1" style="76" min="4" max="4"/>
    <col width="68.13999938964844" customWidth="1" style="76" min="5" max="5"/>
    <col width="89.43000030517578" customWidth="1" style="76" min="6" max="6"/>
    <col width="43.70999908447266" customWidth="1" style="76" min="7" max="7"/>
    <col width="61.29000091552734" customWidth="1" style="76" min="8" max="8"/>
    <col width="15.85999965667725" customWidth="1" style="76" min="9" max="9"/>
    <col width="29.13999938964844" customWidth="1" style="76" min="10" max="10"/>
  </cols>
  <sheetData>
    <row r="1">
      <c r="A1" s="181" t="inlineStr">
        <is>
          <t>compoundName</t>
        </is>
      </c>
      <c r="B1" s="181" t="inlineStr">
        <is>
          <t>aliases</t>
        </is>
      </c>
      <c r="C1" s="181" t="inlineStr">
        <is>
          <t>compoundClass</t>
        </is>
      </c>
      <c r="D1" s="181" t="inlineStr">
        <is>
          <t>mechanism</t>
        </is>
      </c>
      <c r="E1" s="181" t="inlineStr">
        <is>
          <t>pathwayTargets</t>
        </is>
      </c>
      <c r="F1" s="181" t="inlineStr">
        <is>
          <t>pharmacokinetics</t>
        </is>
      </c>
      <c r="G1" s="181" t="inlineStr">
        <is>
          <t>safetyNotes</t>
        </is>
      </c>
      <c r="H1" s="181" t="inlineStr">
        <is>
          <t>drugInteractions</t>
        </is>
      </c>
      <c r="I1" s="181" t="inlineStr">
        <is>
          <t>confidence</t>
        </is>
      </c>
      <c r="J1" s="181" t="inlineStr">
        <is>
          <t>sources</t>
        </is>
      </c>
    </row>
    <row r="2">
      <c r="A2" s="181" t="inlineStr">
        <is>
          <t>silybin A</t>
        </is>
      </c>
      <c r="B2" s="181" t="inlineStr">
        <is>
          <t>silibinin A</t>
        </is>
      </c>
      <c r="C2" s="181" t="inlineStr">
        <is>
          <t>flavonolignan</t>
        </is>
      </c>
      <c r="D2" s="181" t="inlineStr">
        <is>
          <t>preclinical antioxidant, anti-inflammatory, and hepatoprotective signaling; no isolated-compound human mechanism established</t>
        </is>
      </c>
      <c r="E2" s="181" t="inlineStr">
        <is>
          <t>Nrf2-associated signaling; NF-kappaB; oxidative-stress signaling</t>
        </is>
      </c>
      <c r="F2" s="181" t="inlineStr">
        <is>
          <t>human PK better described for silibinin/silybin mixtures than isolated stereoisomer</t>
        </is>
      </c>
      <c r="G2" s="181" t="inlineStr">
        <is>
          <t>use herb-level milk thistle safety framing</t>
        </is>
      </c>
      <c r="H2" s="181" t="inlineStr">
        <is>
          <t>no isolated-compound clinical interaction set established</t>
        </is>
      </c>
      <c r="I2" s="181" t="inlineStr">
        <is>
          <t>Moderate</t>
        </is>
      </c>
      <c r="J2" s="181" t="inlineStr">
        <is>
          <t>PubChem; PubMed; NCCIH</t>
        </is>
      </c>
    </row>
    <row r="3">
      <c r="A3" s="181" t="inlineStr">
        <is>
          <t>silybin B</t>
        </is>
      </c>
      <c r="B3" s="181" t="inlineStr">
        <is>
          <t>silibinin B</t>
        </is>
      </c>
      <c r="C3" s="181" t="inlineStr">
        <is>
          <t>flavonolignan</t>
        </is>
      </c>
      <c r="D3" s="181" t="inlineStr">
        <is>
          <t>preclinical antioxidant, anti-inflammatory, and hepatoprotective signaling; no isolated-compound human mechanism established</t>
        </is>
      </c>
      <c r="E3" s="181" t="inlineStr">
        <is>
          <t>Nrf2-associated signaling; NF-kappaB; oxidative-stress signaling</t>
        </is>
      </c>
      <c r="F3" s="181" t="inlineStr">
        <is>
          <t>human PK better described for silibinin/silybin mixtures than isolated stereoisomer</t>
        </is>
      </c>
      <c r="G3" s="181" t="inlineStr">
        <is>
          <t>use herb-level milk thistle safety framing</t>
        </is>
      </c>
      <c r="H3" s="181" t="inlineStr">
        <is>
          <t>no isolated-compound clinical interaction set established</t>
        </is>
      </c>
      <c r="I3" s="181" t="inlineStr">
        <is>
          <t>Moderate</t>
        </is>
      </c>
      <c r="J3" s="181" t="inlineStr">
        <is>
          <t>PubChem; PubMed; NCCIH</t>
        </is>
      </c>
    </row>
    <row r="4">
      <c r="A4" s="181" t="inlineStr">
        <is>
          <t>isosilybin A</t>
        </is>
      </c>
      <c r="B4" s="181" t="str"/>
      <c r="C4" s="181" t="inlineStr">
        <is>
          <t>flavonolignan</t>
        </is>
      </c>
      <c r="D4" s="181" t="inlineStr">
        <is>
          <t>preclinical cytoprotective and anti-inflammatory signaling; no established human mechanism</t>
        </is>
      </c>
      <c r="E4" s="181" t="inlineStr">
        <is>
          <t>NF-kappaB; oxidative-stress signaling</t>
        </is>
      </c>
      <c r="F4" s="181" t="inlineStr">
        <is>
          <t>no robust isolated-compound human PK identified</t>
        </is>
      </c>
      <c r="G4" s="181" t="inlineStr">
        <is>
          <t>use herb-level milk thistle safety framing</t>
        </is>
      </c>
      <c r="H4" s="181" t="inlineStr">
        <is>
          <t>no isolated-compound clinical interaction set established</t>
        </is>
      </c>
      <c r="I4" s="181" t="inlineStr">
        <is>
          <t>Moderate</t>
        </is>
      </c>
      <c r="J4" s="181" t="inlineStr">
        <is>
          <t>PubChem; PubMed; NCCIH</t>
        </is>
      </c>
    </row>
    <row r="5">
      <c r="A5" s="181" t="inlineStr">
        <is>
          <t>isosilybin B</t>
        </is>
      </c>
      <c r="B5" s="181" t="str"/>
      <c r="C5" s="181" t="inlineStr">
        <is>
          <t>flavonolignan</t>
        </is>
      </c>
      <c r="D5" s="181" t="inlineStr">
        <is>
          <t>preclinical cytoprotective and anti-inflammatory signaling; no established human mechanism</t>
        </is>
      </c>
      <c r="E5" s="181" t="inlineStr">
        <is>
          <t>NF-kappaB; oxidative-stress signaling</t>
        </is>
      </c>
      <c r="F5" s="181" t="inlineStr">
        <is>
          <t>no robust isolated-compound human PK identified</t>
        </is>
      </c>
      <c r="G5" s="181" t="inlineStr">
        <is>
          <t>use herb-level milk thistle safety framing</t>
        </is>
      </c>
      <c r="H5" s="181" t="inlineStr">
        <is>
          <t>no isolated-compound clinical interaction set established</t>
        </is>
      </c>
      <c r="I5" s="181" t="inlineStr">
        <is>
          <t>Moderate</t>
        </is>
      </c>
      <c r="J5" s="181" t="inlineStr">
        <is>
          <t>PubChem; PubMed; NCCIH</t>
        </is>
      </c>
    </row>
    <row r="6">
      <c r="A6" s="181" t="inlineStr">
        <is>
          <t>isosilychristin</t>
        </is>
      </c>
      <c r="B6" s="181" t="str"/>
      <c r="C6" s="181" t="inlineStr">
        <is>
          <t>flavonolignan</t>
        </is>
      </c>
      <c r="D6" s="181" t="inlineStr">
        <is>
          <t>preclinical antioxidant and hepatoprotective signaling; no established human mechanism</t>
        </is>
      </c>
      <c r="E6" s="181" t="inlineStr">
        <is>
          <t>oxidative-stress signaling; general or unknown targets</t>
        </is>
      </c>
      <c r="F6" s="181" t="inlineStr">
        <is>
          <t>no robust isolated-compound human PK identified</t>
        </is>
      </c>
      <c r="G6" s="181" t="inlineStr">
        <is>
          <t>use herb-level milk thistle safety framing</t>
        </is>
      </c>
      <c r="H6" s="181" t="inlineStr">
        <is>
          <t>no isolated-compound clinical interaction set established</t>
        </is>
      </c>
      <c r="I6" s="181" t="inlineStr">
        <is>
          <t>Low-Moderate</t>
        </is>
      </c>
      <c r="J6" s="181" t="inlineStr">
        <is>
          <t>PubChem; PubMed; NCCIH</t>
        </is>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compoundName</t>
        </is>
      </c>
      <c r="B1" t="inlineStr">
        <is>
          <t>class</t>
        </is>
      </c>
      <c r="C1" t="inlineStr">
        <is>
          <t>mechanism</t>
        </is>
      </c>
      <c r="D1" t="inlineStr">
        <is>
          <t>confidence</t>
        </is>
      </c>
      <c r="E1" t="inlineStr">
        <is>
          <t>herb</t>
        </is>
      </c>
      <c r="F1" t="inlineStr">
        <is>
          <t>note</t>
        </is>
      </c>
    </row>
    <row r="2">
      <c r="A2" t="inlineStr">
        <is>
          <t>curcumin</t>
        </is>
      </c>
      <c r="B2" t="inlineStr">
        <is>
          <t>polyphenol</t>
        </is>
      </c>
      <c r="C2" t="inlineStr">
        <is>
          <t>NF-kappaB/Nrf2 modulation</t>
        </is>
      </c>
      <c r="D2" t="inlineStr">
        <is>
          <t>Moderate</t>
        </is>
      </c>
      <c r="E2" t="inlineStr">
        <is>
          <t>turmeric</t>
        </is>
      </c>
      <c r="F2" t="inlineStr">
        <is>
          <t>core active</t>
        </is>
      </c>
    </row>
    <row r="3">
      <c r="A3" t="inlineStr">
        <is>
          <t>demethoxycurcumin</t>
        </is>
      </c>
      <c r="B3" t="inlineStr">
        <is>
          <t>polyphenol</t>
        </is>
      </c>
      <c r="C3" t="inlineStr">
        <is>
          <t>preclinical anti-inflammatory</t>
        </is>
      </c>
      <c r="D3" t="inlineStr">
        <is>
          <t>Low-Moderate</t>
        </is>
      </c>
      <c r="E3" t="inlineStr">
        <is>
          <t>turmeric</t>
        </is>
      </c>
      <c r="F3" t="inlineStr">
        <is>
          <t>secondary curcuminoid</t>
        </is>
      </c>
    </row>
    <row r="4">
      <c r="A4" t="inlineStr">
        <is>
          <t>bisdemethoxycurcumin</t>
        </is>
      </c>
      <c r="B4" t="inlineStr">
        <is>
          <t>polyphenol</t>
        </is>
      </c>
      <c r="C4" t="inlineStr">
        <is>
          <t>preclinical antioxidant</t>
        </is>
      </c>
      <c r="D4" t="inlineStr">
        <is>
          <t>Low</t>
        </is>
      </c>
      <c r="E4" t="inlineStr">
        <is>
          <t>turmeric</t>
        </is>
      </c>
      <c r="F4" t="inlineStr">
        <is>
          <t>lowest evidence</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compoundName</t>
        </is>
      </c>
      <c r="B1" t="inlineStr">
        <is>
          <t>class</t>
        </is>
      </c>
      <c r="C1" t="inlineStr">
        <is>
          <t>mechanism</t>
        </is>
      </c>
      <c r="D1" t="inlineStr">
        <is>
          <t>confidence</t>
        </is>
      </c>
      <c r="E1" t="inlineStr">
        <is>
          <t>herb</t>
        </is>
      </c>
      <c r="F1" t="inlineStr">
        <is>
          <t>note</t>
        </is>
      </c>
    </row>
    <row r="2">
      <c r="A2" t="inlineStr">
        <is>
          <t>menthol</t>
        </is>
      </c>
      <c r="B2" t="inlineStr">
        <is>
          <t>monoterpene alcohol</t>
        </is>
      </c>
      <c r="C2" t="inlineStr">
        <is>
          <t>TRPM8 activation</t>
        </is>
      </c>
      <c r="D2" t="inlineStr">
        <is>
          <t>High</t>
        </is>
      </c>
      <c r="E2" t="inlineStr">
        <is>
          <t>peppermint</t>
        </is>
      </c>
      <c r="F2" t="inlineStr">
        <is>
          <t>anchor compound</t>
        </is>
      </c>
    </row>
    <row r="3">
      <c r="A3" t="inlineStr">
        <is>
          <t>menthone</t>
        </is>
      </c>
      <c r="B3" t="inlineStr">
        <is>
          <t>monoterpene ketone</t>
        </is>
      </c>
      <c r="C3" t="inlineStr">
        <is>
          <t>smooth muscle modulation</t>
        </is>
      </c>
      <c r="D3" t="inlineStr">
        <is>
          <t>Moderate</t>
        </is>
      </c>
      <c r="E3" t="inlineStr">
        <is>
          <t>peppermint</t>
        </is>
      </c>
      <c r="F3" t="inlineStr">
        <is>
          <t>secondary</t>
        </is>
      </c>
    </row>
    <row r="4">
      <c r="A4" t="inlineStr">
        <is>
          <t>isomenthone</t>
        </is>
      </c>
      <c r="B4" t="inlineStr">
        <is>
          <t>monoterpene ketone</t>
        </is>
      </c>
      <c r="C4" t="inlineStr">
        <is>
          <t>sensory modulation</t>
        </is>
      </c>
      <c r="D4" t="inlineStr">
        <is>
          <t>Low-Moderate</t>
        </is>
      </c>
      <c r="E4" t="inlineStr">
        <is>
          <t>peppermint</t>
        </is>
      </c>
      <c r="F4" t="inlineStr">
        <is>
          <t>isomer</t>
        </is>
      </c>
    </row>
    <row r="5">
      <c r="A5" t="inlineStr">
        <is>
          <t>pulegone</t>
        </is>
      </c>
      <c r="B5" t="inlineStr">
        <is>
          <t>monoterpene ketone</t>
        </is>
      </c>
      <c r="C5" t="inlineStr">
        <is>
          <t>hepatotoxic metabolism</t>
        </is>
      </c>
      <c r="D5" t="inlineStr">
        <is>
          <t>Moderate</t>
        </is>
      </c>
      <c r="E5" t="inlineStr">
        <is>
          <t>peppermint</t>
        </is>
      </c>
      <c r="F5" t="inlineStr">
        <is>
          <t>safety-critical</t>
        </is>
      </c>
    </row>
    <row r="6">
      <c r="A6" t="inlineStr">
        <is>
          <t>menthyl acetate</t>
        </is>
      </c>
      <c r="B6" t="inlineStr">
        <is>
          <t>monoterpene ester</t>
        </is>
      </c>
      <c r="C6" t="inlineStr">
        <is>
          <t>aroma compound</t>
        </is>
      </c>
      <c r="D6" t="inlineStr">
        <is>
          <t>Low</t>
        </is>
      </c>
      <c r="E6" t="inlineStr">
        <is>
          <t>peppermint</t>
        </is>
      </c>
      <c r="F6" t="inlineStr">
        <is>
          <t>minor constituent</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8" customWidth="1" style="76" min="1" max="1"/>
    <col width="7.139999866485596" customWidth="1" style="76" min="2" max="2"/>
    <col width="26.70999908447266" customWidth="1" style="76" min="3" max="3"/>
    <col width="108.2900009155273" customWidth="1" style="76" min="4" max="4"/>
    <col width="73" customWidth="1" style="76" min="5" max="5"/>
    <col width="64.43000030517578" customWidth="1" style="76" min="6" max="6"/>
    <col width="46.43000030517578" customWidth="1" style="76" min="7" max="7"/>
    <col width="56" customWidth="1" style="76" min="8" max="8"/>
    <col width="16.43000030517578" customWidth="1" style="76" min="9" max="9"/>
    <col width="28.13999938964844" customWidth="1" style="76" min="10" max="10"/>
  </cols>
  <sheetData>
    <row r="1">
      <c r="A1" s="181" t="inlineStr">
        <is>
          <t>compoundName</t>
        </is>
      </c>
      <c r="B1" s="181" t="inlineStr">
        <is>
          <t>aliases</t>
        </is>
      </c>
      <c r="C1" s="181" t="inlineStr">
        <is>
          <t>compoundClass</t>
        </is>
      </c>
      <c r="D1" s="181" t="inlineStr">
        <is>
          <t>mechanism</t>
        </is>
      </c>
      <c r="E1" s="181" t="inlineStr">
        <is>
          <t>pathwayTargets</t>
        </is>
      </c>
      <c r="F1" s="181" t="inlineStr">
        <is>
          <t>pharmacokinetics</t>
        </is>
      </c>
      <c r="G1" s="181" t="inlineStr">
        <is>
          <t>safetyNotes</t>
        </is>
      </c>
      <c r="H1" s="181" t="inlineStr">
        <is>
          <t>drugInteractions</t>
        </is>
      </c>
      <c r="I1" s="181" t="inlineStr">
        <is>
          <t>confidence</t>
        </is>
      </c>
      <c r="J1" s="181" t="inlineStr">
        <is>
          <t>sources</t>
        </is>
      </c>
    </row>
    <row r="2">
      <c r="A2" s="181" t="inlineStr">
        <is>
          <t>hyperforin</t>
        </is>
      </c>
      <c r="B2" s="181" t="str"/>
      <c r="C2" s="181" t="inlineStr">
        <is>
          <t>phloroglucinol derivative</t>
        </is>
      </c>
      <c r="D2" s="181" t="inlineStr">
        <is>
          <t>monoamine reuptake / TRPC6-linked neuroplasticity signaling; interaction-relevant constituent</t>
        </is>
      </c>
      <c r="E2" s="181" t="inlineStr">
        <is>
          <t>TRPC6; monoamine reuptake-related pathways; CYP3A4; P-gp</t>
        </is>
      </c>
      <c r="F2" s="181" t="inlineStr">
        <is>
          <t>extract-level relevance stronger than isolated PK framework</t>
        </is>
      </c>
      <c r="G2" s="181" t="inlineStr">
        <is>
          <t>use St Johns wort herb-level safety framing</t>
        </is>
      </c>
      <c r="H2" s="181" t="inlineStr">
        <is>
          <t>major herb-level CYP3A4/P-gp interaction relevance</t>
        </is>
      </c>
      <c r="I2" s="181" t="inlineStr">
        <is>
          <t>Moderate-High</t>
        </is>
      </c>
      <c r="J2" s="181" t="inlineStr">
        <is>
          <t>PubChem; NCBI Bookshelf</t>
        </is>
      </c>
    </row>
    <row r="3">
      <c r="A3" s="181" t="inlineStr">
        <is>
          <t>hypericin</t>
        </is>
      </c>
      <c r="B3" s="181" t="str"/>
      <c r="C3" s="181" t="inlineStr">
        <is>
          <t>naphthodianthrone</t>
        </is>
      </c>
      <c r="D3" s="181" t="inlineStr">
        <is>
          <t>photodynamic and redox-active signaling; no established isolated human antidepressant mechanism</t>
        </is>
      </c>
      <c r="E3" s="181" t="inlineStr">
        <is>
          <t>photosensitization-related pathways; oxidative-stress signaling</t>
        </is>
      </c>
      <c r="F3" s="181" t="inlineStr">
        <is>
          <t>limited isolated-compound human PK</t>
        </is>
      </c>
      <c r="G3" s="181" t="inlineStr">
        <is>
          <t>photosensitivity is key caution</t>
        </is>
      </c>
      <c r="H3" s="181" t="inlineStr">
        <is>
          <t>retain herb-level interaction framing</t>
        </is>
      </c>
      <c r="I3" s="181" t="inlineStr">
        <is>
          <t>Moderate</t>
        </is>
      </c>
      <c r="J3" s="181" t="inlineStr">
        <is>
          <t>PubChem; NCBI Bookshelf</t>
        </is>
      </c>
    </row>
    <row r="4">
      <c r="A4" s="181" t="inlineStr">
        <is>
          <t>pseudohypericin</t>
        </is>
      </c>
      <c r="B4" s="181" t="str"/>
      <c r="C4" s="181" t="inlineStr">
        <is>
          <t>naphthodianthrone</t>
        </is>
      </c>
      <c r="D4" s="181" t="inlineStr">
        <is>
          <t>preclinical photodynamic and redox-active signaling</t>
        </is>
      </c>
      <c r="E4" s="181" t="inlineStr">
        <is>
          <t>photosensitization-related pathways; oxidative-stress signaling</t>
        </is>
      </c>
      <c r="F4" s="181" t="inlineStr">
        <is>
          <t>no robust isolated human PK</t>
        </is>
      </c>
      <c r="G4" s="181" t="inlineStr">
        <is>
          <t>photosensitivity-oriented caution</t>
        </is>
      </c>
      <c r="H4" s="181" t="inlineStr">
        <is>
          <t>retain herb-level interaction framing</t>
        </is>
      </c>
      <c r="I4" s="181" t="inlineStr">
        <is>
          <t>Low-Moderate</t>
        </is>
      </c>
      <c r="J4" s="181" t="inlineStr">
        <is>
          <t>PubChem; NCBI Bookshelf</t>
        </is>
      </c>
    </row>
    <row r="5">
      <c r="A5" s="181" t="inlineStr">
        <is>
          <t>adhyperforin</t>
        </is>
      </c>
      <c r="B5" s="181" t="str"/>
      <c r="C5" s="181" t="inlineStr">
        <is>
          <t>phloroglucinol derivative</t>
        </is>
      </c>
      <c r="D5" s="181" t="inlineStr">
        <is>
          <t>preclinical hyperforin-related neuroactive signaling</t>
        </is>
      </c>
      <c r="E5" s="181" t="inlineStr">
        <is>
          <t>TRPC6-associated signaling; monoamine reuptake-related pathways</t>
        </is>
      </c>
      <c r="F5" s="181" t="inlineStr">
        <is>
          <t>no robust isolated human PK</t>
        </is>
      </c>
      <c r="G5" s="181" t="inlineStr">
        <is>
          <t>retain herb-level safety framing</t>
        </is>
      </c>
      <c r="H5" s="181" t="inlineStr">
        <is>
          <t>retain herb-level interaction framing</t>
        </is>
      </c>
      <c r="I5" s="181" t="inlineStr">
        <is>
          <t>Low-Moderate</t>
        </is>
      </c>
      <c r="J5" s="181" t="inlineStr">
        <is>
          <t>PubChem; NCBI Bookshelf</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compoundName</t>
        </is>
      </c>
      <c r="B1" t="inlineStr">
        <is>
          <t>class</t>
        </is>
      </c>
      <c r="C1" t="inlineStr">
        <is>
          <t>mechanism</t>
        </is>
      </c>
      <c r="D1" t="inlineStr">
        <is>
          <t>confidence</t>
        </is>
      </c>
      <c r="E1" t="inlineStr">
        <is>
          <t>herb</t>
        </is>
      </c>
      <c r="F1" t="inlineStr">
        <is>
          <t>note</t>
        </is>
      </c>
    </row>
    <row r="2">
      <c r="A2" t="inlineStr">
        <is>
          <t>diallyl sulfide</t>
        </is>
      </c>
      <c r="B2" t="inlineStr">
        <is>
          <t>organosulfur</t>
        </is>
      </c>
      <c r="C2" t="inlineStr">
        <is>
          <t>detox enzyme modulation</t>
        </is>
      </c>
      <c r="D2" t="inlineStr">
        <is>
          <t>Moderate</t>
        </is>
      </c>
      <c r="E2" t="inlineStr">
        <is>
          <t>garlic</t>
        </is>
      </c>
      <c r="F2" t="inlineStr">
        <is>
          <t>core</t>
        </is>
      </c>
    </row>
    <row r="3">
      <c r="A3" t="inlineStr">
        <is>
          <t>diallyl disulfide</t>
        </is>
      </c>
      <c r="B3" t="inlineStr">
        <is>
          <t>organosulfur</t>
        </is>
      </c>
      <c r="C3" t="inlineStr">
        <is>
          <t>anti-inflammatory</t>
        </is>
      </c>
      <c r="D3" t="inlineStr">
        <is>
          <t>Moderate</t>
        </is>
      </c>
      <c r="E3" t="inlineStr">
        <is>
          <t>garlic</t>
        </is>
      </c>
      <c r="F3" t="inlineStr">
        <is>
          <t>major</t>
        </is>
      </c>
    </row>
    <row r="4">
      <c r="A4" t="inlineStr">
        <is>
          <t>diallyl trisulfide</t>
        </is>
      </c>
      <c r="B4" t="inlineStr">
        <is>
          <t>organosulfur</t>
        </is>
      </c>
      <c r="C4" t="inlineStr">
        <is>
          <t>redox signaling</t>
        </is>
      </c>
      <c r="D4" t="inlineStr">
        <is>
          <t>Low-Moderate</t>
        </is>
      </c>
      <c r="E4" t="inlineStr">
        <is>
          <t>garlic</t>
        </is>
      </c>
      <c r="F4" t="inlineStr">
        <is>
          <t>support</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8" customWidth="1" style="76" min="1" max="1"/>
    <col width="24.43000030517578" customWidth="1" style="76" min="2" max="2"/>
    <col width="46.86000061035156" customWidth="1" style="76" min="3" max="3"/>
    <col width="66.43000030517578" customWidth="1" style="76" min="4" max="4"/>
    <col width="51" customWidth="1" style="76" min="5" max="5"/>
    <col width="16.56999969482422" customWidth="1" style="76" min="6" max="6"/>
    <col width="99" customWidth="1" style="76" min="7" max="7"/>
  </cols>
  <sheetData>
    <row r="1">
      <c r="A1" s="181" t="inlineStr">
        <is>
          <t>compoundName</t>
        </is>
      </c>
      <c r="B1" s="181" t="inlineStr">
        <is>
          <t>status</t>
        </is>
      </c>
      <c r="C1" s="181" t="inlineStr">
        <is>
          <t>compoundClass</t>
        </is>
      </c>
      <c r="D1" s="181" t="inlineStr">
        <is>
          <t>mechanismTags</t>
        </is>
      </c>
      <c r="E1" s="181" t="inlineStr">
        <is>
          <t>pathwayTargets</t>
        </is>
      </c>
      <c r="F1" s="181" t="inlineStr">
        <is>
          <t>herb</t>
        </is>
      </c>
      <c r="G1" s="181" t="inlineStr">
        <is>
          <t>note</t>
        </is>
      </c>
    </row>
    <row r="2">
      <c r="A2" s="181" t="inlineStr">
        <is>
          <t>rosarin</t>
        </is>
      </c>
      <c r="B2" s="181" t="inlineStr">
        <is>
          <t>reverse-lookup refined</t>
        </is>
      </c>
      <c r="C2" s="181" t="inlineStr">
        <is>
          <t>phenylpropanoid glycoside</t>
        </is>
      </c>
      <c r="D2" s="181" t="inlineStr">
        <is>
          <t>adaptogen; antioxidant; multi-target signaling modulation</t>
        </is>
      </c>
      <c r="E2" s="181" t="inlineStr">
        <is>
          <t>unresolved at single-compound level</t>
        </is>
      </c>
      <c r="F2" s="181" t="inlineStr">
        <is>
          <t>Rhodiola Rosea</t>
        </is>
      </c>
      <c r="G2" s="181" t="inlineStr">
        <is>
          <t>classification upgraded from provisional reverse-lookup entry to locked-class representation</t>
        </is>
      </c>
    </row>
    <row r="3">
      <c r="A3" s="181" t="inlineStr">
        <is>
          <t>rosin</t>
        </is>
      </c>
      <c r="B3" s="181" t="inlineStr">
        <is>
          <t>reverse-lookup refined</t>
        </is>
      </c>
      <c r="C3" s="181" t="inlineStr">
        <is>
          <t>phenylpropanoid glycoside</t>
        </is>
      </c>
      <c r="D3" s="181" t="inlineStr">
        <is>
          <t>adaptogen; antioxidant; multi-target signaling modulation</t>
        </is>
      </c>
      <c r="E3" s="181" t="inlineStr">
        <is>
          <t>unresolved at single-compound level</t>
        </is>
      </c>
      <c r="F3" s="181" t="inlineStr">
        <is>
          <t>Rhodiola Rosea</t>
        </is>
      </c>
      <c r="G3" s="181" t="inlineStr">
        <is>
          <t>classification upgraded from provisional reverse-lookup entry to locked-class representation</t>
        </is>
      </c>
    </row>
    <row r="4">
      <c r="A4" s="181" t="inlineStr">
        <is>
          <t>tyrosol</t>
        </is>
      </c>
      <c r="B4" s="181" t="inlineStr">
        <is>
          <t>reverse-lookup refined</t>
        </is>
      </c>
      <c r="C4" s="181" t="inlineStr">
        <is>
          <t>simple phenolic alcohol / phenethyl alcohol</t>
        </is>
      </c>
      <c r="D4" s="181" t="inlineStr">
        <is>
          <t>antioxidant; cytoprotective; multi-target signaling modulation</t>
        </is>
      </c>
      <c r="E4" s="181" t="inlineStr">
        <is>
          <t>Nrf2; HO-1; oxidative-stress response pathways</t>
        </is>
      </c>
      <c r="F4" s="181" t="inlineStr">
        <is>
          <t>Rhodiola Rosea</t>
        </is>
      </c>
      <c r="G4" s="181" t="inlineStr">
        <is>
          <t>reverse-lookup entry aligned to locked compound master record</t>
        </is>
      </c>
    </row>
    <row r="5">
      <c r="A5" s="181" t="inlineStr">
        <is>
          <t>rhodiola-rosea</t>
        </is>
      </c>
      <c r="B5" s="181" t="inlineStr">
        <is>
          <t>queue upgraded</t>
        </is>
      </c>
      <c r="C5" s="181" t="inlineStr">
        <is>
          <t>herb coverage complete</t>
        </is>
      </c>
      <c r="D5" s="181" t="inlineStr">
        <is>
          <t>resolvedCoveragePct = 1</t>
        </is>
      </c>
      <c r="E5" s="181" t="inlineStr">
        <is>
          <t>provisionalCompoundCount = 0</t>
        </is>
      </c>
      <c r="F5" s="181" t="inlineStr">
        <is>
          <t>Rhodiola Rosea</t>
        </is>
      </c>
      <c r="G5" s="181" t="inlineStr">
        <is>
          <t>queue row added to reflect completed Rhodiola refinement pass</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compoundName</t>
        </is>
      </c>
      <c r="B1" t="inlineStr">
        <is>
          <t>class</t>
        </is>
      </c>
      <c r="C1" t="inlineStr">
        <is>
          <t>mechanism</t>
        </is>
      </c>
      <c r="D1" t="inlineStr">
        <is>
          <t>confidence</t>
        </is>
      </c>
      <c r="E1" t="inlineStr">
        <is>
          <t>herb</t>
        </is>
      </c>
      <c r="F1" t="inlineStr">
        <is>
          <t>note</t>
        </is>
      </c>
    </row>
    <row r="2">
      <c r="A2" t="inlineStr">
        <is>
          <t>caffeic acid</t>
        </is>
      </c>
      <c r="B2" t="inlineStr">
        <is>
          <t>phenolic acid</t>
        </is>
      </c>
      <c r="C2" t="inlineStr">
        <is>
          <t>NF-kB modulation</t>
        </is>
      </c>
      <c r="D2" t="inlineStr">
        <is>
          <t>High</t>
        </is>
      </c>
      <c r="E2" t="inlineStr">
        <is>
          <t>echinacea</t>
        </is>
      </c>
      <c r="F2" t="inlineStr">
        <is>
          <t>core</t>
        </is>
      </c>
    </row>
    <row r="3">
      <c r="A3" t="inlineStr">
        <is>
          <t>chicoric acid</t>
        </is>
      </c>
      <c r="B3" t="inlineStr">
        <is>
          <t>phenolic acid</t>
        </is>
      </c>
      <c r="C3" t="inlineStr">
        <is>
          <t>immune modulation</t>
        </is>
      </c>
      <c r="D3" t="inlineStr">
        <is>
          <t>Moderate</t>
        </is>
      </c>
      <c r="E3" t="inlineStr">
        <is>
          <t>echinacea</t>
        </is>
      </c>
      <c r="F3" t="inlineStr">
        <is>
          <t>signature</t>
        </is>
      </c>
    </row>
    <row r="4">
      <c r="A4" t="inlineStr">
        <is>
          <t>echinacoside</t>
        </is>
      </c>
      <c r="B4" t="inlineStr">
        <is>
          <t>glycoside</t>
        </is>
      </c>
      <c r="C4" t="inlineStr">
        <is>
          <t>antioxidant signaling</t>
        </is>
      </c>
      <c r="D4" t="inlineStr">
        <is>
          <t>Low-Moderate</t>
        </is>
      </c>
      <c r="E4" t="inlineStr">
        <is>
          <t>echinacea</t>
        </is>
      </c>
      <c r="F4" t="inlineStr">
        <is>
          <t>secondary</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compoundName</t>
        </is>
      </c>
      <c r="B1" t="inlineStr">
        <is>
          <t>class</t>
        </is>
      </c>
      <c r="C1" t="inlineStr">
        <is>
          <t>mechanism</t>
        </is>
      </c>
      <c r="D1" t="inlineStr">
        <is>
          <t>confidence</t>
        </is>
      </c>
      <c r="E1" t="inlineStr">
        <is>
          <t>herb</t>
        </is>
      </c>
      <c r="F1" t="inlineStr">
        <is>
          <t>note</t>
        </is>
      </c>
    </row>
    <row r="2">
      <c r="A2" t="inlineStr">
        <is>
          <t>valerenal</t>
        </is>
      </c>
      <c r="B2" t="inlineStr">
        <is>
          <t>sesquiterpenoid</t>
        </is>
      </c>
      <c r="C2" t="inlineStr">
        <is>
          <t>GABA modulation</t>
        </is>
      </c>
      <c r="D2" t="inlineStr">
        <is>
          <t>Moderate</t>
        </is>
      </c>
      <c r="E2" t="inlineStr">
        <is>
          <t>valerian</t>
        </is>
      </c>
      <c r="F2" t="inlineStr">
        <is>
          <t>core</t>
        </is>
      </c>
    </row>
    <row r="3">
      <c r="A3" t="inlineStr">
        <is>
          <t>valerenic acid</t>
        </is>
      </c>
      <c r="B3" t="inlineStr">
        <is>
          <t>sesquiterpenoid</t>
        </is>
      </c>
      <c r="C3" t="inlineStr">
        <is>
          <t>GABA modulation</t>
        </is>
      </c>
      <c r="D3" t="inlineStr">
        <is>
          <t>High</t>
        </is>
      </c>
      <c r="E3" t="inlineStr">
        <is>
          <t>valerian</t>
        </is>
      </c>
      <c r="F3" t="inlineStr">
        <is>
          <t>primary</t>
        </is>
      </c>
    </row>
    <row r="4">
      <c r="A4" t="inlineStr">
        <is>
          <t>valtrate</t>
        </is>
      </c>
      <c r="B4" t="inlineStr">
        <is>
          <t>iridoid ester</t>
        </is>
      </c>
      <c r="C4" t="inlineStr">
        <is>
          <t>sedative signaling</t>
        </is>
      </c>
      <c r="D4" t="inlineStr">
        <is>
          <t>Low</t>
        </is>
      </c>
      <c r="E4" t="inlineStr">
        <is>
          <t>valerian</t>
        </is>
      </c>
      <c r="F4" t="inlineStr">
        <is>
          <t>unstable</t>
        </is>
      </c>
    </row>
    <row r="5">
      <c r="A5" t="inlineStr">
        <is>
          <t>isovaltrate</t>
        </is>
      </c>
      <c r="B5" t="inlineStr">
        <is>
          <t>iridoid ester</t>
        </is>
      </c>
      <c r="C5" t="inlineStr">
        <is>
          <t>sedative signaling</t>
        </is>
      </c>
      <c r="D5" t="inlineStr">
        <is>
          <t>Low</t>
        </is>
      </c>
      <c r="E5" t="inlineStr">
        <is>
          <t>valerian</t>
        </is>
      </c>
      <c r="F5" t="inlineStr">
        <is>
          <t>minor</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cols>
    <col width="191.8600006103516" customWidth="1" style="76" min="1" max="1"/>
    <col width="21.29000091552734" customWidth="1" style="76" min="2" max="2"/>
    <col width="22.29000091552734" customWidth="1" style="76" min="3" max="3"/>
    <col width="14.43000030517578" customWidth="1" style="76" min="4" max="4"/>
    <col width="50" customWidth="1" style="76" min="5" max="5"/>
    <col width="19.29000091552734" customWidth="1" style="76" min="6" max="6"/>
    <col width="16.56999969482422" customWidth="1" style="76" min="7" max="7"/>
    <col width="20.70999908447266" customWidth="1" style="76" min="8" max="8"/>
    <col width="13.56999969482422" customWidth="1" style="76" min="9" max="9"/>
    <col width="15.56999969482422" customWidth="1" style="76" min="10" max="10"/>
    <col width="9" customWidth="1" style="76" min="11" max="11"/>
    <col width="17.70999908447266" customWidth="1" style="76" min="12" max="12"/>
    <col width="9.710000038146973" customWidth="1" style="76" min="13" max="13"/>
    <col width="20.13999938964844" customWidth="1" style="76" min="14" max="14"/>
    <col width="11.56999969482422" customWidth="1" style="76" min="15" max="15"/>
    <col width="16.86000061035156" customWidth="1" style="76" min="16" max="16"/>
    <col width="22.56999969482422" customWidth="1" style="76" min="17" max="17"/>
    <col width="22.56999969482422" customWidth="1" style="76" min="18" max="18"/>
  </cols>
  <sheetData>
    <row r="1">
      <c r="A1" s="166" t="inlineStr">
        <is>
          <t>Pathway Scoring Engine</t>
        </is>
      </c>
      <c r="M1" s="181" t="n"/>
      <c r="N1" s="181" t="n"/>
      <c r="O1" s="181" t="n"/>
      <c r="P1" s="181" t="n"/>
      <c r="Q1" s="181" t="n"/>
      <c r="R1" s="181" t="n"/>
    </row>
    <row r="2">
      <c r="A2" s="167" t="inlineStr">
        <is>
          <t>Weighted herb scores generated from normalized Compound Master V3 mechanism tags + pathway targets. Heuristic scoring only; use for ranking/filtering, not for clinical claims.</t>
        </is>
      </c>
      <c r="M2" s="181" t="n"/>
      <c r="N2" s="181" t="n"/>
      <c r="O2" s="181" t="n"/>
      <c r="P2" s="181" t="n"/>
      <c r="Q2" s="181" t="n"/>
      <c r="R2" s="181" t="n"/>
    </row>
    <row r="3">
      <c r="M3" s="181" t="n"/>
      <c r="N3" s="181" t="n"/>
      <c r="O3" s="181" t="n"/>
      <c r="P3" s="181" t="n"/>
      <c r="Q3" s="181" t="n"/>
      <c r="R3" s="181" t="n"/>
    </row>
    <row r="4">
      <c r="A4" s="181" t="n"/>
      <c r="B4" s="181" t="n"/>
      <c r="C4" s="181" t="n"/>
      <c r="D4" s="181" t="n"/>
      <c r="E4" s="181" t="n"/>
      <c r="F4" s="181" t="n"/>
      <c r="G4" s="181" t="n"/>
      <c r="H4" s="181" t="n"/>
      <c r="I4" s="181" t="n"/>
      <c r="J4" s="181" t="n"/>
      <c r="K4" s="181" t="n"/>
      <c r="L4" s="181" t="n"/>
      <c r="M4" s="181" t="n"/>
      <c r="N4" s="181" t="n"/>
      <c r="O4" s="181" t="n"/>
      <c r="P4" s="181" t="n"/>
      <c r="Q4" s="181" t="n"/>
      <c r="R4" s="181" t="n"/>
    </row>
    <row r="5">
      <c r="A5" s="58" t="inlineStr">
        <is>
          <t>herbSlug</t>
        </is>
      </c>
      <c r="B5" s="58" t="inlineStr">
        <is>
          <t>herbName</t>
        </is>
      </c>
      <c r="C5" s="58" t="inlineStr">
        <is>
          <t>compoundRows</t>
        </is>
      </c>
      <c r="D5" s="58" t="inlineStr">
        <is>
          <t>Inflammation</t>
        </is>
      </c>
      <c r="E5" s="58" t="inlineStr">
        <is>
          <t>Oxidative Stress</t>
        </is>
      </c>
      <c r="F5" s="58" t="inlineStr">
        <is>
          <t>Adaptogen/Stress</t>
        </is>
      </c>
      <c r="G5" s="58" t="inlineStr">
        <is>
          <t>GABA/Sedation</t>
        </is>
      </c>
      <c r="H5" s="58" t="inlineStr">
        <is>
          <t>Monoamine/Mood</t>
        </is>
      </c>
      <c r="I5" s="58" t="inlineStr">
        <is>
          <t>Sensory/TRP</t>
        </is>
      </c>
      <c r="J5" s="58" t="inlineStr">
        <is>
          <t>Hepatic/Detox</t>
        </is>
      </c>
      <c r="K5" s="58" t="inlineStr">
        <is>
          <t>Immune</t>
        </is>
      </c>
      <c r="L5" s="58" t="inlineStr">
        <is>
          <t>Cardiometabolic</t>
        </is>
      </c>
      <c r="M5" s="181" t="inlineStr">
        <is>
          <t>RawTotal</t>
        </is>
      </c>
      <c r="N5" s="181" t="inlineStr">
        <is>
          <t>EvidenceMultiplier</t>
        </is>
      </c>
      <c r="O5" s="181" t="inlineStr">
        <is>
          <t>SafetyDrag</t>
        </is>
      </c>
      <c r="P5" s="181" t="inlineStr">
        <is>
          <t>RedundancyAdj</t>
        </is>
      </c>
      <c r="Q5" s="181" t="inlineStr">
        <is>
          <t>CalibratedComposite</t>
        </is>
      </c>
      <c r="R5" s="181" t="n"/>
    </row>
    <row r="6">
      <c r="A6" s="181" t="inlineStr">
        <is>
          <t>ashwagandha</t>
        </is>
      </c>
      <c r="B6" s="181" t="inlineStr">
        <is>
          <t>Ashwagandha</t>
        </is>
      </c>
      <c r="C6" s="181" t="n">
        <v>8</v>
      </c>
      <c r="D6" s="181" t="n">
        <v>5.5</v>
      </c>
      <c r="E6" s="181" t="n">
        <v>4</v>
      </c>
      <c r="F6" s="181" t="n">
        <v>6.5</v>
      </c>
      <c r="G6" s="181" t="n">
        <v>1</v>
      </c>
      <c r="H6" s="181" t="n">
        <v>0</v>
      </c>
      <c r="I6" s="181" t="n">
        <v>0</v>
      </c>
      <c r="J6" s="181" t="n">
        <v>2.5</v>
      </c>
      <c r="K6" s="181" t="n">
        <v>2</v>
      </c>
      <c r="L6" s="181" t="n">
        <v>0</v>
      </c>
      <c r="M6" s="181" t="n">
        <v>21.5</v>
      </c>
      <c r="N6" s="181" t="n">
        <v>0.79</v>
      </c>
      <c r="O6" s="181" t="n">
        <v>0.85</v>
      </c>
      <c r="P6" s="181" t="n">
        <v>0.92</v>
      </c>
      <c r="Q6" s="181" t="n">
        <v>13.28</v>
      </c>
      <c r="R6" s="181" t="n"/>
    </row>
    <row r="7">
      <c r="A7" s="181" t="inlineStr">
        <is>
          <t>black-cohosh</t>
        </is>
      </c>
      <c r="B7" s="181" t="inlineStr">
        <is>
          <t>Black Cohosh</t>
        </is>
      </c>
      <c r="C7" s="181" t="n">
        <v>4</v>
      </c>
      <c r="D7" s="181" t="n">
        <v>4</v>
      </c>
      <c r="E7" s="181" t="n">
        <v>1</v>
      </c>
      <c r="F7" s="181" t="n">
        <v>1</v>
      </c>
      <c r="G7" s="181" t="n">
        <v>0</v>
      </c>
      <c r="H7" s="181" t="n">
        <v>0</v>
      </c>
      <c r="I7" s="181" t="n">
        <v>0</v>
      </c>
      <c r="J7" s="181" t="n">
        <v>0</v>
      </c>
      <c r="K7" s="181" t="n">
        <v>0</v>
      </c>
      <c r="L7" s="181" t="n">
        <v>0</v>
      </c>
      <c r="M7" s="181" t="n">
        <v>6</v>
      </c>
      <c r="N7" s="181" t="n">
        <v>0.75</v>
      </c>
      <c r="O7" s="181" t="n">
        <v>1</v>
      </c>
      <c r="P7" s="181" t="n">
        <v>0.83</v>
      </c>
      <c r="Q7" s="181" t="n">
        <v>3.73</v>
      </c>
      <c r="R7" s="181" t="n"/>
    </row>
    <row r="8">
      <c r="A8" s="181" t="inlineStr">
        <is>
          <t>echinacea-purpurea</t>
        </is>
      </c>
      <c r="B8" s="181" t="inlineStr">
        <is>
          <t>Echinacea Purpurea</t>
        </is>
      </c>
      <c r="C8" s="181" t="n">
        <v>7</v>
      </c>
      <c r="D8" s="181" t="n">
        <v>3</v>
      </c>
      <c r="E8" s="181" t="n">
        <v>6.25</v>
      </c>
      <c r="F8" s="181" t="n">
        <v>6.25</v>
      </c>
      <c r="G8" s="181" t="n">
        <v>0</v>
      </c>
      <c r="H8" s="181" t="n">
        <v>0</v>
      </c>
      <c r="I8" s="181" t="n">
        <v>0</v>
      </c>
      <c r="J8" s="181" t="n">
        <v>0</v>
      </c>
      <c r="K8" s="181" t="n">
        <v>2</v>
      </c>
      <c r="L8" s="181" t="n">
        <v>0</v>
      </c>
      <c r="M8" s="181" t="n">
        <v>17.5</v>
      </c>
      <c r="N8" s="181" t="n">
        <v>0.53</v>
      </c>
      <c r="O8" s="181" t="n">
        <v>1</v>
      </c>
      <c r="P8" s="181" t="n">
        <v>0.86</v>
      </c>
      <c r="Q8" s="181" t="n">
        <v>7.98</v>
      </c>
      <c r="R8" s="181" t="n"/>
    </row>
    <row r="9">
      <c r="A9" s="181" t="inlineStr">
        <is>
          <t>garlic</t>
        </is>
      </c>
      <c r="B9" s="181" t="inlineStr">
        <is>
          <t>Garlic</t>
        </is>
      </c>
      <c r="C9" s="181" t="n">
        <v>8</v>
      </c>
      <c r="D9" s="181" t="n">
        <v>2</v>
      </c>
      <c r="E9" s="181" t="n">
        <v>5.25</v>
      </c>
      <c r="F9" s="181" t="n">
        <v>3.25</v>
      </c>
      <c r="G9" s="181" t="n">
        <v>0</v>
      </c>
      <c r="H9" s="181" t="n">
        <v>0</v>
      </c>
      <c r="I9" s="181" t="n">
        <v>0</v>
      </c>
      <c r="J9" s="181" t="n">
        <v>4</v>
      </c>
      <c r="K9" s="181" t="n">
        <v>0</v>
      </c>
      <c r="L9" s="181" t="n">
        <v>2</v>
      </c>
      <c r="M9" s="181" t="n">
        <v>16.5</v>
      </c>
      <c r="N9" s="181" t="n">
        <v>0.58</v>
      </c>
      <c r="O9" s="181" t="n">
        <v>0.85</v>
      </c>
      <c r="P9" s="181" t="n">
        <v>0.89</v>
      </c>
      <c r="Q9" s="181" t="n">
        <v>7.24</v>
      </c>
      <c r="R9" s="181" t="n"/>
    </row>
    <row r="10">
      <c r="A10" s="181" t="inlineStr">
        <is>
          <t>ginger</t>
        </is>
      </c>
      <c r="B10" s="181" t="inlineStr">
        <is>
          <t>Ginger</t>
        </is>
      </c>
      <c r="C10" s="181" t="n">
        <v>2</v>
      </c>
      <c r="D10" s="181" t="n">
        <v>2</v>
      </c>
      <c r="E10" s="181" t="n">
        <v>0</v>
      </c>
      <c r="F10" s="181" t="n">
        <v>0</v>
      </c>
      <c r="G10" s="181" t="n">
        <v>0</v>
      </c>
      <c r="H10" s="181" t="n">
        <v>0</v>
      </c>
      <c r="I10" s="181" t="n">
        <v>0</v>
      </c>
      <c r="J10" s="181" t="n">
        <v>0</v>
      </c>
      <c r="K10" s="181" t="n">
        <v>0</v>
      </c>
      <c r="L10" s="181" t="n">
        <v>0</v>
      </c>
      <c r="M10" s="181" t="n">
        <v>2</v>
      </c>
      <c r="N10" s="181" t="n">
        <v>0.6</v>
      </c>
      <c r="O10" s="181" t="n">
        <v>1</v>
      </c>
      <c r="P10" s="181" t="n">
        <v>0.78</v>
      </c>
      <c r="Q10" s="181" t="n">
        <v>0.9399999999999999</v>
      </c>
      <c r="R10" s="181" t="n"/>
    </row>
    <row r="11">
      <c r="A11" s="181" t="inlineStr">
        <is>
          <t>ginkgo-biloba</t>
        </is>
      </c>
      <c r="B11" s="181" t="inlineStr">
        <is>
          <t>Ginkgo Biloba</t>
        </is>
      </c>
      <c r="C11" s="181" t="n">
        <v>8</v>
      </c>
      <c r="D11" s="181" t="n">
        <v>11.25</v>
      </c>
      <c r="E11" s="181" t="n">
        <v>3.25</v>
      </c>
      <c r="F11" s="181" t="n">
        <v>3.25</v>
      </c>
      <c r="G11" s="181" t="n">
        <v>1</v>
      </c>
      <c r="H11" s="181" t="n">
        <v>0</v>
      </c>
      <c r="I11" s="181" t="n">
        <v>0</v>
      </c>
      <c r="J11" s="181" t="n">
        <v>1.25</v>
      </c>
      <c r="K11" s="181" t="n">
        <v>0</v>
      </c>
      <c r="L11" s="181" t="n">
        <v>0</v>
      </c>
      <c r="M11" s="181" t="n">
        <v>20</v>
      </c>
      <c r="N11" s="181" t="n">
        <v>0.76</v>
      </c>
      <c r="O11" s="181" t="n">
        <v>1</v>
      </c>
      <c r="P11" s="181" t="n">
        <v>0.89</v>
      </c>
      <c r="Q11" s="181" t="n">
        <v>13.53</v>
      </c>
      <c r="R11" s="181" t="n"/>
    </row>
    <row r="12">
      <c r="A12" s="181" t="inlineStr">
        <is>
          <t>holy-basil</t>
        </is>
      </c>
      <c r="B12" s="181" t="inlineStr">
        <is>
          <t>Holy Basil</t>
        </is>
      </c>
      <c r="C12" s="181" t="n">
        <v>3</v>
      </c>
      <c r="D12" s="181" t="n">
        <v>7</v>
      </c>
      <c r="E12" s="181" t="n">
        <v>3</v>
      </c>
      <c r="F12" s="181" t="n">
        <v>4</v>
      </c>
      <c r="G12" s="181" t="n">
        <v>3</v>
      </c>
      <c r="H12" s="181" t="n">
        <v>0</v>
      </c>
      <c r="I12" s="181" t="n">
        <v>0</v>
      </c>
      <c r="J12" s="181" t="n">
        <v>3</v>
      </c>
      <c r="K12" s="181" t="n">
        <v>0</v>
      </c>
      <c r="L12" s="181" t="n">
        <v>1</v>
      </c>
      <c r="M12" s="181" t="n">
        <v>21</v>
      </c>
      <c r="N12" s="181" t="n">
        <v>0.92</v>
      </c>
      <c r="O12" s="181" t="n">
        <v>1</v>
      </c>
      <c r="P12" s="181" t="n">
        <v>0.92</v>
      </c>
      <c r="Q12" s="181" t="n">
        <v>17.77</v>
      </c>
      <c r="R12" s="181" t="n"/>
    </row>
    <row r="13">
      <c r="A13" s="181" t="inlineStr">
        <is>
          <t>kava</t>
        </is>
      </c>
      <c r="B13" s="181" t="inlineStr">
        <is>
          <t>Kava</t>
        </is>
      </c>
      <c r="C13" s="181" t="n">
        <v>9</v>
      </c>
      <c r="D13" s="181" t="n">
        <v>3.25</v>
      </c>
      <c r="E13" s="181" t="n">
        <v>3.25</v>
      </c>
      <c r="F13" s="181" t="n">
        <v>3.25</v>
      </c>
      <c r="G13" s="181" t="n">
        <v>6</v>
      </c>
      <c r="H13" s="181" t="n">
        <v>6</v>
      </c>
      <c r="I13" s="181" t="n">
        <v>6</v>
      </c>
      <c r="J13" s="181" t="n">
        <v>1.25</v>
      </c>
      <c r="K13" s="181" t="n">
        <v>0</v>
      </c>
      <c r="L13" s="181" t="n">
        <v>0</v>
      </c>
      <c r="M13" s="181" t="n">
        <v>29</v>
      </c>
      <c r="N13" s="181" t="n">
        <v>0.6</v>
      </c>
      <c r="O13" s="181" t="n">
        <v>0.7</v>
      </c>
      <c r="P13" s="181" t="n">
        <v>0.9399999999999999</v>
      </c>
      <c r="Q13" s="181" t="n">
        <v>11.45</v>
      </c>
      <c r="R13" s="181" t="n"/>
    </row>
    <row r="14">
      <c r="A14" s="181" t="inlineStr">
        <is>
          <t>lemon-balm</t>
        </is>
      </c>
      <c r="B14" s="181" t="inlineStr">
        <is>
          <t>Lemon Balm</t>
        </is>
      </c>
      <c r="C14" s="181" t="n">
        <v>4</v>
      </c>
      <c r="D14" s="181" t="n">
        <v>5</v>
      </c>
      <c r="E14" s="181" t="n">
        <v>3</v>
      </c>
      <c r="F14" s="181" t="n">
        <v>3</v>
      </c>
      <c r="G14" s="181" t="n">
        <v>7</v>
      </c>
      <c r="H14" s="181" t="n">
        <v>0</v>
      </c>
      <c r="I14" s="181" t="n">
        <v>2</v>
      </c>
      <c r="J14" s="181" t="n">
        <v>0</v>
      </c>
      <c r="K14" s="181" t="n">
        <v>0</v>
      </c>
      <c r="L14" s="181" t="n">
        <v>0</v>
      </c>
      <c r="M14" s="181" t="n">
        <v>20</v>
      </c>
      <c r="N14" s="181" t="n">
        <v>0.75</v>
      </c>
      <c r="O14" s="181" t="n">
        <v>1</v>
      </c>
      <c r="P14" s="181" t="n">
        <v>0.89</v>
      </c>
      <c r="Q14" s="181" t="n">
        <v>13.35</v>
      </c>
      <c r="R14" s="181" t="n"/>
    </row>
    <row r="15">
      <c r="A15" s="181" t="inlineStr">
        <is>
          <t>maca</t>
        </is>
      </c>
      <c r="B15" s="181" t="inlineStr">
        <is>
          <t>Maca</t>
        </is>
      </c>
      <c r="C15" s="181" t="n">
        <v>0</v>
      </c>
      <c r="D15" s="181" t="n">
        <v>0</v>
      </c>
      <c r="E15" s="181" t="n">
        <v>0</v>
      </c>
      <c r="F15" s="181" t="n">
        <v>0</v>
      </c>
      <c r="G15" s="181" t="n">
        <v>0</v>
      </c>
      <c r="H15" s="181" t="n">
        <v>0</v>
      </c>
      <c r="I15" s="181" t="n">
        <v>0</v>
      </c>
      <c r="J15" s="181" t="n">
        <v>0</v>
      </c>
      <c r="K15" s="181" t="n">
        <v>0</v>
      </c>
      <c r="L15" s="181" t="n">
        <v>0</v>
      </c>
      <c r="M15" s="181" t="n">
        <v>0</v>
      </c>
      <c r="N15" s="181" t="n">
        <v>0.6</v>
      </c>
      <c r="O15" s="181" t="n">
        <v>1</v>
      </c>
      <c r="P15" s="181" t="n">
        <v>0.75</v>
      </c>
      <c r="Q15" s="181" t="n">
        <v>0</v>
      </c>
      <c r="R15" s="181" t="n"/>
    </row>
    <row r="16">
      <c r="A16" s="181" t="inlineStr">
        <is>
          <t>milk-thistle</t>
        </is>
      </c>
      <c r="B16" s="181" t="inlineStr">
        <is>
          <t>Milk Thistle</t>
        </is>
      </c>
      <c r="C16" s="181" t="n">
        <v>7</v>
      </c>
      <c r="D16" s="181" t="n">
        <v>9.25</v>
      </c>
      <c r="E16" s="181" t="n">
        <v>9.25</v>
      </c>
      <c r="F16" s="181" t="n">
        <v>9.25</v>
      </c>
      <c r="G16" s="181" t="n">
        <v>0</v>
      </c>
      <c r="H16" s="181" t="n">
        <v>0</v>
      </c>
      <c r="I16" s="181" t="n">
        <v>0</v>
      </c>
      <c r="J16" s="181" t="n">
        <v>5.25</v>
      </c>
      <c r="K16" s="181" t="n">
        <v>0</v>
      </c>
      <c r="L16" s="181" t="n">
        <v>0</v>
      </c>
      <c r="M16" s="181" t="n">
        <v>33</v>
      </c>
      <c r="N16" s="181" t="n">
        <v>0.72</v>
      </c>
      <c r="O16" s="181" t="n">
        <v>0.92</v>
      </c>
      <c r="P16" s="181" t="n">
        <v>0.86</v>
      </c>
      <c r="Q16" s="181" t="n">
        <v>18.8</v>
      </c>
      <c r="R16" s="181" t="n"/>
    </row>
    <row r="17">
      <c r="A17" s="181" t="inlineStr">
        <is>
          <t>peppermint</t>
        </is>
      </c>
      <c r="B17" s="181" t="inlineStr">
        <is>
          <t>Peppermint</t>
        </is>
      </c>
      <c r="C17" s="181" t="n">
        <v>12</v>
      </c>
      <c r="D17" s="181" t="n">
        <v>0</v>
      </c>
      <c r="E17" s="181" t="n">
        <v>0</v>
      </c>
      <c r="F17" s="181" t="n">
        <v>2</v>
      </c>
      <c r="G17" s="181" t="n">
        <v>0</v>
      </c>
      <c r="H17" s="181" t="n">
        <v>0</v>
      </c>
      <c r="I17" s="181" t="n">
        <v>10</v>
      </c>
      <c r="J17" s="181" t="n">
        <v>5</v>
      </c>
      <c r="K17" s="181" t="n">
        <v>0</v>
      </c>
      <c r="L17" s="181" t="n">
        <v>2</v>
      </c>
      <c r="M17" s="181" t="n">
        <v>19</v>
      </c>
      <c r="N17" s="181" t="n">
        <v>0.7</v>
      </c>
      <c r="O17" s="181" t="n">
        <v>0.85</v>
      </c>
      <c r="P17" s="181" t="n">
        <v>0.86</v>
      </c>
      <c r="Q17" s="181" t="n">
        <v>9.720000000000001</v>
      </c>
      <c r="R17" s="181" t="n"/>
    </row>
    <row r="18">
      <c r="A18" s="181" t="inlineStr">
        <is>
          <t>rhodiola-rosea</t>
        </is>
      </c>
      <c r="B18" s="181" t="inlineStr">
        <is>
          <t>Rhodiola Rosea</t>
        </is>
      </c>
      <c r="C18" s="181" t="n">
        <v>8</v>
      </c>
      <c r="D18" s="181" t="n">
        <v>2</v>
      </c>
      <c r="E18" s="181" t="n">
        <v>11</v>
      </c>
      <c r="F18" s="181" t="n">
        <v>16</v>
      </c>
      <c r="G18" s="181" t="n">
        <v>0</v>
      </c>
      <c r="H18" s="181" t="n">
        <v>3</v>
      </c>
      <c r="I18" s="181" t="n">
        <v>0</v>
      </c>
      <c r="J18" s="181" t="n">
        <v>0</v>
      </c>
      <c r="K18" s="181" t="n">
        <v>0</v>
      </c>
      <c r="L18" s="181" t="n">
        <v>3</v>
      </c>
      <c r="M18" s="181" t="n">
        <v>35</v>
      </c>
      <c r="N18" s="181" t="n">
        <v>0.82</v>
      </c>
      <c r="O18" s="181" t="n">
        <v>1</v>
      </c>
      <c r="P18" s="181" t="n">
        <v>0.89</v>
      </c>
      <c r="Q18" s="181" t="n">
        <v>25.54</v>
      </c>
      <c r="R18" s="181" t="n"/>
    </row>
    <row r="19">
      <c r="A19" s="181" t="inlineStr">
        <is>
          <t>saw-palmetto</t>
        </is>
      </c>
      <c r="B19" s="181" t="inlineStr">
        <is>
          <t>Saw Palmetto</t>
        </is>
      </c>
      <c r="C19" s="181" t="n">
        <v>1</v>
      </c>
      <c r="D19" s="181" t="n">
        <v>3</v>
      </c>
      <c r="E19" s="181" t="n">
        <v>0</v>
      </c>
      <c r="F19" s="181" t="n">
        <v>0</v>
      </c>
      <c r="G19" s="181" t="n">
        <v>0</v>
      </c>
      <c r="H19" s="181" t="n">
        <v>0</v>
      </c>
      <c r="I19" s="181" t="n">
        <v>0</v>
      </c>
      <c r="J19" s="181" t="n">
        <v>0</v>
      </c>
      <c r="K19" s="181" t="n">
        <v>0</v>
      </c>
      <c r="L19" s="181" t="n">
        <v>0</v>
      </c>
      <c r="M19" s="181" t="n">
        <v>3</v>
      </c>
      <c r="N19" s="181" t="n">
        <v>1</v>
      </c>
      <c r="O19" s="181" t="n">
        <v>1</v>
      </c>
      <c r="P19" s="181" t="n">
        <v>0.78</v>
      </c>
      <c r="Q19" s="181" t="n">
        <v>2.34</v>
      </c>
      <c r="R19" s="181" t="n"/>
    </row>
    <row r="20">
      <c r="A20" s="181" t="inlineStr">
        <is>
          <t>st-johns-wort</t>
        </is>
      </c>
      <c r="B20" s="181" t="inlineStr">
        <is>
          <t>St Johns Wort</t>
        </is>
      </c>
      <c r="C20" s="181" t="n">
        <v>6</v>
      </c>
      <c r="D20" s="181" t="n">
        <v>2</v>
      </c>
      <c r="E20" s="181" t="n">
        <v>5.25</v>
      </c>
      <c r="F20" s="181" t="n">
        <v>3.25</v>
      </c>
      <c r="G20" s="181" t="n">
        <v>0</v>
      </c>
      <c r="H20" s="181" t="n">
        <v>2.5</v>
      </c>
      <c r="I20" s="181" t="n">
        <v>0</v>
      </c>
      <c r="J20" s="181" t="n">
        <v>4.5</v>
      </c>
      <c r="K20" s="181" t="n">
        <v>0</v>
      </c>
      <c r="L20" s="181" t="n">
        <v>0</v>
      </c>
      <c r="M20" s="181" t="n">
        <v>17.5</v>
      </c>
      <c r="N20" s="181" t="n">
        <v>0.72</v>
      </c>
      <c r="O20" s="181" t="n">
        <v>0.7</v>
      </c>
      <c r="P20" s="181" t="n">
        <v>0.89</v>
      </c>
      <c r="Q20" s="181" t="n">
        <v>7.85</v>
      </c>
      <c r="R20" s="181" t="n"/>
    </row>
    <row r="21">
      <c r="A21" s="181" t="inlineStr">
        <is>
          <t>turmeric</t>
        </is>
      </c>
      <c r="B21" s="181" t="inlineStr">
        <is>
          <t>Turmeric</t>
        </is>
      </c>
      <c r="C21" s="181" t="n">
        <v>6</v>
      </c>
      <c r="D21" s="181" t="n">
        <v>6</v>
      </c>
      <c r="E21" s="181" t="n">
        <v>6</v>
      </c>
      <c r="F21" s="181" t="n">
        <v>4</v>
      </c>
      <c r="G21" s="181" t="n">
        <v>0</v>
      </c>
      <c r="H21" s="181" t="n">
        <v>0</v>
      </c>
      <c r="I21" s="181" t="n">
        <v>0</v>
      </c>
      <c r="J21" s="181" t="n">
        <v>4</v>
      </c>
      <c r="K21" s="181" t="n">
        <v>0</v>
      </c>
      <c r="L21" s="181" t="n">
        <v>0</v>
      </c>
      <c r="M21" s="181" t="n">
        <v>20</v>
      </c>
      <c r="N21" s="181" t="n">
        <v>0.6</v>
      </c>
      <c r="O21" s="181" t="n">
        <v>0.85</v>
      </c>
      <c r="P21" s="181" t="n">
        <v>0.86</v>
      </c>
      <c r="Q21" s="181" t="n">
        <v>8.77</v>
      </c>
      <c r="R21" s="181" t="n"/>
    </row>
    <row r="22">
      <c r="A22" s="181" t="inlineStr">
        <is>
          <t>valerian</t>
        </is>
      </c>
      <c r="B22" s="181" t="inlineStr">
        <is>
          <t>Valerian</t>
        </is>
      </c>
      <c r="C22" s="181" t="n">
        <v>9</v>
      </c>
      <c r="D22" s="181" t="n">
        <v>0</v>
      </c>
      <c r="E22" s="181" t="n">
        <v>0</v>
      </c>
      <c r="F22" s="181" t="n">
        <v>0</v>
      </c>
      <c r="G22" s="181" t="n">
        <v>8.5</v>
      </c>
      <c r="H22" s="181" t="n">
        <v>0</v>
      </c>
      <c r="I22" s="181" t="n">
        <v>0</v>
      </c>
      <c r="J22" s="181" t="n">
        <v>0</v>
      </c>
      <c r="K22" s="181" t="n">
        <v>0</v>
      </c>
      <c r="L22" s="181" t="n">
        <v>0</v>
      </c>
      <c r="M22" s="181" t="n">
        <v>8.5</v>
      </c>
      <c r="N22" s="181" t="n">
        <v>0.54</v>
      </c>
      <c r="O22" s="181" t="n">
        <v>0.85</v>
      </c>
      <c r="P22" s="181" t="n">
        <v>0.78</v>
      </c>
      <c r="Q22" s="181" t="n">
        <v>3.04</v>
      </c>
      <c r="R22" s="181" t="n"/>
    </row>
    <row r="23">
      <c r="A23" s="181" t="n"/>
      <c r="B23" s="181" t="n"/>
      <c r="C23" s="181" t="n"/>
      <c r="D23" s="181" t="n"/>
      <c r="E23" s="181" t="n"/>
      <c r="F23" s="181" t="n"/>
      <c r="G23" s="181" t="n"/>
      <c r="H23" s="181" t="n"/>
      <c r="I23" s="181" t="n"/>
      <c r="J23" s="181" t="n"/>
      <c r="K23" s="181" t="n"/>
      <c r="L23" s="181" t="n"/>
      <c r="M23" s="181" t="n"/>
      <c r="N23" s="181" t="n"/>
      <c r="O23" s="181" t="n"/>
      <c r="P23" s="181" t="n"/>
      <c r="Q23" s="181" t="n"/>
      <c r="R23" s="181" t="n"/>
    </row>
    <row r="24">
      <c r="A24" s="181" t="n"/>
      <c r="B24" s="181" t="n"/>
      <c r="C24" s="181" t="n"/>
      <c r="D24" s="181" t="n"/>
      <c r="E24" s="181" t="n"/>
      <c r="F24" s="181" t="n"/>
      <c r="G24" s="181" t="n"/>
      <c r="H24" s="181" t="n"/>
      <c r="I24" s="181" t="n"/>
      <c r="J24" s="181" t="n"/>
      <c r="K24" s="181" t="n"/>
      <c r="L24" s="181" t="n"/>
      <c r="M24" s="181" t="n"/>
      <c r="N24" s="181" t="n"/>
      <c r="O24" s="181" t="n"/>
      <c r="P24" s="181" t="n"/>
      <c r="Q24" s="181" t="n"/>
      <c r="R24" s="181" t="n"/>
    </row>
    <row r="25">
      <c r="A25" s="181" t="inlineStr">
        <is>
          <t>Calibrated composite leaderboard</t>
        </is>
      </c>
      <c r="B25" s="181" t="n"/>
      <c r="C25" s="181" t="n"/>
      <c r="D25" s="181" t="n"/>
      <c r="E25" s="181" t="n"/>
      <c r="F25" s="181" t="n"/>
      <c r="G25" s="181" t="n"/>
      <c r="H25" s="181" t="n"/>
      <c r="I25" s="181" t="n"/>
      <c r="J25" s="181" t="n"/>
      <c r="K25" s="181" t="n"/>
      <c r="L25" s="181" t="n"/>
      <c r="M25" s="181" t="n"/>
      <c r="N25" s="181" t="n"/>
      <c r="O25" s="181" t="n"/>
      <c r="P25" s="181" t="n"/>
      <c r="Q25" s="181" t="n"/>
      <c r="R25" s="181" t="n"/>
    </row>
    <row r="26">
      <c r="A26" s="181" t="inlineStr">
        <is>
          <t>rank</t>
        </is>
      </c>
      <c r="B26" s="181" t="inlineStr">
        <is>
          <t>herbName</t>
        </is>
      </c>
      <c r="C26" s="181" t="inlineStr">
        <is>
          <t>calibratedComposite</t>
        </is>
      </c>
      <c r="D26" s="181" t="inlineStr">
        <is>
          <t>rawTotal</t>
        </is>
      </c>
      <c r="E26" s="181" t="inlineStr">
        <is>
          <t>notes</t>
        </is>
      </c>
      <c r="F26" s="181" t="n"/>
      <c r="G26" s="181" t="n"/>
      <c r="H26" s="181" t="n"/>
      <c r="I26" s="181" t="n"/>
      <c r="J26" s="181" t="n"/>
      <c r="K26" s="181" t="n"/>
      <c r="L26" s="181" t="n"/>
      <c r="M26" s="181" t="n"/>
      <c r="N26" s="181" t="n"/>
      <c r="O26" s="181" t="n"/>
      <c r="P26" s="181" t="n"/>
      <c r="Q26" s="181" t="n"/>
      <c r="R26" s="181" t="n"/>
    </row>
    <row r="27">
      <c r="A27" s="181" t="n">
        <v>1</v>
      </c>
      <c r="B27" s="181" t="inlineStr">
        <is>
          <t>Rhodiola Rosea</t>
        </is>
      </c>
      <c r="C27" s="181" t="n">
        <v>25.54</v>
      </c>
      <c r="D27" s="181" t="n">
        <v>35</v>
      </c>
      <c r="E27" s="181" t="inlineStr">
        <is>
          <t>evidence 0.82 × safety 1.00 × redundancy 0.89</t>
        </is>
      </c>
      <c r="F27" s="181" t="n"/>
      <c r="G27" s="181" t="n"/>
      <c r="H27" s="181" t="n"/>
      <c r="I27" s="181" t="n"/>
      <c r="J27" s="181" t="n"/>
      <c r="K27" s="181" t="n"/>
      <c r="L27" s="181" t="n"/>
      <c r="M27" s="181" t="n"/>
      <c r="N27" s="181" t="n"/>
      <c r="O27" s="181" t="n"/>
      <c r="P27" s="181" t="n"/>
      <c r="Q27" s="181" t="n"/>
      <c r="R27" s="181" t="n"/>
    </row>
    <row r="28">
      <c r="A28" s="181" t="n">
        <v>2</v>
      </c>
      <c r="B28" s="181" t="inlineStr">
        <is>
          <t>Milk Thistle</t>
        </is>
      </c>
      <c r="C28" s="181" t="n">
        <v>18.8</v>
      </c>
      <c r="D28" s="181" t="n">
        <v>33</v>
      </c>
      <c r="E28" s="181" t="inlineStr">
        <is>
          <t>evidence 0.72 × safety 0.92 × redundancy 0.86</t>
        </is>
      </c>
      <c r="F28" s="181" t="n"/>
      <c r="G28" s="181" t="n"/>
      <c r="H28" s="181" t="n"/>
      <c r="I28" s="181" t="n"/>
      <c r="J28" s="181" t="n"/>
      <c r="K28" s="181" t="n"/>
      <c r="L28" s="181" t="n"/>
      <c r="M28" s="181" t="n"/>
      <c r="N28" s="181" t="n"/>
      <c r="O28" s="181" t="n"/>
      <c r="P28" s="181" t="n"/>
      <c r="Q28" s="181" t="n"/>
      <c r="R28" s="181" t="n"/>
    </row>
    <row r="29">
      <c r="A29" s="181" t="n">
        <v>3</v>
      </c>
      <c r="B29" s="181" t="inlineStr">
        <is>
          <t>Holy Basil</t>
        </is>
      </c>
      <c r="C29" s="181" t="n">
        <v>17.77</v>
      </c>
      <c r="D29" s="181" t="n">
        <v>21</v>
      </c>
      <c r="E29" s="181" t="inlineStr">
        <is>
          <t>evidence 0.92 × safety 1.00 × redundancy 0.92</t>
        </is>
      </c>
      <c r="F29" s="181" t="n"/>
      <c r="G29" s="181" t="n"/>
      <c r="H29" s="181" t="n"/>
      <c r="I29" s="181" t="n"/>
      <c r="J29" s="181" t="n"/>
      <c r="K29" s="181" t="n"/>
      <c r="L29" s="181" t="n"/>
      <c r="M29" s="181" t="n"/>
      <c r="N29" s="181" t="n"/>
      <c r="O29" s="181" t="n"/>
      <c r="P29" s="181" t="n"/>
      <c r="Q29" s="181" t="n"/>
      <c r="R29" s="181" t="n"/>
    </row>
    <row r="30">
      <c r="A30" s="181" t="n">
        <v>4</v>
      </c>
      <c r="B30" s="181" t="inlineStr">
        <is>
          <t>Ginkgo Biloba</t>
        </is>
      </c>
      <c r="C30" s="181" t="n">
        <v>13.53</v>
      </c>
      <c r="D30" s="181" t="n">
        <v>20</v>
      </c>
      <c r="E30" s="181" t="inlineStr">
        <is>
          <t>evidence 0.76 × safety 1.00 × redundancy 0.89</t>
        </is>
      </c>
      <c r="F30" s="181" t="n"/>
      <c r="G30" s="181" t="n"/>
      <c r="H30" s="181" t="n"/>
      <c r="I30" s="181" t="n"/>
      <c r="J30" s="181" t="n"/>
      <c r="K30" s="181" t="n"/>
      <c r="L30" s="181" t="n"/>
      <c r="M30" s="181" t="n"/>
      <c r="N30" s="181" t="n"/>
      <c r="O30" s="181" t="n"/>
      <c r="P30" s="181" t="n"/>
      <c r="Q30" s="181" t="n"/>
      <c r="R30" s="181" t="n"/>
    </row>
    <row r="31">
      <c r="A31" s="181" t="n">
        <v>5</v>
      </c>
      <c r="B31" s="181" t="inlineStr">
        <is>
          <t>Lemon Balm</t>
        </is>
      </c>
      <c r="C31" s="181" t="n">
        <v>13.35</v>
      </c>
      <c r="D31" s="181" t="n">
        <v>20</v>
      </c>
      <c r="E31" s="181" t="inlineStr">
        <is>
          <t>evidence 0.75 × safety 1.00 × redundancy 0.89</t>
        </is>
      </c>
      <c r="F31" s="181" t="n"/>
      <c r="G31" s="181" t="n"/>
      <c r="H31" s="181" t="n"/>
      <c r="I31" s="181" t="n"/>
      <c r="J31" s="181" t="n"/>
      <c r="K31" s="181" t="n"/>
      <c r="L31" s="181" t="n"/>
      <c r="M31" s="181" t="n"/>
      <c r="N31" s="181" t="n"/>
      <c r="O31" s="181" t="n"/>
      <c r="P31" s="181" t="n"/>
      <c r="Q31" s="181" t="n"/>
      <c r="R31" s="181" t="n"/>
    </row>
    <row r="32">
      <c r="A32" s="181" t="n">
        <v>6</v>
      </c>
      <c r="B32" s="181" t="inlineStr">
        <is>
          <t>Ashwagandha</t>
        </is>
      </c>
      <c r="C32" s="181" t="n">
        <v>13.28</v>
      </c>
      <c r="D32" s="181" t="n">
        <v>21.5</v>
      </c>
      <c r="E32" s="181" t="inlineStr">
        <is>
          <t>evidence 0.79 × safety 0.85 × redundancy 0.92</t>
        </is>
      </c>
      <c r="F32" s="181" t="n"/>
      <c r="G32" s="181" t="n"/>
      <c r="H32" s="181" t="n"/>
      <c r="I32" s="181" t="n"/>
      <c r="J32" s="181" t="n"/>
      <c r="K32" s="181" t="n"/>
      <c r="L32" s="181" t="n"/>
      <c r="M32" s="181" t="n"/>
      <c r="N32" s="181" t="n"/>
      <c r="O32" s="181" t="n"/>
      <c r="P32" s="181" t="n"/>
      <c r="Q32" s="181" t="n"/>
      <c r="R32" s="181" t="n"/>
    </row>
    <row r="33">
      <c r="A33" s="181" t="n">
        <v>7</v>
      </c>
      <c r="B33" s="181" t="inlineStr">
        <is>
          <t>Kava</t>
        </is>
      </c>
      <c r="C33" s="181" t="n">
        <v>11.45</v>
      </c>
      <c r="D33" s="181" t="n">
        <v>29</v>
      </c>
      <c r="E33" s="181" t="inlineStr">
        <is>
          <t>evidence 0.60 × safety 0.70 × redundancy 0.94</t>
        </is>
      </c>
      <c r="F33" s="181" t="n"/>
      <c r="G33" s="181" t="n"/>
      <c r="H33" s="181" t="n"/>
      <c r="I33" s="181" t="n"/>
      <c r="J33" s="181" t="n"/>
      <c r="K33" s="181" t="n"/>
      <c r="L33" s="181" t="n"/>
      <c r="M33" s="181" t="n"/>
      <c r="N33" s="181" t="n"/>
      <c r="O33" s="181" t="n"/>
      <c r="P33" s="181" t="n"/>
      <c r="Q33" s="181" t="n"/>
      <c r="R33" s="181" t="n"/>
    </row>
    <row r="34">
      <c r="A34" s="181" t="n">
        <v>8</v>
      </c>
      <c r="B34" s="181" t="inlineStr">
        <is>
          <t>Peppermint</t>
        </is>
      </c>
      <c r="C34" s="181" t="n">
        <v>9.720000000000001</v>
      </c>
      <c r="D34" s="181" t="n">
        <v>19</v>
      </c>
      <c r="E34" s="181" t="inlineStr">
        <is>
          <t>evidence 0.70 × safety 0.85 × redundancy 0.86</t>
        </is>
      </c>
      <c r="F34" s="181" t="n"/>
      <c r="G34" s="181" t="n"/>
      <c r="H34" s="181" t="n"/>
      <c r="I34" s="181" t="n"/>
      <c r="J34" s="181" t="n"/>
      <c r="K34" s="181" t="n"/>
      <c r="L34" s="181" t="n"/>
      <c r="M34" s="181" t="n"/>
      <c r="N34" s="181" t="n"/>
      <c r="O34" s="181" t="n"/>
      <c r="P34" s="181" t="n"/>
      <c r="Q34" s="181" t="n"/>
      <c r="R34" s="181" t="n"/>
    </row>
    <row r="35">
      <c r="A35" s="181" t="n"/>
      <c r="B35" s="181" t="n"/>
      <c r="C35" s="181" t="n"/>
      <c r="D35" s="181" t="n"/>
      <c r="E35" s="181" t="n"/>
      <c r="F35" s="181" t="n"/>
      <c r="G35" s="181" t="n"/>
      <c r="H35" s="181" t="n"/>
      <c r="I35" s="181" t="n"/>
      <c r="J35" s="181" t="n"/>
      <c r="K35" s="181" t="n"/>
      <c r="L35" s="181" t="n"/>
      <c r="M35" s="181" t="n"/>
      <c r="N35" s="181" t="n"/>
      <c r="O35" s="181" t="n"/>
      <c r="P35" s="181" t="n"/>
      <c r="Q35" s="181" t="n"/>
      <c r="R35" s="181" t="n"/>
    </row>
    <row r="36">
      <c r="A36" s="181" t="n"/>
      <c r="B36" s="181" t="n"/>
      <c r="C36" s="181" t="n"/>
      <c r="D36" s="181" t="n"/>
      <c r="E36" s="181" t="n"/>
      <c r="F36" s="181" t="n"/>
      <c r="G36" s="181" t="n"/>
      <c r="H36" s="181" t="n"/>
      <c r="I36" s="181" t="n"/>
      <c r="J36" s="181" t="n"/>
      <c r="K36" s="181" t="n"/>
      <c r="L36" s="181" t="n"/>
      <c r="M36" s="181" t="n"/>
      <c r="N36" s="181" t="n"/>
      <c r="O36" s="181" t="n"/>
      <c r="P36" s="181" t="n"/>
      <c r="Q36" s="181" t="n"/>
      <c r="R36" s="181" t="n"/>
    </row>
    <row r="37">
      <c r="A37" s="181" t="n"/>
      <c r="B37" s="181" t="n"/>
      <c r="C37" s="181" t="n"/>
      <c r="D37" s="181" t="n"/>
      <c r="E37" s="181" t="n"/>
      <c r="F37" s="181" t="n"/>
      <c r="G37" s="181" t="n"/>
      <c r="H37" s="181" t="n"/>
      <c r="I37" s="181" t="n"/>
      <c r="J37" s="181" t="n"/>
      <c r="K37" s="181" t="n"/>
      <c r="L37" s="181" t="n"/>
      <c r="M37" s="181" t="n"/>
      <c r="N37" s="181" t="n"/>
      <c r="O37" s="181" t="n"/>
      <c r="P37" s="181" t="n"/>
      <c r="Q37" s="181" t="n"/>
      <c r="R37" s="181" t="n"/>
    </row>
    <row r="38">
      <c r="A38" s="181" t="n"/>
      <c r="B38" s="181" t="n"/>
      <c r="C38" s="181" t="n"/>
      <c r="D38" s="181" t="n"/>
      <c r="E38" s="181" t="n"/>
      <c r="F38" s="181" t="n"/>
      <c r="G38" s="181" t="n"/>
      <c r="H38" s="181" t="n"/>
      <c r="I38" s="181" t="n"/>
      <c r="J38" s="181" t="n"/>
      <c r="K38" s="181" t="n"/>
      <c r="L38" s="181" t="n"/>
      <c r="M38" s="181" t="n"/>
      <c r="N38" s="181" t="n"/>
      <c r="O38" s="181" t="n"/>
      <c r="P38" s="181" t="n"/>
      <c r="Q38" s="181" t="n"/>
      <c r="R38" s="181" t="n"/>
    </row>
    <row r="39">
      <c r="A39" s="181" t="n"/>
      <c r="B39" s="181" t="n"/>
      <c r="C39" s="181" t="n"/>
      <c r="D39" s="181" t="n"/>
      <c r="E39" s="181" t="n"/>
      <c r="F39" s="181" t="n"/>
      <c r="G39" s="181" t="n"/>
      <c r="H39" s="181" t="n"/>
      <c r="I39" s="181" t="n"/>
      <c r="J39" s="181" t="n"/>
      <c r="K39" s="181" t="n"/>
      <c r="L39" s="181" t="n"/>
      <c r="M39" s="181" t="n"/>
      <c r="N39" s="181" t="n"/>
      <c r="O39" s="181" t="n"/>
      <c r="P39" s="181" t="n"/>
      <c r="Q39" s="181" t="n"/>
      <c r="R39" s="181" t="n"/>
    </row>
    <row r="40">
      <c r="A40" s="181" t="n"/>
      <c r="B40" s="181" t="n"/>
      <c r="C40" s="181" t="n"/>
      <c r="D40" s="181" t="n"/>
      <c r="E40" s="181" t="n"/>
      <c r="F40" s="181" t="n"/>
      <c r="G40" s="181" t="n"/>
      <c r="H40" s="181" t="n"/>
      <c r="I40" s="181" t="n"/>
      <c r="J40" s="181" t="n"/>
      <c r="K40" s="181" t="n"/>
      <c r="L40" s="181" t="n"/>
      <c r="M40" s="181" t="n"/>
      <c r="N40" s="181" t="n"/>
      <c r="O40" s="181" t="n"/>
      <c r="P40" s="181" t="n"/>
      <c r="Q40" s="181" t="n"/>
      <c r="R40" s="181" t="n"/>
    </row>
  </sheetData>
  <mergeCells count="2">
    <mergeCell ref="A1:L1"/>
    <mergeCell ref="A2:L3"/>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V40"/>
  <sheetViews>
    <sheetView workbookViewId="0">
      <selection activeCell="A1" sqref="A1"/>
    </sheetView>
  </sheetViews>
  <sheetFormatPr baseColWidth="8" defaultRowHeight="15"/>
  <cols>
    <col width="4.710000038146973" customWidth="1" style="76" min="1" max="1"/>
    <col width="21.56999969482422" customWidth="1" style="76" min="2" max="2"/>
    <col width="21.29000091552734" customWidth="1" style="76" min="3" max="3"/>
    <col width="10.85999965667725" customWidth="1" style="76" min="4" max="4"/>
    <col width="15.14000034332275" customWidth="1" style="76" min="5" max="5"/>
    <col width="15.28999996185303" customWidth="1" style="76" min="6" max="6"/>
    <col width="94.56999969482422" customWidth="1" style="76" min="7" max="7"/>
    <col width="0.05000000074505806" customWidth="1" style="76" min="8" max="8"/>
    <col width="14.43000030517578" customWidth="1" style="76" min="9" max="9"/>
    <col width="14.85999965667725" customWidth="1" style="76" min="10" max="10"/>
    <col width="10.85999965667725" customWidth="1" style="76" min="11" max="11"/>
    <col width="8.430000305175781" customWidth="1" style="76" min="12" max="12"/>
    <col width="23.43000030517578" customWidth="1" style="76" min="13" max="13"/>
    <col width="74.43000030517578" customWidth="1" style="76" min="14" max="14"/>
    <col width="0.05000000074505806" customWidth="1" style="76" min="15" max="15"/>
    <col width="15.14000034332275" customWidth="1" style="76" min="16" max="16"/>
    <col width="9.859999656677246" customWidth="1" style="76" min="17" max="17"/>
    <col width="42.70999908447266" customWidth="1" style="76" min="18" max="18"/>
  </cols>
  <sheetData>
    <row r="1">
      <c r="A1" s="166" t="inlineStr">
        <is>
          <t>rank</t>
        </is>
      </c>
      <c r="J1" s="181" t="inlineStr">
        <is>
          <t>herbName</t>
        </is>
      </c>
      <c r="K1" s="181" t="inlineStr">
        <is>
          <t>baseScore</t>
        </is>
      </c>
      <c r="L1" s="181" t="inlineStr">
        <is>
          <t>severity</t>
        </is>
      </c>
      <c r="M1" s="181" t="inlineStr">
        <is>
          <t>riskDomain</t>
        </is>
      </c>
      <c r="N1" s="181" t="inlineStr">
        <is>
          <t>reason</t>
        </is>
      </c>
      <c r="O1" s="181" t="n"/>
      <c r="P1" s="181" t="inlineStr">
        <is>
          <t>policy</t>
        </is>
      </c>
      <c r="Q1" s="181" t="inlineStr">
        <is>
          <t>value</t>
        </is>
      </c>
      <c r="R1" s="181" t="inlineStr">
        <is>
          <t>note</t>
        </is>
      </c>
      <c r="T1" t="inlineStr">
        <is>
          <t>pass</t>
        </is>
      </c>
      <c r="U1" t="inlineStr">
        <is>
          <t>31</t>
        </is>
      </c>
      <c r="V1" t="inlineStr">
        <is>
          <t>explanation layer</t>
        </is>
      </c>
    </row>
    <row r="2">
      <c r="A2" s="167" t="n">
        <v>1</v>
      </c>
      <c r="J2" s="181" t="inlineStr">
        <is>
          <t>Kava</t>
        </is>
      </c>
      <c r="K2" s="181" t="n">
        <v>11.45</v>
      </c>
      <c r="L2" s="181" t="inlineStr">
        <is>
          <t>High</t>
        </is>
      </c>
      <c r="M2" s="181" t="inlineStr">
        <is>
          <t>Liver injury risk</t>
        </is>
      </c>
      <c r="N2" s="181" t="inlineStr">
        <is>
          <t>Exclude by default in liver-support blends and flag for manual review.</t>
        </is>
      </c>
      <c r="O2" s="181" t="n"/>
      <c r="P2" s="181" t="inlineStr">
        <is>
          <t>high</t>
        </is>
      </c>
      <c r="Q2" s="181" t="inlineStr">
        <is>
          <t>exclude</t>
        </is>
      </c>
      <c r="R2" s="181" t="inlineStr">
        <is>
          <t>removed from recommendation output</t>
        </is>
      </c>
      <c r="T2" t="inlineStr">
        <is>
          <t>global explanations</t>
        </is>
      </c>
      <c r="U2" t="inlineStr">
        <is>
          <t>Recommendation Explanation V31</t>
        </is>
      </c>
      <c r="V2" t="inlineStr">
        <is>
          <t>top domains + ranking rationale</t>
        </is>
      </c>
    </row>
    <row r="3">
      <c r="J3" s="181" t="inlineStr">
        <is>
          <t>St Johns Wort</t>
        </is>
      </c>
      <c r="K3" s="181" t="n">
        <v>7.85</v>
      </c>
      <c r="L3" s="181" t="inlineStr">
        <is>
          <t>High</t>
        </is>
      </c>
      <c r="M3" s="181" t="inlineStr">
        <is>
          <t>CYP / P-gp interaction</t>
        </is>
      </c>
      <c r="N3" s="181" t="inlineStr">
        <is>
          <t>Block or manually review before inclusion in any blend.</t>
        </is>
      </c>
      <c r="O3" s="181" t="n"/>
      <c r="P3" s="181" t="inlineStr">
        <is>
          <t>moderate</t>
        </is>
      </c>
      <c r="Q3" s="181" t="inlineStr">
        <is>
          <t>0.85x</t>
        </is>
      </c>
      <c r="R3" s="181" t="inlineStr">
        <is>
          <t>score penalty applied</t>
        </is>
      </c>
      <c r="T3" t="inlineStr">
        <is>
          <t>goal explanations</t>
        </is>
      </c>
      <c r="U3" t="inlineStr">
        <is>
          <t>Goal Blend Views</t>
        </is>
      </c>
      <c r="V3" t="inlineStr">
        <is>
          <t>stacked goal-specific rationale tables</t>
        </is>
      </c>
    </row>
    <row r="4">
      <c r="A4" s="181" t="n">
        <v>3</v>
      </c>
      <c r="B4" s="181" t="inlineStr">
        <is>
          <t>milk-thistle</t>
        </is>
      </c>
      <c r="C4" s="181" t="inlineStr">
        <is>
          <t>Milk Thistle</t>
        </is>
      </c>
      <c r="D4" s="181" t="n">
        <v>18.8</v>
      </c>
      <c r="E4" s="181" t="n">
        <v>17.484</v>
      </c>
      <c r="F4" s="181" t="inlineStr">
        <is>
          <t>penalty_0.93x</t>
        </is>
      </c>
      <c r="G4" s="181" t="inlineStr">
        <is>
          <t>Allergy / interaction review: Asteraceae allergy, multi-drug regimens</t>
        </is>
      </c>
      <c r="H4" s="181" t="n"/>
      <c r="I4" s="181" t="n"/>
      <c r="J4" s="181" t="n"/>
      <c r="K4" s="181" t="n"/>
      <c r="L4" s="181" t="n"/>
      <c r="M4" s="181" t="n"/>
      <c r="N4" s="181" t="n"/>
      <c r="O4" s="181" t="n"/>
      <c r="P4" s="181" t="inlineStr">
        <is>
          <t>low-moderate</t>
        </is>
      </c>
      <c r="Q4" s="181" t="inlineStr">
        <is>
          <t>0.93x</t>
        </is>
      </c>
      <c r="R4" s="181" t="inlineStr">
        <is>
          <t>soft penalty applied</t>
        </is>
      </c>
      <c r="T4" t="inlineStr">
        <is>
          <t>policy</t>
        </is>
      </c>
      <c r="U4" t="inlineStr">
        <is>
          <t>interpretability upgrade</t>
        </is>
      </c>
      <c r="V4" t="inlineStr">
        <is>
          <t>outputs now explain why each herb ranked</t>
        </is>
      </c>
    </row>
    <row r="5">
      <c r="A5" s="58" t="n">
        <v>4</v>
      </c>
      <c r="B5" s="58" t="inlineStr">
        <is>
          <t>ginkgo-biloba</t>
        </is>
      </c>
      <c r="C5" s="58" t="inlineStr">
        <is>
          <t>Ginkgo Biloba</t>
        </is>
      </c>
      <c r="D5" s="58" t="n">
        <v>13.53</v>
      </c>
      <c r="E5" s="58" t="n">
        <v>13.53</v>
      </c>
      <c r="F5" s="58" t="inlineStr">
        <is>
          <t>none</t>
        </is>
      </c>
      <c r="G5" s="58" t="str"/>
      <c r="H5" s="58" t="n"/>
      <c r="I5" s="58" t="n"/>
      <c r="J5" s="181" t="n"/>
      <c r="K5" s="181" t="n"/>
      <c r="L5" s="181" t="n"/>
      <c r="M5" s="181" t="n"/>
      <c r="N5" s="181" t="n"/>
      <c r="O5" s="181" t="n"/>
      <c r="P5" s="181" t="inlineStr">
        <is>
          <t>low</t>
        </is>
      </c>
      <c r="Q5" s="181" t="inlineStr">
        <is>
          <t>flag_only</t>
        </is>
      </c>
      <c r="R5" s="181" t="inlineStr">
        <is>
          <t>kept in output with context</t>
        </is>
      </c>
    </row>
    <row r="6">
      <c r="A6" s="181" t="n">
        <v>5</v>
      </c>
      <c r="B6" s="181" t="inlineStr">
        <is>
          <t>lemon-balm</t>
        </is>
      </c>
      <c r="C6" s="181" t="inlineStr">
        <is>
          <t>Lemon Balm</t>
        </is>
      </c>
      <c r="D6" s="181" t="n">
        <v>13.35</v>
      </c>
      <c r="E6" s="181" t="n">
        <v>13.35</v>
      </c>
      <c r="F6" s="181" t="inlineStr">
        <is>
          <t>none</t>
        </is>
      </c>
      <c r="G6" s="181" t="str"/>
      <c r="H6" s="181" t="n"/>
      <c r="I6" s="181" t="n"/>
      <c r="J6" s="181" t="n"/>
      <c r="K6" s="181" t="n"/>
      <c r="L6" s="181" t="n"/>
      <c r="M6" s="181" t="n"/>
      <c r="N6" s="181" t="n"/>
      <c r="O6" s="181" t="n"/>
      <c r="P6" s="181" t="inlineStr">
        <is>
          <t>pass</t>
        </is>
      </c>
      <c r="Q6" s="181" t="inlineStr">
        <is>
          <t>29</t>
        </is>
      </c>
      <c r="R6" s="181" t="inlineStr">
        <is>
          <t>scoring-to-blend linkage repaired</t>
        </is>
      </c>
    </row>
    <row r="7">
      <c r="A7" s="181" t="n">
        <v>6</v>
      </c>
      <c r="B7" s="181" t="inlineStr">
        <is>
          <t>ashwagandha</t>
        </is>
      </c>
      <c r="C7" s="181" t="inlineStr">
        <is>
          <t>Ashwagandha</t>
        </is>
      </c>
      <c r="D7" s="181" t="n">
        <v>13.28</v>
      </c>
      <c r="E7" s="181" t="n">
        <v>11.288</v>
      </c>
      <c r="F7" s="181" t="inlineStr">
        <is>
          <t>penalty_0.85x</t>
        </is>
      </c>
      <c r="G7" s="181" t="inlineStr">
        <is>
          <t>Sedation / thyroid / immune: sedatives, thyroid meds, immunosuppressants, pregnancy</t>
        </is>
      </c>
      <c r="H7" s="181" t="n"/>
      <c r="I7" s="181" t="n"/>
      <c r="J7" s="181" t="n"/>
      <c r="K7" s="181" t="n"/>
      <c r="L7" s="181" t="n"/>
      <c r="M7" s="181" t="n"/>
      <c r="N7" s="181" t="n"/>
      <c r="O7" s="181" t="n"/>
      <c r="P7" s="181" t="n"/>
      <c r="Q7" s="181" t="n"/>
      <c r="R7" s="181" t="n"/>
    </row>
    <row r="8">
      <c r="A8" s="181" t="n">
        <v>7</v>
      </c>
      <c r="B8" s="181" t="inlineStr">
        <is>
          <t>peppermint</t>
        </is>
      </c>
      <c r="C8" s="181" t="inlineStr">
        <is>
          <t>Peppermint</t>
        </is>
      </c>
      <c r="D8" s="181" t="n">
        <v>9.720000000000001</v>
      </c>
      <c r="E8" s="181" t="n">
        <v>8.262</v>
      </c>
      <c r="F8" s="181" t="inlineStr">
        <is>
          <t>penalty_0.85x</t>
        </is>
      </c>
      <c r="G8" s="181" t="inlineStr">
        <is>
          <t>GI / reflux / bile flow: GERD, bile duct obstruction</t>
        </is>
      </c>
      <c r="H8" s="181" t="n"/>
      <c r="I8" s="181" t="n"/>
      <c r="J8" s="181" t="n"/>
      <c r="K8" s="181" t="n"/>
      <c r="L8" s="181" t="n"/>
      <c r="M8" s="181" t="n"/>
      <c r="N8" s="181" t="n"/>
      <c r="O8" s="181" t="n"/>
      <c r="P8" s="181" t="n"/>
      <c r="Q8" s="181" t="n"/>
      <c r="R8" s="181" t="n"/>
    </row>
    <row r="9">
      <c r="A9" s="181" t="n">
        <v>8</v>
      </c>
      <c r="B9" s="181" t="inlineStr">
        <is>
          <t>echinacea-purpurea</t>
        </is>
      </c>
      <c r="C9" s="181" t="inlineStr">
        <is>
          <t>Echinacea Purpurea</t>
        </is>
      </c>
      <c r="D9" s="181" t="n">
        <v>7.98</v>
      </c>
      <c r="E9" s="181" t="n">
        <v>7.98</v>
      </c>
      <c r="F9" s="181" t="inlineStr">
        <is>
          <t>none</t>
        </is>
      </c>
      <c r="G9" s="181" t="str"/>
      <c r="H9" s="181" t="n"/>
      <c r="I9" s="181" t="n"/>
      <c r="J9" s="181" t="n"/>
      <c r="K9" s="181" t="n"/>
      <c r="L9" s="181" t="n"/>
      <c r="M9" s="181" t="n"/>
      <c r="N9" s="181" t="n"/>
      <c r="O9" s="181" t="n"/>
      <c r="P9" s="181" t="n"/>
      <c r="Q9" s="181" t="n"/>
      <c r="R9" s="181" t="n"/>
    </row>
    <row r="10">
      <c r="A10" s="181" t="n">
        <v>9</v>
      </c>
      <c r="B10" s="181" t="inlineStr">
        <is>
          <t>turmeric</t>
        </is>
      </c>
      <c r="C10" s="181" t="inlineStr">
        <is>
          <t>Turmeric</t>
        </is>
      </c>
      <c r="D10" s="181" t="n">
        <v>8.77</v>
      </c>
      <c r="E10" s="181" t="n">
        <v>7.4545</v>
      </c>
      <c r="F10" s="181" t="inlineStr">
        <is>
          <t>penalty_0.85x</t>
        </is>
      </c>
      <c r="G10" s="181" t="inlineStr">
        <is>
          <t>Bleeding / gallbladder: anticoagulants, antiplatelets, gallbladder obstruction</t>
        </is>
      </c>
      <c r="H10" s="181" t="n"/>
      <c r="I10" s="181" t="n"/>
      <c r="J10" s="181" t="n"/>
      <c r="K10" s="181" t="n"/>
      <c r="L10" s="181" t="n"/>
      <c r="M10" s="181" t="n"/>
      <c r="N10" s="181" t="n"/>
      <c r="O10" s="181" t="n"/>
      <c r="P10" s="181" t="n"/>
      <c r="Q10" s="181" t="n"/>
      <c r="R10" s="181" t="n"/>
    </row>
    <row r="11">
      <c r="A11" s="181" t="n">
        <v>10</v>
      </c>
      <c r="B11" s="181" t="inlineStr">
        <is>
          <t>garlic</t>
        </is>
      </c>
      <c r="C11" s="181" t="inlineStr">
        <is>
          <t>Garlic</t>
        </is>
      </c>
      <c r="D11" s="181" t="n">
        <v>7.24</v>
      </c>
      <c r="E11" s="181" t="n">
        <v>6.154</v>
      </c>
      <c r="F11" s="181" t="inlineStr">
        <is>
          <t>penalty_0.85x</t>
        </is>
      </c>
      <c r="G11" s="181" t="inlineStr">
        <is>
          <t>Bleeding / perioperative: anticoagulants, antiplatelets, upcoming surgery</t>
        </is>
      </c>
      <c r="H11" s="181" t="n"/>
      <c r="I11" s="181" t="n"/>
      <c r="J11" s="181" t="n"/>
      <c r="K11" s="181" t="n"/>
      <c r="L11" s="181" t="n"/>
      <c r="M11" s="181" t="n"/>
      <c r="N11" s="181" t="n"/>
      <c r="O11" s="181" t="n"/>
      <c r="P11" s="181" t="n"/>
      <c r="Q11" s="181" t="n"/>
      <c r="R11" s="181" t="n"/>
    </row>
    <row r="12">
      <c r="A12" s="181" t="n">
        <v>11</v>
      </c>
      <c r="B12" s="181" t="inlineStr">
        <is>
          <t>black-cohosh</t>
        </is>
      </c>
      <c r="C12" s="181" t="inlineStr">
        <is>
          <t>Black Cohosh</t>
        </is>
      </c>
      <c r="D12" s="181" t="n">
        <v>3.73</v>
      </c>
      <c r="E12" s="181" t="n">
        <v>3.73</v>
      </c>
      <c r="F12" s="181" t="inlineStr">
        <is>
          <t>none</t>
        </is>
      </c>
      <c r="G12" s="181" t="str"/>
      <c r="H12" s="181" t="n"/>
      <c r="I12" s="181" t="n"/>
      <c r="J12" s="181" t="n"/>
      <c r="K12" s="181" t="n"/>
      <c r="L12" s="181" t="n"/>
      <c r="M12" s="181" t="n"/>
      <c r="N12" s="181" t="n"/>
      <c r="O12" s="181" t="n"/>
      <c r="P12" s="181" t="n"/>
      <c r="Q12" s="181" t="n"/>
      <c r="R12" s="181" t="n"/>
    </row>
    <row r="13">
      <c r="A13" s="181" t="n">
        <v>12</v>
      </c>
      <c r="B13" s="181" t="inlineStr">
        <is>
          <t>valerian</t>
        </is>
      </c>
      <c r="C13" s="181" t="inlineStr">
        <is>
          <t>Valerian</t>
        </is>
      </c>
      <c r="D13" s="181" t="n">
        <v>3.04</v>
      </c>
      <c r="E13" s="181" t="n">
        <v>2.584</v>
      </c>
      <c r="F13" s="181" t="inlineStr">
        <is>
          <t>penalty_0.85x</t>
        </is>
      </c>
      <c r="G13" s="181" t="inlineStr">
        <is>
          <t>CNS depression: sedatives, alcohol, other sleep aids</t>
        </is>
      </c>
      <c r="H13" s="181" t="n"/>
      <c r="I13" s="181" t="n"/>
      <c r="J13" s="181" t="n"/>
      <c r="K13" s="181" t="n"/>
      <c r="L13" s="181" t="n"/>
      <c r="M13" s="181" t="n"/>
      <c r="N13" s="181" t="n"/>
      <c r="O13" s="181" t="n"/>
      <c r="P13" s="181" t="n"/>
      <c r="Q13" s="181" t="n"/>
      <c r="R13" s="181" t="n"/>
    </row>
    <row r="14">
      <c r="A14" s="181" t="n">
        <v>13</v>
      </c>
      <c r="B14" s="181" t="inlineStr">
        <is>
          <t>saw-palmetto</t>
        </is>
      </c>
      <c r="C14" s="181" t="inlineStr">
        <is>
          <t>Saw Palmetto</t>
        </is>
      </c>
      <c r="D14" s="181" t="n">
        <v>2.34</v>
      </c>
      <c r="E14" s="181" t="n">
        <v>2.34</v>
      </c>
      <c r="F14" s="181" t="inlineStr">
        <is>
          <t>none</t>
        </is>
      </c>
      <c r="G14" s="181" t="str"/>
      <c r="H14" s="181" t="n"/>
      <c r="I14" s="181" t="n"/>
      <c r="J14" s="181" t="n"/>
      <c r="K14" s="181" t="n"/>
      <c r="L14" s="181" t="n"/>
      <c r="M14" s="181" t="n"/>
      <c r="N14" s="181" t="n"/>
      <c r="O14" s="181" t="n"/>
      <c r="P14" s="181" t="n"/>
      <c r="Q14" s="181" t="n"/>
      <c r="R14" s="181" t="n"/>
    </row>
    <row r="15">
      <c r="A15" s="181" t="n">
        <v>14</v>
      </c>
      <c r="B15" s="181" t="inlineStr">
        <is>
          <t>ginger</t>
        </is>
      </c>
      <c r="C15" s="181" t="inlineStr">
        <is>
          <t>Ginger</t>
        </is>
      </c>
      <c r="D15" s="181" t="n">
        <v>0.9399999999999999</v>
      </c>
      <c r="E15" s="181" t="n">
        <v>0.9399999999999999</v>
      </c>
      <c r="F15" s="181" t="inlineStr">
        <is>
          <t>none</t>
        </is>
      </c>
      <c r="G15" s="181" t="str"/>
      <c r="H15" s="181" t="n"/>
      <c r="I15" s="181" t="n"/>
      <c r="J15" s="181" t="n"/>
      <c r="K15" s="181" t="n"/>
      <c r="L15" s="181" t="n"/>
      <c r="M15" s="181" t="n"/>
      <c r="N15" s="181" t="n"/>
      <c r="O15" s="181" t="n"/>
      <c r="P15" s="181" t="n"/>
      <c r="Q15" s="181" t="n"/>
      <c r="R15" s="181" t="n"/>
    </row>
    <row r="16">
      <c r="A16" s="162" t="n">
        <v>15</v>
      </c>
      <c r="E16" s="181" t="n">
        <v>0</v>
      </c>
      <c r="F16" s="181" t="inlineStr">
        <is>
          <t>none</t>
        </is>
      </c>
      <c r="G16" s="181" t="str"/>
      <c r="H16" s="181" t="n"/>
      <c r="I16" s="181" t="n"/>
      <c r="J16" s="181" t="n"/>
      <c r="K16" s="181" t="n"/>
      <c r="L16" s="181" t="n"/>
      <c r="M16" s="181" t="n"/>
      <c r="N16" s="181" t="n"/>
      <c r="O16" s="181" t="n"/>
      <c r="P16" s="181" t="n"/>
      <c r="Q16" s="181" t="n"/>
      <c r="R16" s="181" t="n"/>
    </row>
    <row r="17">
      <c r="A17" s="162" t="n"/>
      <c r="B17" s="162" t="n"/>
      <c r="C17" s="162" t="n"/>
      <c r="D17" s="162" t="n"/>
      <c r="E17" s="181" t="n"/>
      <c r="F17" s="181" t="n"/>
      <c r="G17" s="181" t="n"/>
      <c r="H17" s="181" t="n"/>
      <c r="I17" s="181" t="n"/>
      <c r="J17" s="181" t="n"/>
      <c r="K17" s="181" t="n"/>
      <c r="L17" s="181" t="n"/>
      <c r="M17" s="181" t="n"/>
      <c r="N17" s="181" t="n"/>
      <c r="O17" s="181" t="n"/>
      <c r="P17" s="181" t="n"/>
      <c r="Q17" s="181" t="n"/>
      <c r="R17" s="181" t="n"/>
    </row>
    <row r="18">
      <c r="A18" s="181" t="n"/>
      <c r="B18" s="181" t="n"/>
      <c r="C18" s="181" t="n"/>
      <c r="D18" s="181" t="n"/>
      <c r="E18" s="181" t="n"/>
      <c r="F18" s="181" t="n"/>
      <c r="G18" s="181" t="n"/>
      <c r="H18" s="181" t="n"/>
      <c r="I18" s="181" t="n"/>
      <c r="J18" s="181" t="n"/>
      <c r="K18" s="181" t="n"/>
      <c r="L18" s="181" t="n"/>
      <c r="M18" s="181" t="n"/>
      <c r="N18" s="181" t="n"/>
      <c r="O18" s="181" t="n"/>
      <c r="P18" s="181" t="n"/>
      <c r="Q18" s="181" t="n"/>
      <c r="R18" s="181" t="n"/>
    </row>
    <row r="19">
      <c r="A19" s="181" t="n"/>
      <c r="B19" s="181" t="n"/>
      <c r="C19" s="181" t="n"/>
      <c r="D19" s="181" t="n"/>
      <c r="E19" s="181" t="n"/>
      <c r="F19" s="181" t="n"/>
      <c r="G19" s="181" t="n"/>
      <c r="H19" s="181" t="n"/>
      <c r="I19" s="181" t="n"/>
      <c r="J19" s="181" t="n"/>
      <c r="K19" s="181" t="n"/>
      <c r="L19" s="181" t="n"/>
      <c r="M19" s="181" t="n"/>
      <c r="N19" s="181" t="n"/>
      <c r="O19" s="181" t="n"/>
      <c r="P19" s="181" t="n"/>
      <c r="Q19" s="181" t="n"/>
      <c r="R19" s="181" t="n"/>
    </row>
    <row r="20">
      <c r="A20" s="181" t="n"/>
      <c r="B20" s="181" t="n"/>
      <c r="C20" s="181" t="n"/>
      <c r="D20" s="181" t="n"/>
      <c r="E20" s="181" t="n"/>
      <c r="F20" s="181" t="n"/>
      <c r="G20" s="181" t="n"/>
      <c r="H20" s="181" t="n"/>
      <c r="I20" s="181" t="n"/>
      <c r="J20" s="181" t="n"/>
      <c r="K20" s="181" t="n"/>
      <c r="L20" s="181" t="n"/>
      <c r="M20" s="181" t="n"/>
      <c r="N20" s="181" t="n"/>
      <c r="O20" s="181" t="n"/>
      <c r="P20" s="181" t="n"/>
      <c r="Q20" s="181" t="n"/>
      <c r="R20" s="181" t="n"/>
    </row>
    <row r="21">
      <c r="A21" s="181" t="n"/>
      <c r="B21" s="181" t="n"/>
      <c r="C21" s="181" t="n"/>
      <c r="D21" s="181" t="n"/>
      <c r="E21" s="181" t="n"/>
      <c r="F21" s="181" t="n"/>
      <c r="G21" s="181" t="n"/>
      <c r="H21" s="181" t="n"/>
      <c r="I21" s="181" t="n"/>
      <c r="J21" s="181" t="n"/>
      <c r="K21" s="181" t="n"/>
      <c r="L21" s="181" t="n"/>
      <c r="M21" s="181" t="n"/>
      <c r="N21" s="181" t="n"/>
      <c r="O21" s="181" t="n"/>
      <c r="P21" s="181" t="n"/>
      <c r="Q21" s="181" t="n"/>
      <c r="R21" s="181" t="n"/>
    </row>
    <row r="22">
      <c r="A22" s="181" t="n"/>
      <c r="B22" s="181" t="n"/>
      <c r="C22" s="181" t="n"/>
      <c r="D22" s="181" t="n"/>
      <c r="E22" s="181" t="n"/>
      <c r="F22" s="181" t="n"/>
      <c r="G22" s="181" t="n"/>
      <c r="H22" s="181" t="n"/>
      <c r="I22" s="181" t="n"/>
      <c r="J22" s="181" t="n"/>
      <c r="K22" s="181" t="n"/>
      <c r="L22" s="181" t="n"/>
      <c r="M22" s="181" t="n"/>
      <c r="N22" s="181" t="n"/>
      <c r="O22" s="181" t="n"/>
      <c r="P22" s="181" t="n"/>
      <c r="Q22" s="181" t="n"/>
      <c r="R22" s="181" t="n"/>
    </row>
    <row r="23">
      <c r="A23" s="181" t="n"/>
      <c r="B23" s="181" t="n"/>
      <c r="C23" s="181" t="n"/>
      <c r="D23" s="181" t="n"/>
      <c r="E23" s="181" t="n"/>
      <c r="F23" s="181" t="n"/>
      <c r="G23" s="181" t="n"/>
      <c r="H23" s="181" t="n"/>
      <c r="I23" s="181" t="n"/>
      <c r="J23" s="181" t="n"/>
      <c r="K23" s="181" t="n"/>
      <c r="L23" s="181" t="n"/>
      <c r="M23" s="181" t="n"/>
      <c r="N23" s="181" t="n"/>
      <c r="O23" s="181" t="n"/>
      <c r="P23" s="181" t="n"/>
      <c r="Q23" s="181" t="n"/>
      <c r="R23" s="181" t="n"/>
    </row>
    <row r="24">
      <c r="A24" s="181" t="n"/>
      <c r="B24" s="181" t="n"/>
      <c r="C24" s="181" t="n"/>
      <c r="D24" s="181" t="n"/>
      <c r="E24" s="181" t="n"/>
      <c r="F24" s="181" t="n"/>
      <c r="G24" s="181" t="n"/>
      <c r="H24" s="181" t="n"/>
      <c r="I24" s="181" t="n"/>
      <c r="J24" s="181" t="n"/>
      <c r="K24" s="181" t="n"/>
      <c r="L24" s="181" t="n"/>
      <c r="M24" s="181" t="n"/>
      <c r="N24" s="181" t="n"/>
      <c r="O24" s="181" t="n"/>
      <c r="P24" s="181" t="n"/>
      <c r="Q24" s="181" t="n"/>
      <c r="R24" s="181" t="n"/>
    </row>
    <row r="25">
      <c r="A25" s="181" t="n"/>
      <c r="B25" s="181" t="n"/>
      <c r="C25" s="181" t="n"/>
      <c r="D25" s="181" t="n"/>
      <c r="E25" s="181" t="n"/>
      <c r="F25" s="181" t="n"/>
      <c r="G25" s="181" t="n"/>
      <c r="H25" s="181" t="n"/>
      <c r="I25" s="181" t="n"/>
      <c r="J25" s="181" t="n"/>
      <c r="K25" s="181" t="n"/>
      <c r="L25" s="181" t="n"/>
      <c r="M25" s="181" t="n"/>
      <c r="N25" s="181" t="n"/>
      <c r="O25" s="181" t="n"/>
      <c r="P25" s="181" t="n"/>
      <c r="Q25" s="181" t="n"/>
      <c r="R25" s="181" t="n"/>
    </row>
    <row r="26">
      <c r="A26" s="181" t="n"/>
      <c r="B26" s="181" t="n"/>
      <c r="C26" s="181" t="n"/>
      <c r="D26" s="181" t="n"/>
      <c r="E26" s="181" t="n"/>
      <c r="F26" s="181" t="n"/>
      <c r="G26" s="181" t="n"/>
      <c r="H26" s="181" t="n"/>
      <c r="I26" s="181" t="n"/>
      <c r="J26" s="181" t="n"/>
      <c r="K26" s="181" t="n"/>
      <c r="L26" s="181" t="n"/>
      <c r="M26" s="181" t="n"/>
      <c r="N26" s="181" t="n"/>
      <c r="O26" s="181" t="n"/>
      <c r="P26" s="181" t="n"/>
      <c r="Q26" s="181" t="n"/>
      <c r="R26" s="181" t="n"/>
    </row>
    <row r="27">
      <c r="A27" s="181" t="n"/>
      <c r="B27" s="181" t="n"/>
      <c r="C27" s="181" t="n"/>
      <c r="D27" s="181" t="n"/>
      <c r="E27" s="181" t="n"/>
      <c r="F27" s="181" t="n"/>
      <c r="G27" s="181" t="n"/>
      <c r="H27" s="181" t="n"/>
      <c r="I27" s="181" t="n"/>
      <c r="J27" s="181" t="n"/>
      <c r="K27" s="181" t="n"/>
      <c r="L27" s="181" t="n"/>
      <c r="M27" s="181" t="n"/>
      <c r="N27" s="181" t="n"/>
      <c r="O27" s="181" t="n"/>
      <c r="P27" s="181" t="n"/>
      <c r="Q27" s="181" t="n"/>
      <c r="R27" s="181" t="n"/>
    </row>
    <row r="28">
      <c r="A28" s="181" t="n"/>
      <c r="B28" s="181" t="n"/>
      <c r="C28" s="181" t="n"/>
      <c r="D28" s="181" t="n"/>
      <c r="E28" s="181" t="n"/>
      <c r="F28" s="181" t="n"/>
      <c r="G28" s="181" t="n"/>
      <c r="H28" s="181" t="n"/>
      <c r="I28" s="181" t="n"/>
      <c r="J28" s="181" t="n"/>
      <c r="K28" s="181" t="n"/>
      <c r="L28" s="181" t="n"/>
      <c r="M28" s="181" t="n"/>
      <c r="N28" s="181" t="n"/>
      <c r="O28" s="181" t="n"/>
      <c r="P28" s="181" t="n"/>
      <c r="Q28" s="181" t="n"/>
      <c r="R28" s="181" t="n"/>
    </row>
    <row r="29">
      <c r="A29" s="181" t="n"/>
      <c r="B29" s="181" t="n"/>
      <c r="C29" s="181" t="n"/>
      <c r="D29" s="181" t="n"/>
      <c r="E29" s="181" t="n"/>
      <c r="F29" s="181" t="n"/>
      <c r="G29" s="181" t="n"/>
      <c r="H29" s="181" t="n"/>
      <c r="I29" s="181" t="n"/>
      <c r="J29" s="181" t="n"/>
      <c r="K29" s="181" t="n"/>
      <c r="L29" s="181" t="n"/>
      <c r="M29" s="181" t="n"/>
      <c r="N29" s="181" t="n"/>
      <c r="O29" s="181" t="n"/>
      <c r="P29" s="181" t="n"/>
      <c r="Q29" s="181" t="n"/>
      <c r="R29" s="181" t="n"/>
    </row>
    <row r="30">
      <c r="A30" s="181" t="n"/>
      <c r="B30" s="181" t="n"/>
      <c r="C30" s="181" t="n"/>
      <c r="D30" s="181" t="n"/>
      <c r="E30" s="181" t="n"/>
      <c r="F30" s="181" t="n"/>
      <c r="G30" s="181" t="n"/>
      <c r="H30" s="181" t="n"/>
      <c r="I30" s="181" t="n"/>
      <c r="J30" s="181" t="n"/>
      <c r="K30" s="181" t="n"/>
      <c r="L30" s="181" t="n"/>
      <c r="M30" s="181" t="n"/>
      <c r="N30" s="181" t="n"/>
      <c r="O30" s="181" t="n"/>
      <c r="P30" s="181" t="n"/>
      <c r="Q30" s="181" t="n"/>
      <c r="R30" s="181" t="n"/>
    </row>
    <row r="31">
      <c r="A31" s="181" t="n"/>
      <c r="B31" s="181" t="n"/>
      <c r="C31" s="181" t="n"/>
      <c r="D31" s="181" t="n"/>
      <c r="E31" s="181" t="n"/>
      <c r="F31" s="181" t="n"/>
      <c r="G31" s="181" t="n"/>
      <c r="H31" s="181" t="n"/>
      <c r="I31" s="181" t="n"/>
      <c r="J31" s="181" t="n"/>
      <c r="K31" s="181" t="n"/>
      <c r="L31" s="181" t="n"/>
      <c r="M31" s="181" t="n"/>
      <c r="N31" s="181" t="n"/>
      <c r="O31" s="181" t="n"/>
      <c r="P31" s="181" t="n"/>
      <c r="Q31" s="181" t="n"/>
      <c r="R31" s="181" t="n"/>
    </row>
    <row r="32">
      <c r="A32" s="181" t="n"/>
      <c r="B32" s="181" t="n"/>
      <c r="C32" s="181" t="n"/>
      <c r="D32" s="181" t="n"/>
      <c r="E32" s="181" t="n"/>
      <c r="F32" s="181" t="n"/>
      <c r="G32" s="181" t="n"/>
      <c r="H32" s="181" t="n"/>
      <c r="I32" s="181" t="n"/>
      <c r="J32" s="181" t="n"/>
      <c r="K32" s="181" t="n"/>
      <c r="L32" s="181" t="n"/>
      <c r="M32" s="181" t="n"/>
      <c r="N32" s="181" t="n"/>
      <c r="O32" s="181" t="n"/>
      <c r="P32" s="181" t="n"/>
      <c r="Q32" s="181" t="n"/>
      <c r="R32" s="181" t="n"/>
    </row>
    <row r="33">
      <c r="A33" s="181" t="n"/>
      <c r="B33" s="181" t="n"/>
      <c r="C33" s="181" t="n"/>
      <c r="D33" s="181" t="n"/>
      <c r="E33" s="181" t="n"/>
      <c r="F33" s="181" t="n"/>
      <c r="G33" s="181" t="n"/>
      <c r="H33" s="181" t="n"/>
      <c r="I33" s="181" t="n"/>
      <c r="J33" s="181" t="n"/>
      <c r="K33" s="181" t="n"/>
      <c r="L33" s="181" t="n"/>
      <c r="M33" s="181" t="n"/>
      <c r="N33" s="181" t="n"/>
      <c r="O33" s="181" t="n"/>
      <c r="P33" s="181" t="n"/>
      <c r="Q33" s="181" t="n"/>
      <c r="R33" s="181" t="n"/>
    </row>
    <row r="34">
      <c r="A34" s="181" t="n"/>
      <c r="B34" s="181" t="n"/>
      <c r="C34" s="181" t="n"/>
      <c r="D34" s="181" t="n"/>
      <c r="E34" s="181" t="n"/>
      <c r="F34" s="181" t="n"/>
      <c r="G34" s="181" t="n"/>
      <c r="H34" s="181" t="n"/>
      <c r="I34" s="181" t="n"/>
      <c r="J34" s="181" t="n"/>
      <c r="K34" s="181" t="n"/>
      <c r="L34" s="181" t="n"/>
      <c r="M34" s="181" t="n"/>
      <c r="N34" s="181" t="n"/>
      <c r="O34" s="181" t="n"/>
      <c r="P34" s="181" t="n"/>
      <c r="Q34" s="181" t="n"/>
      <c r="R34" s="181" t="n"/>
    </row>
    <row r="35">
      <c r="A35" s="181" t="n"/>
      <c r="B35" s="181" t="n"/>
      <c r="C35" s="181" t="n"/>
      <c r="D35" s="181" t="n"/>
      <c r="E35" s="181" t="n"/>
      <c r="F35" s="181" t="n"/>
      <c r="G35" s="181" t="n"/>
      <c r="H35" s="181" t="n"/>
      <c r="I35" s="181" t="n"/>
      <c r="J35" s="181" t="n"/>
      <c r="K35" s="181" t="n"/>
      <c r="L35" s="181" t="n"/>
      <c r="M35" s="181" t="n"/>
      <c r="N35" s="181" t="n"/>
      <c r="O35" s="181" t="n"/>
      <c r="P35" s="181" t="n"/>
      <c r="Q35" s="181" t="n"/>
      <c r="R35" s="181" t="n"/>
    </row>
    <row r="36">
      <c r="A36" s="181" t="n"/>
      <c r="B36" s="181" t="n"/>
      <c r="C36" s="181" t="n"/>
      <c r="D36" s="181" t="n"/>
      <c r="E36" s="181" t="n"/>
      <c r="F36" s="181" t="n"/>
      <c r="G36" s="181" t="n"/>
      <c r="H36" s="181" t="n"/>
      <c r="I36" s="181" t="n"/>
      <c r="J36" s="181" t="n"/>
      <c r="K36" s="181" t="n"/>
      <c r="L36" s="181" t="n"/>
      <c r="M36" s="181" t="n"/>
      <c r="N36" s="181" t="n"/>
      <c r="O36" s="181" t="n"/>
      <c r="P36" s="181" t="n"/>
      <c r="Q36" s="181" t="n"/>
      <c r="R36" s="181" t="n"/>
    </row>
    <row r="37">
      <c r="A37" s="181" t="n"/>
      <c r="B37" s="181" t="n"/>
      <c r="C37" s="181" t="n"/>
      <c r="D37" s="181" t="n"/>
      <c r="E37" s="181" t="n"/>
      <c r="F37" s="181" t="n"/>
      <c r="G37" s="181" t="n"/>
      <c r="H37" s="181" t="n"/>
      <c r="I37" s="181" t="n"/>
      <c r="J37" s="181" t="n"/>
      <c r="K37" s="181" t="n"/>
      <c r="L37" s="181" t="n"/>
      <c r="M37" s="181" t="n"/>
      <c r="N37" s="181" t="n"/>
      <c r="O37" s="181" t="n"/>
      <c r="P37" s="181" t="n"/>
      <c r="Q37" s="181" t="n"/>
      <c r="R37" s="181" t="n"/>
    </row>
    <row r="38">
      <c r="A38" s="181" t="n"/>
      <c r="B38" s="181" t="n"/>
      <c r="C38" s="181" t="n"/>
      <c r="D38" s="181" t="n"/>
      <c r="E38" s="181" t="n"/>
      <c r="F38" s="181" t="n"/>
      <c r="G38" s="181" t="n"/>
      <c r="H38" s="181" t="n"/>
      <c r="I38" s="181" t="n"/>
      <c r="J38" s="181" t="n"/>
      <c r="K38" s="181" t="n"/>
      <c r="L38" s="181" t="n"/>
      <c r="M38" s="181" t="n"/>
      <c r="N38" s="181" t="n"/>
      <c r="O38" s="181" t="n"/>
      <c r="P38" s="181" t="n"/>
      <c r="Q38" s="181" t="n"/>
      <c r="R38" s="181" t="n"/>
    </row>
    <row r="39">
      <c r="A39" s="181" t="n"/>
      <c r="B39" s="181" t="n"/>
      <c r="C39" s="181" t="n"/>
      <c r="D39" s="181" t="n"/>
      <c r="E39" s="181" t="n"/>
      <c r="F39" s="181" t="n"/>
      <c r="G39" s="181" t="n"/>
      <c r="H39" s="181" t="n"/>
      <c r="I39" s="181" t="n"/>
      <c r="J39" s="181" t="n"/>
      <c r="K39" s="181" t="n"/>
      <c r="L39" s="181" t="n"/>
      <c r="M39" s="181" t="n"/>
      <c r="N39" s="181" t="n"/>
      <c r="O39" s="181" t="n"/>
      <c r="P39" s="181" t="n"/>
      <c r="Q39" s="181" t="n"/>
      <c r="R39" s="181" t="n"/>
    </row>
    <row r="40">
      <c r="A40" s="181" t="n"/>
      <c r="B40" s="181" t="n"/>
      <c r="C40" s="181" t="n"/>
      <c r="D40" s="181" t="n"/>
      <c r="E40" s="181" t="n"/>
      <c r="F40" s="181" t="n"/>
      <c r="G40" s="181" t="n"/>
      <c r="H40" s="181" t="n"/>
      <c r="I40" s="181" t="n"/>
      <c r="J40" s="181" t="n"/>
      <c r="K40" s="181" t="n"/>
      <c r="L40" s="181" t="n"/>
      <c r="M40" s="181" t="n"/>
      <c r="N40" s="181" t="n"/>
      <c r="O40" s="181" t="n"/>
      <c r="P40" s="181" t="n"/>
      <c r="Q40" s="181" t="n"/>
      <c r="R40" s="181" t="n"/>
    </row>
  </sheetData>
  <mergeCells count="3">
    <mergeCell ref="A1:I1"/>
    <mergeCell ref="A2:I3"/>
    <mergeCell ref="A16:D16"/>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79.7100067138672" customWidth="1" style="76" min="1" max="1"/>
    <col width="34.13999938964844" customWidth="1" style="76" min="2" max="2"/>
    <col width="15.85999965667725" customWidth="1" style="76" min="3" max="3"/>
    <col width="28" customWidth="1" style="76" min="4" max="4"/>
    <col width="40" customWidth="1" style="76" min="5" max="5"/>
    <col width="26" customWidth="1" style="76" min="6" max="6"/>
    <col width="34" customWidth="1" style="76" min="7" max="7"/>
    <col width="6.429999828338623" customWidth="1" style="76" min="8" max="8"/>
  </cols>
  <sheetData>
    <row r="1">
      <c r="A1" s="151" t="inlineStr">
        <is>
          <t>Contraindication Engine</t>
        </is>
      </c>
    </row>
    <row r="2">
      <c r="A2" s="154" t="inlineStr">
        <is>
          <t>High-signal screening rules derived from existing herb monographs and NCCIH safety pages. Use this sheet to block obvious unsafe combinations before blend ranking.</t>
        </is>
      </c>
    </row>
    <row r="3"/>
    <row r="5">
      <c r="A5" s="159" t="inlineStr">
        <is>
          <t>herbName</t>
        </is>
      </c>
      <c r="B5" s="159" t="inlineStr">
        <is>
          <t>riskDomain</t>
        </is>
      </c>
      <c r="C5" s="159" t="inlineStr">
        <is>
          <t>severity</t>
        </is>
      </c>
      <c r="D5" s="159" t="inlineStr">
        <is>
          <t>trigger</t>
        </is>
      </c>
      <c r="E5" s="159" t="inlineStr">
        <is>
          <t>screeningRule</t>
        </is>
      </c>
      <c r="F5" s="159" t="inlineStr">
        <is>
          <t>keyCompounds</t>
        </is>
      </c>
      <c r="G5" s="159" t="inlineStr">
        <is>
          <t>sourceUrl</t>
        </is>
      </c>
      <c r="H5" s="159" t="inlineStr">
        <is>
          <t>status</t>
        </is>
      </c>
    </row>
    <row r="6">
      <c r="A6" s="164" t="inlineStr">
        <is>
          <t>St Johns Wort</t>
        </is>
      </c>
      <c r="B6" s="164" t="inlineStr">
        <is>
          <t>CYP / P-gp interaction</t>
        </is>
      </c>
      <c r="C6" s="164" t="inlineStr">
        <is>
          <t>High</t>
        </is>
      </c>
      <c r="D6" s="164" t="inlineStr">
        <is>
          <t>antidepressants, oral contraceptives, cyclosporine, tacrolimus, HIV meds, anticancer drugs, warfarin, digoxin</t>
        </is>
      </c>
      <c r="E6" s="164" t="inlineStr">
        <is>
          <t>Block or manually review before inclusion in any blend.</t>
        </is>
      </c>
      <c r="F6" s="164" t="inlineStr">
        <is>
          <t>hyperforin; hypericin; pseudohypericin; adhyperforin</t>
        </is>
      </c>
      <c r="G6" s="164" t="inlineStr">
        <is>
          <t>https://www.nccih.nih.gov/health/st-johns-wort</t>
        </is>
      </c>
      <c r="H6" s="164" t="inlineStr">
        <is>
          <t>active</t>
        </is>
      </c>
    </row>
    <row r="7">
      <c r="A7" s="165" t="inlineStr">
        <is>
          <t>Valerian</t>
        </is>
      </c>
      <c r="B7" s="165" t="inlineStr">
        <is>
          <t>CNS depression</t>
        </is>
      </c>
      <c r="C7" s="165" t="inlineStr">
        <is>
          <t>Moderate</t>
        </is>
      </c>
      <c r="D7" s="165" t="inlineStr">
        <is>
          <t>sedatives, alcohol, other sleep aids</t>
        </is>
      </c>
      <c r="E7" s="165" t="inlineStr">
        <is>
          <t>Avoid additive sedation stacks unless intentionally designed and reviewed.</t>
        </is>
      </c>
      <c r="F7" s="165" t="inlineStr">
        <is>
          <t>valerenic acid; valerenal; valtrate; isovaltrate</t>
        </is>
      </c>
      <c r="G7" s="165" t="inlineStr">
        <is>
          <t>https://www.nccih.nih.gov/health/valerian</t>
        </is>
      </c>
      <c r="H7" s="165" t="inlineStr">
        <is>
          <t>active</t>
        </is>
      </c>
    </row>
    <row r="8">
      <c r="A8" s="164" t="inlineStr">
        <is>
          <t>Kava</t>
        </is>
      </c>
      <c r="B8" s="164" t="inlineStr">
        <is>
          <t>Liver injury risk</t>
        </is>
      </c>
      <c r="C8" s="164" t="inlineStr">
        <is>
          <t>High</t>
        </is>
      </c>
      <c r="D8" s="164" t="inlineStr">
        <is>
          <t>liver disease, hepatotoxic drugs</t>
        </is>
      </c>
      <c r="E8" s="164" t="inlineStr">
        <is>
          <t>Exclude by default in liver-support blends and flag for manual review.</t>
        </is>
      </c>
      <c r="F8" s="164" t="inlineStr">
        <is>
          <t>kavain; methysticin; flavokavains</t>
        </is>
      </c>
      <c r="G8" s="164" t="inlineStr">
        <is>
          <t>https://www.nccih.nih.gov/health/kava</t>
        </is>
      </c>
      <c r="H8" s="164" t="inlineStr">
        <is>
          <t>active</t>
        </is>
      </c>
    </row>
    <row r="9">
      <c r="A9" s="165" t="inlineStr">
        <is>
          <t>Kava</t>
        </is>
      </c>
      <c r="B9" s="165" t="inlineStr">
        <is>
          <t>CNS depression</t>
        </is>
      </c>
      <c r="C9" s="165" t="inlineStr">
        <is>
          <t>Moderate</t>
        </is>
      </c>
      <c r="D9" s="165" t="inlineStr">
        <is>
          <t>sedatives, alcohol, anxiolytics</t>
        </is>
      </c>
      <c r="E9" s="165" t="inlineStr">
        <is>
          <t>Do not combine casually with valerian or other sedatives.</t>
        </is>
      </c>
      <c r="F9" s="165" t="inlineStr">
        <is>
          <t>kavain; dihydrokavain; yangonin</t>
        </is>
      </c>
      <c r="G9" s="165" t="inlineStr">
        <is>
          <t>https://www.nccih.nih.gov/health/kava</t>
        </is>
      </c>
      <c r="H9" s="165" t="inlineStr">
        <is>
          <t>active</t>
        </is>
      </c>
    </row>
    <row r="10">
      <c r="A10" s="165" t="inlineStr">
        <is>
          <t>Peppermint</t>
        </is>
      </c>
      <c r="B10" s="165" t="inlineStr">
        <is>
          <t>GI / reflux / bile flow</t>
        </is>
      </c>
      <c r="C10" s="165" t="inlineStr">
        <is>
          <t>Moderate</t>
        </is>
      </c>
      <c r="D10" s="165" t="inlineStr">
        <is>
          <t>GERD, bile duct obstruction</t>
        </is>
      </c>
      <c r="E10" s="165" t="inlineStr">
        <is>
          <t>Do not auto-recommend for digestive calm if reflux history is present.</t>
        </is>
      </c>
      <c r="F10" s="165" t="inlineStr">
        <is>
          <t>menthol; menthone; pulegone</t>
        </is>
      </c>
      <c r="G10" s="165" t="inlineStr">
        <is>
          <t>https://www.nccih.nih.gov/health/peppermint-oil</t>
        </is>
      </c>
      <c r="H10" s="165" t="inlineStr">
        <is>
          <t>active</t>
        </is>
      </c>
    </row>
    <row r="11">
      <c r="A11" s="165" t="inlineStr">
        <is>
          <t>Peppermint</t>
        </is>
      </c>
      <c r="B11" s="165" t="inlineStr">
        <is>
          <t>Hepatotoxicity at high exposure</t>
        </is>
      </c>
      <c r="C11" s="165" t="inlineStr">
        <is>
          <t>Moderate</t>
        </is>
      </c>
      <c r="D11" s="165" t="inlineStr">
        <is>
          <t>high-exposure oils / hepatotoxic co-exposures</t>
        </is>
      </c>
      <c r="E11" s="165" t="inlineStr">
        <is>
          <t>Flag pulegone / menthofuran exposure as a safety review item.</t>
        </is>
      </c>
      <c r="F11" s="165" t="inlineStr">
        <is>
          <t>pulegone; menthofuran</t>
        </is>
      </c>
      <c r="G11" s="165" t="inlineStr">
        <is>
          <t>https://www.nccih.nih.gov/health/peppermint-oil</t>
        </is>
      </c>
      <c r="H11" s="165" t="inlineStr">
        <is>
          <t>active</t>
        </is>
      </c>
    </row>
    <row r="12">
      <c r="A12" s="165" t="inlineStr">
        <is>
          <t>Garlic</t>
        </is>
      </c>
      <c r="B12" s="165" t="inlineStr">
        <is>
          <t>Bleeding / perioperative</t>
        </is>
      </c>
      <c r="C12" s="165" t="inlineStr">
        <is>
          <t>Moderate</t>
        </is>
      </c>
      <c r="D12" s="165" t="inlineStr">
        <is>
          <t>anticoagulants, antiplatelets, upcoming surgery</t>
        </is>
      </c>
      <c r="E12" s="165" t="inlineStr">
        <is>
          <t>Flag before blend use and avoid perioperative escalation.</t>
        </is>
      </c>
      <c r="F12" s="165" t="inlineStr">
        <is>
          <t>ajoene; diallyl disulfide; diallyl sulfide; diallyl trisulfide</t>
        </is>
      </c>
      <c r="G12" s="165" t="inlineStr">
        <is>
          <t>https://www.nccih.nih.gov/health/garlic</t>
        </is>
      </c>
      <c r="H12" s="165" t="inlineStr">
        <is>
          <t>active</t>
        </is>
      </c>
    </row>
    <row r="13">
      <c r="A13" s="165" t="inlineStr">
        <is>
          <t>Turmeric</t>
        </is>
      </c>
      <c r="B13" s="165" t="inlineStr">
        <is>
          <t>Bleeding / gallbladder</t>
        </is>
      </c>
      <c r="C13" s="165" t="inlineStr">
        <is>
          <t>Moderate</t>
        </is>
      </c>
      <c r="D13" s="165" t="inlineStr">
        <is>
          <t>anticoagulants, antiplatelets, gallbladder obstruction</t>
        </is>
      </c>
      <c r="E13" s="165" t="inlineStr">
        <is>
          <t>Flag before blend use; do not imply unrestricted use.</t>
        </is>
      </c>
      <c r="F13" s="165" t="inlineStr">
        <is>
          <t>curcumin; demethoxycurcumin; bisdemethoxycurcumin</t>
        </is>
      </c>
      <c r="G13" s="165" t="inlineStr">
        <is>
          <t>https://www.nccih.nih.gov/health/turmeric</t>
        </is>
      </c>
      <c r="H13" s="165" t="inlineStr">
        <is>
          <t>active</t>
        </is>
      </c>
    </row>
    <row r="14">
      <c r="A14" s="165" t="inlineStr">
        <is>
          <t>Ashwagandha</t>
        </is>
      </c>
      <c r="B14" s="165" t="inlineStr">
        <is>
          <t>Sedation / thyroid / immune</t>
        </is>
      </c>
      <c r="C14" s="165" t="inlineStr">
        <is>
          <t>Moderate</t>
        </is>
      </c>
      <c r="D14" s="165" t="inlineStr">
        <is>
          <t>sedatives, thyroid meds, immunosuppressants, pregnancy</t>
        </is>
      </c>
      <c r="E14" s="165" t="inlineStr">
        <is>
          <t>Require manual review when these contexts are present.</t>
        </is>
      </c>
      <c r="F14" s="165" t="inlineStr">
        <is>
          <t>withaferin A; withanolide A; withanone</t>
        </is>
      </c>
      <c r="G14" s="165" t="inlineStr">
        <is>
          <t>https://www.nccih.nih.gov/health/ashwagandha</t>
        </is>
      </c>
      <c r="H14" s="165" t="inlineStr">
        <is>
          <t>active</t>
        </is>
      </c>
    </row>
    <row r="15">
      <c r="A15" s="165" t="inlineStr">
        <is>
          <t>Milk Thistle</t>
        </is>
      </c>
      <c r="B15" s="165" t="inlineStr">
        <is>
          <t>Allergy / interaction review</t>
        </is>
      </c>
      <c r="C15" s="165" t="inlineStr">
        <is>
          <t>Low-Moderate</t>
        </is>
      </c>
      <c r="D15" s="165" t="inlineStr">
        <is>
          <t>Asteraceae allergy, multi-drug regimens</t>
        </is>
      </c>
      <c r="E15" s="165" t="inlineStr">
        <is>
          <t>Usually tolerated but still review allergies and medication context.</t>
        </is>
      </c>
      <c r="F15" s="165" t="inlineStr">
        <is>
          <t>silymarin flavonolignans</t>
        </is>
      </c>
      <c r="G15" s="165" t="inlineStr">
        <is>
          <t>https://www.nccih.nih.gov/health/milk-thistle</t>
        </is>
      </c>
      <c r="H15" s="165" t="inlineStr">
        <is>
          <t>active</t>
        </is>
      </c>
    </row>
  </sheetData>
  <mergeCells count="2">
    <mergeCell ref="A1:H1"/>
    <mergeCell ref="A2:H3"/>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8.86000061035156" customWidth="1" style="76" min="1" max="1"/>
    <col width="10.14000034332275" customWidth="1" style="76" min="2" max="2"/>
    <col width="63.56999969482422" customWidth="1" style="76" min="3" max="3"/>
    <col width="28" customWidth="1" style="76" min="4" max="4"/>
    <col width="34.13999938964844" customWidth="1" style="76" min="5" max="5"/>
    <col width="40" customWidth="1" style="76" min="6" max="6"/>
  </cols>
  <sheetData>
    <row r="1">
      <c r="A1" s="151" t="inlineStr">
        <is>
          <t>Optimization Pass 18</t>
        </is>
      </c>
    </row>
    <row r="3">
      <c r="A3" s="159" t="inlineStr">
        <is>
          <t>workstream</t>
        </is>
      </c>
      <c r="B3" s="159" t="inlineStr">
        <is>
          <t>status</t>
        </is>
      </c>
      <c r="C3" s="159" t="inlineStr">
        <is>
          <t>scope</t>
        </is>
      </c>
      <c r="D3" s="159" t="inlineStr">
        <is>
          <t>impact</t>
        </is>
      </c>
      <c r="E3" s="159" t="inlineStr">
        <is>
          <t>sheetUpdated</t>
        </is>
      </c>
      <c r="F3" s="159" t="inlineStr">
        <is>
          <t>notes</t>
        </is>
      </c>
    </row>
    <row r="4">
      <c r="A4" s="181" t="inlineStr">
        <is>
          <t>Pathway scoring</t>
        </is>
      </c>
      <c r="B4" s="181" t="inlineStr">
        <is>
          <t>complete</t>
        </is>
      </c>
      <c r="C4" s="181" t="inlineStr">
        <is>
          <t>Weighted herb pathway matrix from Compound Master V3</t>
        </is>
      </c>
      <c r="D4" s="181" t="inlineStr">
        <is>
          <t>Enables ranking + filtering</t>
        </is>
      </c>
      <c r="E4" s="181" t="inlineStr">
        <is>
          <t>Pathway Scoring Engine</t>
        </is>
      </c>
      <c r="F4" s="181" t="inlineStr">
        <is>
          <t>Heuristic only; not a clinical efficacy score</t>
        </is>
      </c>
    </row>
    <row r="5">
      <c r="A5" s="181" t="inlineStr">
        <is>
          <t>Blend builder</t>
        </is>
      </c>
      <c r="B5" s="181" t="inlineStr">
        <is>
          <t>complete</t>
        </is>
      </c>
      <c r="C5" s="181" t="inlineStr">
        <is>
          <t>Goal-to-herb ranking table</t>
        </is>
      </c>
      <c r="D5" s="181" t="inlineStr">
        <is>
          <t>Enables outcome-oriented prototyping</t>
        </is>
      </c>
      <c r="E5" s="181" t="inlineStr">
        <is>
          <t>Blend Builder Engine</t>
        </is>
      </c>
      <c r="F5" s="181" t="inlineStr">
        <is>
          <t>Use contraindication screening before deployment</t>
        </is>
      </c>
    </row>
    <row r="6">
      <c r="A6" s="181" t="inlineStr">
        <is>
          <t>Contraindication screening</t>
        </is>
      </c>
      <c r="B6" s="181" t="inlineStr">
        <is>
          <t>complete</t>
        </is>
      </c>
      <c r="C6" s="181" t="inlineStr">
        <is>
          <t>High-signal herb safety rules</t>
        </is>
      </c>
      <c r="D6" s="181" t="inlineStr">
        <is>
          <t>Blocks obvious unsafe combos</t>
        </is>
      </c>
      <c r="E6" s="181" t="inlineStr">
        <is>
          <t>Contraindication Engine</t>
        </is>
      </c>
      <c r="F6" s="181" t="inlineStr">
        <is>
          <t>Seeded from herb monographs + NCCIH safety pages</t>
        </is>
      </c>
    </row>
    <row r="7">
      <c r="A7" s="181" t="inlineStr">
        <is>
          <t>Dashboard refresh</t>
        </is>
      </c>
      <c r="B7" s="181" t="inlineStr">
        <is>
          <t>complete</t>
        </is>
      </c>
      <c r="C7" s="181" t="inlineStr">
        <is>
          <t>Update next-step language</t>
        </is>
      </c>
      <c r="D7" s="181" t="inlineStr">
        <is>
          <t>Shifts workbook from data collection to engine layer</t>
        </is>
      </c>
      <c r="E7" s="181" t="inlineStr">
        <is>
          <t>Compound Layer Dashboard V3</t>
        </is>
      </c>
      <c r="F7" s="181" t="inlineStr">
        <is>
          <t>Optimization layer now active</t>
        </is>
      </c>
    </row>
    <row r="8">
      <c r="A8" s="181" t="inlineStr">
        <is>
          <t>Queue cleanup</t>
        </is>
      </c>
      <c r="B8" s="181" t="inlineStr">
        <is>
          <t>partial</t>
        </is>
      </c>
      <c r="C8" s="181" t="inlineStr">
        <is>
          <t>Valerian duplicate/stale queue row removed</t>
        </is>
      </c>
      <c r="D8" s="181" t="inlineStr">
        <is>
          <t>Improves workflow readability</t>
        </is>
      </c>
      <c r="E8" s="181" t="inlineStr">
        <is>
          <t>Herb Enrichment Queue V3</t>
        </is>
      </c>
      <c r="F8" s="181" t="inlineStr">
        <is>
          <t>St Johns Wort row added; remaining queue language can be normalized later</t>
        </is>
      </c>
    </row>
  </sheetData>
  <mergeCells count="1">
    <mergeCell ref="A1:F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4.13999938964844" customWidth="1" style="76" min="1" max="1"/>
    <col width="15.28999996185303" customWidth="1" style="76" min="2" max="2"/>
    <col width="87.70999908447266" customWidth="1" style="76" min="3" max="3"/>
    <col width="47.70999908447266" customWidth="1" style="76" min="4" max="4"/>
    <col width="9" customWidth="1" style="76" min="5" max="5"/>
    <col width="77" customWidth="1" style="76" min="6" max="6"/>
  </cols>
  <sheetData>
    <row r="1">
      <c r="A1" s="181" t="inlineStr">
        <is>
          <t>Consistency Cleanup Pass 19</t>
        </is>
      </c>
      <c r="B1" s="181" t="n"/>
      <c r="C1" s="181" t="n"/>
      <c r="D1" s="181" t="n"/>
      <c r="E1" s="181" t="n"/>
      <c r="F1" s="181" t="n"/>
    </row>
    <row r="2">
      <c r="A2" s="181" t="inlineStr">
        <is>
          <t>Target</t>
        </is>
      </c>
      <c r="B2" s="181" t="inlineStr">
        <is>
          <t>Rows updated</t>
        </is>
      </c>
      <c r="C2" s="181" t="inlineStr">
        <is>
          <t>Scope</t>
        </is>
      </c>
      <c r="D2" s="181" t="inlineStr">
        <is>
          <t>Result</t>
        </is>
      </c>
      <c r="E2" s="181" t="inlineStr">
        <is>
          <t>Residual</t>
        </is>
      </c>
      <c r="F2" s="181" t="inlineStr">
        <is>
          <t>Note</t>
        </is>
      </c>
    </row>
    <row r="3">
      <c r="A3" s="181" t="inlineStr">
        <is>
          <t>Herb Compound Map V3</t>
        </is>
      </c>
      <c r="B3" s="181" t="n">
        <v>13</v>
      </c>
      <c r="C3" s="181" t="inlineStr">
        <is>
          <t>outdated provisional-specific rows with locked/source-backed master equivalents</t>
        </is>
      </c>
      <c r="D3" s="181" t="inlineStr">
        <is>
          <t>relinked to master-linked</t>
        </is>
      </c>
      <c r="E3" s="181" t="n">
        <v>3</v>
      </c>
      <c r="F3" s="181" t="inlineStr">
        <is>
          <t>Residual provisional rows are S‑allyl‑cysteine, 1,8‑cineole, menthofuran</t>
        </is>
      </c>
    </row>
    <row r="4">
      <c r="A4" s="181" t="inlineStr">
        <is>
          <t>Compound Reverse Lookup V3</t>
        </is>
      </c>
      <c r="B4" s="181" t="n">
        <v>20</v>
      </c>
      <c r="C4" s="181" t="inlineStr">
        <is>
          <t>provisional or low-detail rows with better master equivalents</t>
        </is>
      </c>
      <c r="D4" s="181" t="inlineStr">
        <is>
          <t>promoted to latest master-backed metadata</t>
        </is>
      </c>
      <c r="E4" s="181" t="n"/>
      <c r="F4" s="181" t="inlineStr">
        <is>
          <t>Improves engine-layer inputs</t>
        </is>
      </c>
    </row>
    <row r="5">
      <c r="A5" s="181" t="inlineStr">
        <is>
          <t>Herb Enrichment Queue V3</t>
        </is>
      </c>
      <c r="B5" s="181" t="n">
        <v>16</v>
      </c>
      <c r="C5" s="181" t="inlineStr">
        <is>
          <t>deduplicated by herb and recounted from map</t>
        </is>
      </c>
      <c r="D5" s="181" t="inlineStr">
        <is>
          <t>queue drift corrected</t>
        </is>
      </c>
      <c r="E5" s="181" t="n"/>
      <c r="F5" s="181" t="inlineStr">
        <is>
          <t>Echinacea duplicate removed; actual provisional counts restored</t>
        </is>
      </c>
    </row>
    <row r="6">
      <c r="A6" s="181" t="inlineStr">
        <is>
          <t>Compound Layer Dashboard V3</t>
        </is>
      </c>
      <c r="B6" s="181" t="n">
        <v>1</v>
      </c>
      <c r="C6" s="181" t="inlineStr">
        <is>
          <t>metric refresh</t>
        </is>
      </c>
      <c r="D6" s="181" t="inlineStr">
        <is>
          <t>counts aligned to post-cleanup map state</t>
        </is>
      </c>
      <c r="E6" s="181" t="n"/>
      <c r="F6" s="181" t="inlineStr">
        <is>
          <t>Master-linked / provisional counts updated</t>
        </is>
      </c>
    </row>
  </sheetData>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compound</t>
        </is>
      </c>
      <c r="B1" t="inlineStr">
        <is>
          <t>status</t>
        </is>
      </c>
      <c r="C1" t="inlineStr">
        <is>
          <t>type</t>
        </is>
      </c>
      <c r="D1" t="inlineStr">
        <is>
          <t>note</t>
        </is>
      </c>
      <c r="E1" t="inlineStr">
        <is>
          <t>system_state</t>
        </is>
      </c>
    </row>
    <row r="2">
      <c r="A2" t="inlineStr">
        <is>
          <t>S-allyl-cysteine</t>
        </is>
      </c>
      <c r="B2" t="inlineStr">
        <is>
          <t>locked</t>
        </is>
      </c>
      <c r="C2" t="inlineStr">
        <is>
          <t>garlic</t>
        </is>
      </c>
      <c r="D2" t="inlineStr">
        <is>
          <t>resolved provisional</t>
        </is>
      </c>
      <c r="E2" t="inlineStr">
        <is>
          <t>complete</t>
        </is>
      </c>
    </row>
    <row r="3">
      <c r="A3" t="inlineStr">
        <is>
          <t>1,8-cineole</t>
        </is>
      </c>
      <c r="B3" t="inlineStr">
        <is>
          <t>locked</t>
        </is>
      </c>
      <c r="C3" t="inlineStr">
        <is>
          <t>eucalyptus</t>
        </is>
      </c>
      <c r="D3" t="inlineStr">
        <is>
          <t>resolved provisional</t>
        </is>
      </c>
      <c r="E3" t="inlineStr">
        <is>
          <t>complete</t>
        </is>
      </c>
    </row>
    <row r="4">
      <c r="A4" t="inlineStr">
        <is>
          <t>menthofuran</t>
        </is>
      </c>
      <c r="B4" t="inlineStr">
        <is>
          <t>locked</t>
        </is>
      </c>
      <c r="C4" t="inlineStr">
        <is>
          <t>peppermint</t>
        </is>
      </c>
      <c r="D4" t="inlineStr">
        <is>
          <t>resolved provisional</t>
        </is>
      </c>
      <c r="E4" t="inlineStr">
        <is>
          <t>complete</t>
        </is>
      </c>
    </row>
  </sheetData>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action</t>
        </is>
      </c>
      <c r="B1" t="inlineStr">
        <is>
          <t>result</t>
        </is>
      </c>
      <c r="C1" t="inlineStr">
        <is>
          <t>note</t>
        </is>
      </c>
    </row>
    <row r="2">
      <c r="A2" t="inlineStr">
        <is>
          <t>duplicate removal</t>
        </is>
      </c>
      <c r="B2" t="n">
        <v>166</v>
      </c>
      <c r="C2" t="inlineStr">
        <is>
          <t>rows merged into canonical entries</t>
        </is>
      </c>
    </row>
  </sheetData>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action</t>
        </is>
      </c>
      <c r="B1" t="inlineStr">
        <is>
          <t>result</t>
        </is>
      </c>
      <c r="C1" t="inlineStr">
        <is>
          <t>note</t>
        </is>
      </c>
    </row>
    <row r="2">
      <c r="A2" t="inlineStr">
        <is>
          <t>map orphans removed</t>
        </is>
      </c>
      <c r="B2" t="n">
        <v>1</v>
      </c>
      <c r="C2" t="inlineStr">
        <is>
          <t>cleaned</t>
        </is>
      </c>
    </row>
    <row r="3">
      <c r="A3" t="inlineStr">
        <is>
          <t>reverse orphans removed</t>
        </is>
      </c>
      <c r="B3" t="n">
        <v>1</v>
      </c>
      <c r="C3" t="inlineStr">
        <is>
          <t>cleaned</t>
        </is>
      </c>
    </row>
  </sheetData>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cols>
    <col width="69.70999908447266" customWidth="1" style="76" min="1" max="1"/>
    <col width="18" customWidth="1" style="76" min="2" max="2"/>
    <col width="255" customWidth="1" style="76" min="3" max="3"/>
    <col width="255" customWidth="1" style="76" min="4" max="4"/>
    <col width="209.1399993896484" customWidth="1" style="76" min="5" max="5"/>
    <col width="50.43000030517578" customWidth="1" style="76" min="6" max="6"/>
  </cols>
  <sheetData>
    <row r="1">
      <c r="A1" s="181" t="inlineStr">
        <is>
          <t>pathwayTarget</t>
        </is>
      </c>
      <c r="B1" s="181" t="inlineStr">
        <is>
          <t>compoundCount</t>
        </is>
      </c>
      <c r="C1" s="181" t="inlineStr">
        <is>
          <t>compounds</t>
        </is>
      </c>
      <c r="D1" s="181" t="inlineStr">
        <is>
          <t>herbSlugs</t>
        </is>
      </c>
      <c r="E1" s="181" t="inlineStr">
        <is>
          <t>mechanismTags</t>
        </is>
      </c>
      <c r="F1" s="181" t="inlineStr">
        <is>
          <t>confidenceSummary</t>
        </is>
      </c>
    </row>
    <row r="2">
      <c r="A2" t="inlineStr">
        <is>
          <t>5-alpha-reductase-related biology</t>
        </is>
      </c>
      <c r="B2" t="n">
        <v>1</v>
      </c>
      <c r="C2" t="inlineStr">
        <is>
          <t>beta-sitosterol</t>
        </is>
      </c>
      <c r="D2" t="inlineStr">
        <is>
          <t>saw-palmetto</t>
        </is>
      </c>
      <c r="E2" t="inlineStr">
        <is>
          <t>inflammatory_pathway_modulation; hormonal</t>
        </is>
      </c>
      <c r="F2" t="inlineStr">
        <is>
          <t>High</t>
        </is>
      </c>
    </row>
    <row r="3">
      <c r="A3" t="inlineStr">
        <is>
          <t>5-lipoxygenase</t>
        </is>
      </c>
      <c r="B3" t="n">
        <v>1</v>
      </c>
      <c r="C3" t="inlineStr">
        <is>
          <t>ginkgetin</t>
        </is>
      </c>
      <c r="D3" t="inlineStr">
        <is>
          <t>ginkgo-biloba</t>
        </is>
      </c>
      <c r="E3" t="inlineStr">
        <is>
          <t>inflammatory_pathway_modulation; eicosanoid pathway modulation</t>
        </is>
      </c>
      <c r="F3" t="inlineStr">
        <is>
          <t>Moderate</t>
        </is>
      </c>
    </row>
    <row r="4">
      <c r="A4" t="inlineStr">
        <is>
          <t>acetylcholine precursor biology</t>
        </is>
      </c>
      <c r="B4" t="n">
        <v>1</v>
      </c>
      <c r="C4" t="inlineStr">
        <is>
          <t>citicoline (CDP-choline)</t>
        </is>
      </c>
      <c r="F4" t="inlineStr">
        <is>
          <t>High</t>
        </is>
      </c>
    </row>
    <row r="5">
      <c r="A5" t="inlineStr">
        <is>
          <t>Acetylcholine synthesis pathway</t>
        </is>
      </c>
      <c r="B5" t="n">
        <v>2</v>
      </c>
      <c r="C5" t="inlineStr">
        <is>
          <t>alpha-GPC (L-alpha-glycerylphosphorylcholine); choline</t>
        </is>
      </c>
      <c r="D5" t="inlineStr">
        <is>
          <t>capsella-bursa-pastoris</t>
        </is>
      </c>
      <c r="E5" t="inlineStr">
        <is>
          <t>multi-target signaling modulation</t>
        </is>
      </c>
      <c r="F5" t="inlineStr">
        <is>
          <t>Moderate; high</t>
        </is>
      </c>
    </row>
    <row r="6">
      <c r="A6" t="inlineStr">
        <is>
          <t>Acetylcholinesterase inhibition</t>
        </is>
      </c>
      <c r="B6" t="n">
        <v>1</v>
      </c>
      <c r="C6" t="inlineStr">
        <is>
          <t>huperzine A</t>
        </is>
      </c>
      <c r="D6" t="inlineStr">
        <is>
          <t>huperzia-serrata</t>
        </is>
      </c>
      <c r="E6" t="inlineStr">
        <is>
          <t>muscarinic receptor interaction</t>
        </is>
      </c>
      <c r="F6" t="inlineStr">
        <is>
          <t>High</t>
        </is>
      </c>
    </row>
    <row r="7">
      <c r="A7" t="inlineStr">
        <is>
          <t>adenosine_antagonism</t>
        </is>
      </c>
      <c r="B7" t="n">
        <v>11</v>
      </c>
      <c r="C7" t="inlineStr">
        <is>
          <t>adenosine; cafestol; caffeine; catechins (egcg); cordycepin; epicatechin; kahweol; theanine; theobromine; theophylline; trigonelline</t>
        </is>
      </c>
      <c r="D7" t="inlineStr">
        <is>
          <t>cordyceps-sinensis; coffee; camellia-sinensis; coffea-arabica; guarana; ilex-guayusa; ilex-paraguariensis; paullinia-cupana; paullinia-pinnata; theobroma-bicolor; theobroma-cacao</t>
        </is>
      </c>
      <c r="E7" t="inlineStr">
        <is>
          <t>adenosine receptor antagonism; multi-target signaling modulation</t>
        </is>
      </c>
    </row>
    <row r="8">
      <c r="A8" t="inlineStr">
        <is>
          <t>ADORA1, ADORA2A (adenosine receptors)</t>
        </is>
      </c>
      <c r="B8" t="n">
        <v>2</v>
      </c>
      <c r="C8" t="inlineStr">
        <is>
          <t>caffeine; theobromine</t>
        </is>
      </c>
      <c r="D8" t="inlineStr">
        <is>
          <t>camellia-sinensis; coffea-arabica; coffee; guarana; ilex-guayusa; ilex-paraguariensis; paullinia-cupana; paullinia-pinnata; theobroma-bicolor; theobroma-cacao</t>
        </is>
      </c>
      <c r="E8" t="inlineStr">
        <is>
          <t>adenosine receptor antagonism; multi-target signaling modulation</t>
        </is>
      </c>
    </row>
    <row r="9">
      <c r="A9" t="inlineStr">
        <is>
          <t>Akt</t>
        </is>
      </c>
      <c r="B9" t="n">
        <v>1</v>
      </c>
      <c r="C9" t="inlineStr">
        <is>
          <t>withanolide A</t>
        </is>
      </c>
      <c r="D9" t="inlineStr">
        <is>
          <t>ashwagandha</t>
        </is>
      </c>
      <c r="E9" t="inlineStr">
        <is>
          <t>inflammatory_pathway_modulation; neuroprotective; multi-target signaling modulation</t>
        </is>
      </c>
      <c r="F9" t="inlineStr">
        <is>
          <t>Moderate</t>
        </is>
      </c>
    </row>
    <row r="10">
      <c r="A10" t="inlineStr">
        <is>
          <t>alpha-wave/stress-response modulation</t>
        </is>
      </c>
      <c r="B10" t="n">
        <v>1</v>
      </c>
      <c r="C10" t="inlineStr">
        <is>
          <t>L-theanine</t>
        </is>
      </c>
      <c r="F10" t="inlineStr">
        <is>
          <t>moderate</t>
        </is>
      </c>
    </row>
    <row r="11">
      <c r="A11" t="inlineStr">
        <is>
          <t>AMPK</t>
        </is>
      </c>
      <c r="B11" t="n">
        <v>1</v>
      </c>
      <c r="C11" t="inlineStr">
        <is>
          <t>ursolic acid</t>
        </is>
      </c>
      <c r="D11" t="inlineStr">
        <is>
          <t>holy-basil</t>
        </is>
      </c>
      <c r="E11" t="inlineStr">
        <is>
          <t>inflammatory_pathway_modulation; metabolic modulation; multi-target signaling modulation</t>
        </is>
      </c>
      <c r="F11" t="inlineStr">
        <is>
          <t>Medium</t>
        </is>
      </c>
    </row>
    <row r="12">
      <c r="A12" t="inlineStr">
        <is>
          <t>AMPK activation</t>
        </is>
      </c>
      <c r="B12" t="n">
        <v>4</v>
      </c>
      <c r="C12" t="inlineStr">
        <is>
          <t>berberine; resveratrol; rhodiola (salidroside/rosavin); salidroside</t>
        </is>
      </c>
      <c r="D12" t="inlineStr">
        <is>
          <t>argemone-mexicana; berberis-vulgaris; chelidonium-majus; coptis-chinensis; hydrastis-canadensis; phellodendron-amurense; rhodiola-rosea</t>
        </is>
      </c>
      <c r="E12" t="inlineStr">
        <is>
          <t>multi-target signaling modulation; adaptogen; oxidative_stress_modulation</t>
        </is>
      </c>
      <c r="F12" t="inlineStr">
        <is>
          <t>High; moderate</t>
        </is>
      </c>
    </row>
    <row r="13">
      <c r="A13" t="inlineStr">
        <is>
          <t>apoptosis-related signaling</t>
        </is>
      </c>
      <c r="B13" t="n">
        <v>2</v>
      </c>
      <c r="C13" t="inlineStr">
        <is>
          <t>flavokavain A; flavokavain B</t>
        </is>
      </c>
      <c r="D13" t="inlineStr">
        <is>
          <t>kava</t>
        </is>
      </c>
      <c r="E13" t="inlineStr">
        <is>
          <t>inflammatory_pathway_modulation; oxidative_stress_modulation; cytostatic signaling</t>
        </is>
      </c>
      <c r="F13" t="inlineStr">
        <is>
          <t>Low-Moderate</t>
        </is>
      </c>
    </row>
    <row r="14">
      <c r="A14" t="inlineStr">
        <is>
          <t>apoptosis/caspase signaling modulation</t>
        </is>
      </c>
      <c r="B14" t="n">
        <v>1</v>
      </c>
      <c r="C14" t="inlineStr">
        <is>
          <t>emodin</t>
        </is>
      </c>
      <c r="D14" t="inlineStr">
        <is>
          <t>cassia-occidentalis; polygonum-multiflorum; rheum-palmatum</t>
        </is>
      </c>
      <c r="E14" t="inlineStr">
        <is>
          <t>multi-target signaling modulation</t>
        </is>
      </c>
      <c r="F14" t="inlineStr">
        <is>
          <t>moderate</t>
        </is>
      </c>
    </row>
    <row r="15">
      <c r="A15" t="inlineStr">
        <is>
          <t>apoptotic membrane signaling</t>
        </is>
      </c>
      <c r="B15" t="n">
        <v>1</v>
      </c>
      <c r="C15" t="inlineStr">
        <is>
          <t>phosphatidylserine</t>
        </is>
      </c>
      <c r="F15" t="inlineStr">
        <is>
          <t>Moderate</t>
        </is>
      </c>
    </row>
    <row r="16">
      <c r="A16" t="inlineStr">
        <is>
          <t>Aromatic L-amino-acid decarboxylase pathway</t>
        </is>
      </c>
      <c r="B16" t="n">
        <v>1</v>
      </c>
      <c r="C16" t="inlineStr">
        <is>
          <t>5-hydroxytryptophan (5-HTP)</t>
        </is>
      </c>
      <c r="D16" t="inlineStr">
        <is>
          <t>griffonia-simplicifolia</t>
        </is>
      </c>
      <c r="E16" t="inlineStr">
        <is>
          <t>serotonergic modulation</t>
        </is>
      </c>
      <c r="F16" t="inlineStr">
        <is>
          <t>High</t>
        </is>
      </c>
    </row>
    <row r="17">
      <c r="A17" t="inlineStr">
        <is>
          <t>ATP production</t>
        </is>
      </c>
      <c r="B17" t="n">
        <v>1</v>
      </c>
      <c r="C17" t="inlineStr">
        <is>
          <t>niacin</t>
        </is>
      </c>
      <c r="F17" t="inlineStr">
        <is>
          <t>High</t>
        </is>
      </c>
    </row>
    <row r="18">
      <c r="A18" t="inlineStr">
        <is>
          <t>ATP-dependent enzymatic reactions</t>
        </is>
      </c>
      <c r="B18" t="n">
        <v>1</v>
      </c>
      <c r="C18" t="inlineStr">
        <is>
          <t>magnesium</t>
        </is>
      </c>
      <c r="F18" t="inlineStr">
        <is>
          <t>High</t>
        </is>
      </c>
    </row>
    <row r="19">
      <c r="A19" t="inlineStr">
        <is>
          <t>BDNF/TrkB-associated signaling</t>
        </is>
      </c>
      <c r="B19" t="n">
        <v>1</v>
      </c>
      <c r="C19" t="inlineStr">
        <is>
          <t>withanolide A</t>
        </is>
      </c>
      <c r="D19" t="inlineStr">
        <is>
          <t>ashwagandha</t>
        </is>
      </c>
      <c r="E19" t="inlineStr">
        <is>
          <t>inflammatory_pathway_modulation; neuroprotective; multi-target signaling modulation</t>
        </is>
      </c>
      <c r="F19" t="inlineStr">
        <is>
          <t>Moderate</t>
        </is>
      </c>
    </row>
    <row r="20">
      <c r="A20" t="inlineStr">
        <is>
          <t>bone mineralization signaling</t>
        </is>
      </c>
      <c r="B20" t="n">
        <v>1</v>
      </c>
      <c r="C20" t="inlineStr">
        <is>
          <t>vitamin d</t>
        </is>
      </c>
      <c r="F20" t="inlineStr">
        <is>
          <t>high</t>
        </is>
      </c>
    </row>
    <row r="21">
      <c r="A21" t="inlineStr">
        <is>
          <t>calcium absorption regulation</t>
        </is>
      </c>
      <c r="B21" t="n">
        <v>1</v>
      </c>
      <c r="C21" t="inlineStr">
        <is>
          <t>vitamin d</t>
        </is>
      </c>
      <c r="F21" t="inlineStr">
        <is>
          <t>high</t>
        </is>
      </c>
    </row>
    <row r="22">
      <c r="A22" t="inlineStr">
        <is>
          <t>calcium signaling</t>
        </is>
      </c>
      <c r="B22" t="n">
        <v>1</v>
      </c>
      <c r="C22" t="inlineStr">
        <is>
          <t>actein</t>
        </is>
      </c>
      <c r="D22" t="inlineStr">
        <is>
          <t>black-cohosh</t>
        </is>
      </c>
      <c r="E22" t="inlineStr">
        <is>
          <t>inflammatory_pathway_modulation; multi-target signaling modulation</t>
        </is>
      </c>
      <c r="F22" t="inlineStr">
        <is>
          <t>Medium</t>
        </is>
      </c>
    </row>
    <row r="23">
      <c r="A23" t="inlineStr">
        <is>
          <t>calcium/potassium ion transport</t>
        </is>
      </c>
      <c r="B23" t="n">
        <v>1</v>
      </c>
      <c r="C23" t="inlineStr">
        <is>
          <t>magnesium</t>
        </is>
      </c>
      <c r="F23" t="inlineStr">
        <is>
          <t>High</t>
        </is>
      </c>
    </row>
    <row r="24">
      <c r="A24" t="inlineStr">
        <is>
          <t>cAMP signaling</t>
        </is>
      </c>
      <c r="B24" t="n">
        <v>1</v>
      </c>
      <c r="C24" t="inlineStr">
        <is>
          <t>triandrin</t>
        </is>
      </c>
      <c r="D24" t="inlineStr">
        <is>
          <t>rhodiola-rosea</t>
        </is>
      </c>
      <c r="E24" t="inlineStr">
        <is>
          <t>adaptogen; multi-target signaling modulation</t>
        </is>
      </c>
      <c r="F24" t="inlineStr">
        <is>
          <t>Moderate</t>
        </is>
      </c>
    </row>
    <row r="25">
      <c r="A25" t="inlineStr">
        <is>
          <t>Carnitine shuttle system</t>
        </is>
      </c>
      <c r="B25" t="n">
        <v>1</v>
      </c>
      <c r="C25" t="inlineStr">
        <is>
          <t>acetyl-L-carnitine</t>
        </is>
      </c>
      <c r="F25" t="inlineStr">
        <is>
          <t>moderate</t>
        </is>
      </c>
    </row>
    <row r="26">
      <c r="A26" t="inlineStr">
        <is>
          <t>catecholamine biosynthesis</t>
        </is>
      </c>
      <c r="B26" t="n">
        <v>1</v>
      </c>
      <c r="C26" t="inlineStr">
        <is>
          <t>L-tyrosine</t>
        </is>
      </c>
      <c r="F26" t="inlineStr">
        <is>
          <t>High</t>
        </is>
      </c>
    </row>
    <row r="27">
      <c r="A27" t="inlineStr">
        <is>
          <t>catecholamine biosynthesis support</t>
        </is>
      </c>
      <c r="B27" t="n">
        <v>1</v>
      </c>
      <c r="C27" t="inlineStr">
        <is>
          <t>N-acetyl-L-tyrosine</t>
        </is>
      </c>
      <c r="F27" t="inlineStr">
        <is>
          <t>Moderate</t>
        </is>
      </c>
    </row>
    <row r="28">
      <c r="A28" t="inlineStr">
        <is>
          <t>catecholamine precursor biology</t>
        </is>
      </c>
      <c r="B28" t="n">
        <v>1</v>
      </c>
      <c r="C28" t="inlineStr">
        <is>
          <t>L-phenylalanine</t>
        </is>
      </c>
      <c r="F28" t="inlineStr">
        <is>
          <t>High</t>
        </is>
      </c>
    </row>
    <row r="29">
      <c r="A29" t="inlineStr">
        <is>
          <t>CD40/NFkB</t>
        </is>
      </c>
      <c r="B29" t="n">
        <v>1</v>
      </c>
      <c r="C29" t="inlineStr">
        <is>
          <t>ginkgolide C</t>
        </is>
      </c>
      <c r="D29" t="inlineStr">
        <is>
          <t>ginkgo-biloba</t>
        </is>
      </c>
      <c r="E29" t="inlineStr">
        <is>
          <t>paf receptor antagonism; inflammatory_pathway_modulation signaling</t>
        </is>
      </c>
      <c r="F29" t="inlineStr">
        <is>
          <t>Moderate</t>
        </is>
      </c>
    </row>
    <row r="30">
      <c r="A30" t="inlineStr">
        <is>
          <t>Cell-membrane phospholipid signaling</t>
        </is>
      </c>
      <c r="B30" t="n">
        <v>1</v>
      </c>
      <c r="C30" t="inlineStr">
        <is>
          <t>phosphatidylserine</t>
        </is>
      </c>
      <c r="F30" t="inlineStr">
        <is>
          <t>Moderate</t>
        </is>
      </c>
    </row>
    <row r="31">
      <c r="A31" t="inlineStr">
        <is>
          <t>choline pool replenishment</t>
        </is>
      </c>
      <c r="B31" t="n">
        <v>1</v>
      </c>
      <c r="C31" t="inlineStr">
        <is>
          <t>alpha-GPC (L-alpha-glycerylphosphorylcholine)</t>
        </is>
      </c>
      <c r="F31" t="inlineStr">
        <is>
          <t>Moderate</t>
        </is>
      </c>
    </row>
    <row r="32">
      <c r="A32" t="inlineStr">
        <is>
          <t>cholinergic_modulation</t>
        </is>
      </c>
      <c r="B32" t="n">
        <v>16</v>
      </c>
      <c r="C32" t="inlineStr">
        <is>
          <t>anabasine; apigenin; atropine; chrysoeriol; formononetin; huperzine A; hyoscyamine; lobelanidine; lobeline; nicotine; nornicotine; quercetin; rutin; scopolamine; tephrosin; vitexin</t>
        </is>
      </c>
      <c r="D32" t="inlineStr">
        <is>
          <t>nicotiana-rustica; amorpha-fruticosa; apium-graveolens; matricaria-chamomilla; turnera-diffusa; atropa-belladonna; brugmansia; brugmansia-sanguinea; brugmansia-suaveolens; datura-ferox; datura-stramonium; datura-wrightii; mandragora-officinarum; solandra-maxima; huperzia-serrata; duboisia-myoporoides; hyoscyamus-niger; scopolia-carniolica; lobelia-inflata; duboisia-hopwoodii; nicotiana-spp-polynesian; st-johns-wort; passiflora-incarnata</t>
        </is>
      </c>
      <c r="E32" t="inlineStr">
        <is>
          <t>muscarinic receptor interaction; gaba_a_modulation; multi-target signaling modulation</t>
        </is>
      </c>
      <c r="F32" t="inlineStr">
        <is>
          <t>High; moderate</t>
        </is>
      </c>
    </row>
    <row r="33">
      <c r="A33" t="inlineStr">
        <is>
          <t>CHRM1, CHRM2 (muscarinic receptors)</t>
        </is>
      </c>
      <c r="B33" t="n">
        <v>3</v>
      </c>
      <c r="C33" t="inlineStr">
        <is>
          <t>atropine; hyoscyamine; scopolamine</t>
        </is>
      </c>
      <c r="D33" t="inlineStr">
        <is>
          <t>atropa-belladonna; brugmansia; brugmansia-sanguinea; brugmansia-suaveolens; datura-ferox; datura-stramonium; datura-wrightii; mandragora-officinarum; solandra-maxima; duboisia-myoporoides; hyoscyamus-niger; scopolia-carniolica</t>
        </is>
      </c>
      <c r="E33" t="inlineStr">
        <is>
          <t>muscarinic receptor interaction</t>
        </is>
      </c>
    </row>
    <row r="34">
      <c r="A34" t="inlineStr">
        <is>
          <t>CNS stress-response signaling</t>
        </is>
      </c>
      <c r="B34" t="n">
        <v>1</v>
      </c>
      <c r="C34" t="inlineStr">
        <is>
          <t>rosiridin</t>
        </is>
      </c>
      <c r="D34" t="inlineStr">
        <is>
          <t>rhodiola-rosea</t>
        </is>
      </c>
      <c r="E34" t="inlineStr">
        <is>
          <t>adaptogen; monoamine oxidase modulation; multi-target signaling modulation</t>
        </is>
      </c>
      <c r="F34" t="inlineStr">
        <is>
          <t>Moderate</t>
        </is>
      </c>
    </row>
    <row r="35">
      <c r="A35" t="inlineStr">
        <is>
          <t>colonization resistance</t>
        </is>
      </c>
      <c r="B35" t="n">
        <v>1</v>
      </c>
      <c r="C35" t="inlineStr">
        <is>
          <t>probiotics</t>
        </is>
      </c>
      <c r="F35" t="inlineStr">
        <is>
          <t>moderate</t>
        </is>
      </c>
    </row>
    <row r="36">
      <c r="A36" t="inlineStr">
        <is>
          <t>cortisol regulation</t>
        </is>
      </c>
      <c r="B36" t="n">
        <v>1</v>
      </c>
      <c r="C36" t="inlineStr">
        <is>
          <t>ashwagandha (withanolides)</t>
        </is>
      </c>
    </row>
    <row r="37">
      <c r="A37" t="inlineStr">
        <is>
          <t>cortisol/stress-response modulation</t>
        </is>
      </c>
      <c r="B37" t="n">
        <v>1</v>
      </c>
      <c r="C37" t="inlineStr">
        <is>
          <t>phosphatidylserine</t>
        </is>
      </c>
      <c r="F37" t="inlineStr">
        <is>
          <t>Moderate</t>
        </is>
      </c>
    </row>
    <row r="38">
      <c r="A38" t="inlineStr">
        <is>
          <t>COX</t>
        </is>
      </c>
      <c r="B38" t="n">
        <v>2</v>
      </c>
      <c r="C38" t="inlineStr">
        <is>
          <t>eugenol; rosmarinic acid</t>
        </is>
      </c>
      <c r="D38" t="inlineStr">
        <is>
          <t>holy-basil; lemon-balm</t>
        </is>
      </c>
      <c r="E38" t="inlineStr">
        <is>
          <t>inflammatory_pathway_modulation; analgesic; antimicrobial; oxidative_stress_modulation; gaba_a_modulation</t>
        </is>
      </c>
      <c r="F38" t="inlineStr">
        <is>
          <t>High</t>
        </is>
      </c>
    </row>
    <row r="39">
      <c r="A39" t="inlineStr">
        <is>
          <t>COX-2</t>
        </is>
      </c>
      <c r="B39" t="n">
        <v>1</v>
      </c>
      <c r="C39" t="inlineStr">
        <is>
          <t>ginkgetin</t>
        </is>
      </c>
      <c r="D39" t="inlineStr">
        <is>
          <t>ginkgo-biloba</t>
        </is>
      </c>
      <c r="E39" t="inlineStr">
        <is>
          <t>inflammatory_pathway_modulation; eicosanoid pathway modulation</t>
        </is>
      </c>
      <c r="F39" t="inlineStr">
        <is>
          <t>Moderate</t>
        </is>
      </c>
    </row>
    <row r="40">
      <c r="A40" t="inlineStr">
        <is>
          <t>COX-2 inhibition</t>
        </is>
      </c>
      <c r="B40" t="n">
        <v>1</v>
      </c>
      <c r="C40" t="inlineStr">
        <is>
          <t>curcuminoids</t>
        </is>
      </c>
    </row>
    <row r="41">
      <c r="A41" t="inlineStr">
        <is>
          <t>COX-2 pathway modulation</t>
        </is>
      </c>
      <c r="B41" t="n">
        <v>1</v>
      </c>
      <c r="C41" t="inlineStr">
        <is>
          <t>curcumin</t>
        </is>
      </c>
      <c r="D41" t="inlineStr">
        <is>
          <t>turmeric</t>
        </is>
      </c>
      <c r="E41" t="inlineStr">
        <is>
          <t>nf-kb inhibition</t>
        </is>
      </c>
      <c r="F41" t="inlineStr">
        <is>
          <t>moderate</t>
        </is>
      </c>
    </row>
    <row r="42">
      <c r="A42" t="inlineStr">
        <is>
          <t>CREB</t>
        </is>
      </c>
      <c r="B42" t="n">
        <v>1</v>
      </c>
      <c r="C42" t="inlineStr">
        <is>
          <t>withanolide A</t>
        </is>
      </c>
      <c r="D42" t="inlineStr">
        <is>
          <t>ashwagandha</t>
        </is>
      </c>
      <c r="E42" t="inlineStr">
        <is>
          <t>inflammatory_pathway_modulation; neuroprotective; multi-target signaling modulation</t>
        </is>
      </c>
      <c r="F42" t="inlineStr">
        <is>
          <t>Moderate</t>
        </is>
      </c>
    </row>
    <row r="43">
      <c r="A43" t="inlineStr">
        <is>
          <t>CYP-mediated metabolism</t>
        </is>
      </c>
      <c r="B43" t="n">
        <v>2</v>
      </c>
      <c r="C43" t="inlineStr">
        <is>
          <t>menthofuran; pulegone</t>
        </is>
      </c>
      <c r="D43" t="inlineStr">
        <is>
          <t>peppermint</t>
        </is>
      </c>
      <c r="E43" t="inlineStr">
        <is>
          <t>hepatotoxicity_risk; metabolic_activation; hepatotoxicity risk; metabolic activation</t>
        </is>
      </c>
      <c r="F43" t="inlineStr">
        <is>
          <t>Moderate</t>
        </is>
      </c>
    </row>
    <row r="44">
      <c r="A44" t="inlineStr">
        <is>
          <t>CYP3A4 induction</t>
        </is>
      </c>
      <c r="B44" t="n">
        <v>1</v>
      </c>
      <c r="C44" t="inlineStr">
        <is>
          <t>hyperforin</t>
        </is>
      </c>
      <c r="D44" t="inlineStr">
        <is>
          <t>st-johns-wort</t>
        </is>
      </c>
      <c r="E44" t="inlineStr">
        <is>
          <t>monoamine reuptake modulation; neuroplasticity modulation; enzyme induction relevance</t>
        </is>
      </c>
      <c r="F44" t="inlineStr">
        <is>
          <t>Moderate-High</t>
        </is>
      </c>
    </row>
    <row r="45">
      <c r="A45" t="inlineStr">
        <is>
          <t>CYP3A4 inhibition</t>
        </is>
      </c>
      <c r="B45" t="n">
        <v>1</v>
      </c>
      <c r="C45" t="inlineStr">
        <is>
          <t>piperine</t>
        </is>
      </c>
    </row>
    <row r="46">
      <c r="A46" t="inlineStr">
        <is>
          <t>cytokine signaling</t>
        </is>
      </c>
      <c r="B46" t="n">
        <v>1</v>
      </c>
      <c r="C46" t="inlineStr">
        <is>
          <t>1,8-cineole</t>
        </is>
      </c>
      <c r="D46" t="inlineStr">
        <is>
          <t>peppermint; eucalyptus</t>
        </is>
      </c>
      <c r="E46" t="inlineStr">
        <is>
          <t>inflammatory_pathway_modulation; respiratory_support</t>
        </is>
      </c>
      <c r="F46" t="inlineStr">
        <is>
          <t>Moderate</t>
        </is>
      </c>
    </row>
    <row r="47">
      <c r="A47" t="inlineStr">
        <is>
          <t>cytokine suppression</t>
        </is>
      </c>
      <c r="B47" t="n">
        <v>1</v>
      </c>
      <c r="C47" t="inlineStr">
        <is>
          <t>hesperidin</t>
        </is>
      </c>
    </row>
    <row r="48">
      <c r="A48" t="inlineStr">
        <is>
          <t>dopaminergic_modulation</t>
        </is>
      </c>
      <c r="B48" t="n">
        <v>32</v>
      </c>
      <c r="C48" t="inlineStr">
        <is>
          <t>anabasine; apomorphine; caffeine; cathine; cathinone; cinnamoylcocaine; cis-cinnamoylcocaine; cocaine; corydaline; cuscohygrine; dehydrocorybulbine; desmethoxyyangonin; dihydrokavain; dihydromethysticin; ephedrine; isocorypalmine; kavain; lobelanidine; lobeline; lsd (ergoline derivative); mescaline derivative; methysticin; nicotine; norephedrine; nornicotine; nuciferine; pseudoephedrine; tetrahydropalmatine; theobromine; trans-cinnamoylcocaine; tropacocaine; yangonin</t>
        </is>
      </c>
      <c r="D48" t="inlineStr">
        <is>
          <t>nicotiana-rustica; blue-lotus-nymphaea-caerulea; camellia-sinensis; coffea-arabica; coffee; guarana; ilex-guayusa; ilex-paraguariensis; paullinia-cupana; paullinia-pinnata; theobroma-bicolor; theobroma-cacao; catha-edulis; erythroxylum-coca; erythroxylum-novogranatense; coca; coca-leaf; corydalis-cava; corydalis-yanhusuo; kava; ephedra; ephedra-sinica; lobelia-inflata; lsd; mescaline; duboisia-hopwoodii; nicotiana-spp-polynesian; nelumbo-lutea; nymphaea-caerulea; nymphaea-nouchali</t>
        </is>
      </c>
      <c r="E48" t="inlineStr">
        <is>
          <t>muscarinic receptor interaction; multi-target signaling modulation; adenosine receptor antagonism; gaba_a_modulation; serotonin receptor interaction</t>
        </is>
      </c>
    </row>
    <row r="49">
      <c r="A49" t="inlineStr">
        <is>
          <t>Eicosanoid pathway modulation</t>
        </is>
      </c>
      <c r="B49" t="n">
        <v>1</v>
      </c>
      <c r="C49" t="inlineStr">
        <is>
          <t>omega-3 fatty acids</t>
        </is>
      </c>
    </row>
    <row r="50">
      <c r="A50" t="inlineStr">
        <is>
          <t>EMT-related signaling</t>
        </is>
      </c>
      <c r="B50" t="n">
        <v>1</v>
      </c>
      <c r="C50" t="inlineStr">
        <is>
          <t>withaferin A</t>
        </is>
      </c>
      <c r="D50" t="inlineStr">
        <is>
          <t>ashwagandha</t>
        </is>
      </c>
      <c r="E50" t="inlineStr">
        <is>
          <t>inflammatory_pathway_modulation; multi-target signaling modulation</t>
        </is>
      </c>
      <c r="F50" t="inlineStr">
        <is>
          <t>Moderate-High</t>
        </is>
      </c>
    </row>
    <row r="51">
      <c r="A51" t="inlineStr">
        <is>
          <t>endocannabinoid_modulation</t>
        </is>
      </c>
      <c r="B51" t="n">
        <v>5</v>
      </c>
      <c r="C51" t="inlineStr">
        <is>
          <t>cannabidiol; cbd; limonene; pinene); thc</t>
        </is>
      </c>
      <c r="D51" t="inlineStr">
        <is>
          <t>cbd; cannabis-indica; cannabis-ruderalis; cannabis-sativa; cannabis-sativa-african-varieties; peppermint</t>
        </is>
      </c>
      <c r="E51" t="inlineStr">
        <is>
          <t>multi-target signaling modulation</t>
        </is>
      </c>
    </row>
    <row r="52">
      <c r="A52" t="inlineStr">
        <is>
          <t>energy production</t>
        </is>
      </c>
      <c r="B52" t="n">
        <v>1</v>
      </c>
      <c r="C52" t="inlineStr">
        <is>
          <t>riboflavin</t>
        </is>
      </c>
      <c r="F52" t="inlineStr">
        <is>
          <t>High</t>
        </is>
      </c>
    </row>
    <row r="53">
      <c r="A53" t="inlineStr">
        <is>
          <t>ER modulation</t>
        </is>
      </c>
      <c r="B53" t="n">
        <v>1</v>
      </c>
      <c r="C53" t="inlineStr">
        <is>
          <t>genistein</t>
        </is>
      </c>
    </row>
    <row r="54">
      <c r="A54" t="inlineStr">
        <is>
          <t>ERK</t>
        </is>
      </c>
      <c r="B54" t="n">
        <v>1</v>
      </c>
      <c r="C54" t="inlineStr">
        <is>
          <t>withanolide A</t>
        </is>
      </c>
      <c r="D54" t="inlineStr">
        <is>
          <t>ashwagandha</t>
        </is>
      </c>
      <c r="E54" t="inlineStr">
        <is>
          <t>inflammatory_pathway_modulation; neuroprotective; multi-target signaling modulation</t>
        </is>
      </c>
      <c r="F54" t="inlineStr">
        <is>
          <t>Moderate</t>
        </is>
      </c>
    </row>
    <row r="55">
      <c r="A55" t="inlineStr">
        <is>
          <t>FMN/FAD-dependent redox enzymes</t>
        </is>
      </c>
      <c r="B55" t="n">
        <v>1</v>
      </c>
      <c r="C55" t="inlineStr">
        <is>
          <t>riboflavin</t>
        </is>
      </c>
      <c r="F55" t="inlineStr">
        <is>
          <t>High</t>
        </is>
      </c>
    </row>
    <row r="56">
      <c r="A56" t="inlineStr">
        <is>
          <t>GABA metabolism</t>
        </is>
      </c>
      <c r="B56" t="n">
        <v>1</v>
      </c>
      <c r="C56" t="inlineStr">
        <is>
          <t>rosmarinic acid</t>
        </is>
      </c>
      <c r="D56" t="inlineStr">
        <is>
          <t>holy-basil; lemon-balm</t>
        </is>
      </c>
      <c r="E56" t="inlineStr">
        <is>
          <t>inflammatory_pathway_modulation; oxidative_stress_modulation; gaba_a_modulation</t>
        </is>
      </c>
      <c r="F56" t="inlineStr">
        <is>
          <t>High</t>
        </is>
      </c>
    </row>
    <row r="57">
      <c r="A57" t="inlineStr">
        <is>
          <t>GABA receptor modulation</t>
        </is>
      </c>
      <c r="B57" t="n">
        <v>1</v>
      </c>
      <c r="C57" t="inlineStr">
        <is>
          <t>taurine</t>
        </is>
      </c>
      <c r="F57" t="inlineStr">
        <is>
          <t>moderate</t>
        </is>
      </c>
    </row>
    <row r="58">
      <c r="A58" t="inlineStr">
        <is>
          <t>GABA-B receptor activation</t>
        </is>
      </c>
      <c r="B58" t="n">
        <v>1</v>
      </c>
      <c r="C58" t="inlineStr">
        <is>
          <t>gamma-aminobutyric acid (GABA)</t>
        </is>
      </c>
      <c r="D58" t="inlineStr">
        <is>
          <t>casimiroa-edulis</t>
        </is>
      </c>
      <c r="E58" t="inlineStr">
        <is>
          <t>multi-target signaling modulation</t>
        </is>
      </c>
      <c r="F58" t="inlineStr">
        <is>
          <t>high</t>
        </is>
      </c>
    </row>
    <row r="59">
      <c r="A59" t="inlineStr">
        <is>
          <t>GABA_A modulation</t>
        </is>
      </c>
      <c r="B59" t="n">
        <v>3</v>
      </c>
      <c r="C59" t="inlineStr">
        <is>
          <t>ashwagandha (withanolides); kava (kavalactones); valerian (valerenic acid)</t>
        </is>
      </c>
    </row>
    <row r="60">
      <c r="A60" t="inlineStr">
        <is>
          <t>GABA_A receptor activation</t>
        </is>
      </c>
      <c r="B60" t="n">
        <v>1</v>
      </c>
      <c r="C60" t="inlineStr">
        <is>
          <t>gamma-aminobutyric acid (GABA)</t>
        </is>
      </c>
      <c r="D60" t="inlineStr">
        <is>
          <t>casimiroa-edulis</t>
        </is>
      </c>
      <c r="E60" t="inlineStr">
        <is>
          <t>multi-target signaling modulation</t>
        </is>
      </c>
      <c r="F60" t="inlineStr">
        <is>
          <t>high</t>
        </is>
      </c>
    </row>
    <row r="61">
      <c r="A61" t="inlineStr">
        <is>
          <t>gabaergic_modulation</t>
        </is>
      </c>
      <c r="B61" t="n">
        <v>34</v>
      </c>
      <c r="C61" t="inlineStr">
        <is>
          <t>absinthin; alpha-asarone; alpha-bisabolol; alpha-thujone; apigenin; arbutin; baicalein; baicalin; beta-asarone; beta-thujone; bilobalide; chamazulene; citral; citronellal; desmethoxyyangonin; dihydrokavain; dihydromethysticin; ginsenosides (including rb1; ibotenic acid; kavain; linalool; linalyl acetate; methysticin; muscimol; rb2; rg1); scutellarin; valerenic acid; valerenol; vitexin; withanolide d); withanolides (withaferin a; wogonin; yangonin</t>
        </is>
      </c>
      <c r="D61" t="inlineStr">
        <is>
          <t>artemisia-absinthium; acorus-americanus; acorus-calamus; acorus-calamus-angustatus; acorus-tatarinowii; matricaria-chamomilla; amorpha-fruticosa; apium-graveolens; turnera-diffusa; chimaphila-umbellata; scutellaria-baicalensis; scutellaria-lateriflora; ginkgo-biloba; lemon-balm; kava; american-ginseng; amanita-muscaria; amanita-pantherina; lavender; valerian; passiflora-incarnata; ashwagandha; withania-somnifera; withania-somnifera-ashwagandha</t>
        </is>
      </c>
      <c r="E61" t="inlineStr">
        <is>
          <t>gaba_a_modulation; multi-target signaling modulation; muscarinic receptor interaction; cox/nf-kb inhibition</t>
        </is>
      </c>
      <c r="F61" t="inlineStr">
        <is>
          <t>moderate</t>
        </is>
      </c>
    </row>
    <row r="62">
      <c r="A62" t="inlineStr">
        <is>
          <t>general or unknown targets</t>
        </is>
      </c>
      <c r="B62" t="n">
        <v>357</v>
      </c>
      <c r="C62" t="inlineStr">
        <is>
          <t>11-keto-beta-boswellic acid; 7-hydroxymitragynine; 8-cineole; acetyl-11-keto-beta-boswellic acid (akba); acetyl-beta-boswellic acid; aconitine; aegeline; aescin; aesculin; agnuside; agrimoniin; ajmaline; ajoene; akba; alangine; alchorneine; allantoin; allicin; allyl isothiocyanate; aloe-emodin; aloin; alpha-asarone; alpha-pinene; amarogentin; amentoflavone; anethole; anisomelic acid; annonacin; anonaine; anthocyanins (delphinidin; apigenin; arbutin; arctiin; arecaidine; arecoline; armepavine; artemisinin; asclepiadin; asiatic acid; asiaticoside; asperuloside; aspidospermine; astragaloside iv; atractylenolide i; atractylenolide ii; atractylenolide iii; atractylon; aucubin; azadirachtin; baicalein; baicalin; benzyl benzoate; benzyl isothiocyanate; berbamine; berberine; beta-amyrin; beta-asarone; beta-asarone (low levels); beta-boswellic acid; beta-caryophyllene; beta-lapachone; betulinic acid; bisabolol; bonducin; brunfelsamidine; bryonin; bulbocapnine; buphanidrine; calotropin; camphor; capsaicin; capsanthin; capsorubin; cardanol; cardol; carnosic acid; carpaine; carvacrol; carvone; casimiroedine; casticin; celapagin; celapanin; celastrine; cephaeline; cepharanthine; chamazulene; charantin; chavicol; chelerythrine; chelidonine; chlorogenic acid; choline; chrysophanol; chymopapain; cineole; cinnamaldehyde; cinnamoylcocaine; citral; citric acid; cocaine; codeine; columbamine; conhydrine; coniine; convallatoxin; convalloside (cardiac glycosides); copalic acid; coptisine; coronaridine; corydaline; crocetin; crocin; cryogenine (vertine); cyanidin); cynarin; cyperene; daidzein); damnacanthal; dehydrocorydalmine; dendrobine; deoxymiroestrol; dibenzyl trisulfide; digitoxin; digoxin; dihydrocapsaicin; dihydrohelenalin; dillapiole; ecliptine; ellagic acid; emetine; emodin; ephedrine; ergine (lsa); eryngial; esculetin; estragole; ethyl cinnamate; eucalyptol (cineole); eurycomanone; evodiamine; fangchinoline; febrifugine; fenchone; ferulenol; ferulic acid; fraxin; fucoidan; gallic acid; gamma-aminobutyric acid (GABA); gelsedine; gelsemicine; gelsemine; gelseminine; gelseverine; geniposide; gentiopicroside; geranial; geraniin; geraniol; ginsenosides (rb1; gitoxin; glycyrrhizin; gomisin; gramine; grindelic acid; gurmarin; guvacine; guvacoline; gypenosides (dammarane-type saponins); harmaline; harmalol; harmine; harpagoside; helenalin; hibiscus acid; hinokiflavone; histamine; humulone; hydrastine; hydroxy-alpha-sanshool; hydroxy-beta-sanshool; hydroxycitric acid (hca); hypaconitine; ibogaine; ibotenic acid; imperatorin; inotodiol; inulin; iodine; iridin; isoergine; isofebrifugine; isoflavones (genistein; isomitraphylline; isovaleric acid; jatamansone; jatrorrhizine; juglone; kaempferol; kotalanol; kurarinone; kutkoside; lactucin; lactucopicrin; lapachol; ledol; leonurine; ligustilide; limonene; linoleic acid; lithospermic acid; loganin; lsa); lupeol; lupulone; luteolin; lycopene; lycopodine; lycorine; lythrine; madecassoside; maltol; mangiferin; marmelosin; matrine; menthol; menthone; mesaconitine; mesembranol; mesembrenol; mesembrenone; mesembrine; miroestrol; mitragynine; mitrajavine; mitraphylline; morphine; morroniside; muscimol; myrcene; myristicin; n-dimethylhistamine; n-methylasimilobine; n-monomethylhistamine; neoquassin; neral; neriine; nesodine; nicotine; nigellone; nimbin; nordihydrocapsaicin; nornicotine; nuciferine; oleandrin; osthole; oxyacanthine; oxyberberine; oxymatrine; pachymic acid; palmatine; palustrol; panduratin a; paniculatin; papain; pectin; pellucidin a; peruvoside; picrocrocin; pinocembrin; pinostrobin; podophyllotoxin; polygodial; polypeptide-p; pristimerin; protoanemonin; protopine; pseudoephedrine; punarnavine; quassin; quebrachine; quercetin; quercitrin; re); reserpine; ricin; ricinoleic acid; roemerine; rutaecarpine; rutin; safranal; safrole; salacinol; salicin; salvinorin a; sambunigrin; sanguinarine; saponins (hederacoside); sarsaponin; schisandrin; scopadulcic acid; scoparin; scopoletin; sempervirine; serpentine; silica; silychristin); silydianin; silymarin (silibinin; sinigrin; skimmianine; solamargine; solanine; spilanthol; stachydrine; swertiamarin; synephrine; taraxasterol; taspine; terpinen-4-ol; tetramethylpyrazine; tetrandrine; thebaine; thevetin a; thevetin b; thujone; thymol; thymoquinone; timosaponin aiii; triketones (leptospermone); tropacocaine; turmerone; tussilagone; umbelliferone; umckalin; UNRESOLVED_HERB_LEVEL_ENTRY; uscharin; usnic acid; valeranone; valerenic acid; vanillin; vasicine; vasicinone; verbascoside; vicine; vincamine; viscotoxin; vitamin c; voacangine; wogonin; xanthohumol; xanthotoxol; xanthumin; α-terpineol; fukinolic acid; isosilychristin</t>
        </is>
      </c>
      <c r="D62" t="inlineStr">
        <is>
          <t>frankincense-boswellia; kratom-hybrids; mitragyna-speciosa; artemisia-herba-alba; nepeta-cataria; aconitum-ferox; aconitum-napellus; aegle-marmelos; aesculus-hippocastanum; vitex-agnus-castus; agrimonia-eupatoria; rauvolfia-serpentina; rauvolfia-vomitoria; garlic; boswellia-sacra; alangium-salvifolium; alchornea-floribunda; plantago-major; symphytum-officinale; allium-sativum; armoracia-rusticana; cassia-alata; cassia-occidentalis; aloe-vera; acorus-americanus; acorus-calamus; acorus-calamus-angustatus; acorus-tatarinowii; juniperus-sibirica; gentiana-lutea; selaginella-tamariscina; agastache-foeniculum; foeniculum-vulgare; pimpinella-anisum; anisomeles-indica; annona-muricata; nelumbo-lutea; hibiscus-sabdariffa; amorpha-fruticosa; apium-graveolens; matricaria-chamomilla; turnera-diffusa; chimaphila-umbellata; arctium-lappa; areca-catechu; artemisia-annua; asclepias-tuberosa; centella-asiatica; gotu-kola; galium-aparine; aspidosperma-quebracho-blanco; astragalus-membranaceus; atractylodes-macrocephala; azadirachta-indica; scutellaria-baicalensis; scutellaria-lateriflora; myroxylon-balsamum; carica-papaya; tropaeolum-majus; berberis-vulgaris; argemone-mexicana; chelidonium-majus; coptis-chinensis; hydrastis-canadensis; phellodendron-amurense; celastrus-paniculatus; celastrus-paniculatus-intellect-tree; copaifera-officinalis; syzygium-aromaticum; tabebuia-impetiginosa; inonotus-obliquus; caesalpinia-bonduc; brunfelsia-americana; bryonia-alba; corydalis-cava; boophone-disticha; calotropis-procera; artemisia-judaica; artemisia-vulgaris; capsicum-annuum; anacardium-occidentale; rosmarinus-officinalis; monarda-fistulosa; origanum-vulgare; thymus-vulgaris; bursera-graveolens; lippia-alba; casimiroa-edulis; vitex-trifolia; cephaelis-ipecacuanha; stephania-cepharantha; momordica-charantia; pimenta-racemosa; sanguinaria-canadensis; cecropia-peltata; lonicera-japonica; moringa-oleifera; capsella-bursa-pastoris; rheum-palmatum; laurus-nobilis; melaleuca-alternifolia; salvia-officinalis; cinnamomum-verum; erythroxylum-coca; erythroxylum-novogranatense; lemon-balm; citrus-limon; coca; coca-leaf; papaver-somniferum; conium-maculatum; convallaria-majalis; tabernaemontana-divaricata; corydalis-yanhusuo; crocus-sativus; gardenia-jasminoides; heimia; heimia-salicifolia-sinicuichi; sinicuichi; echinacea-purpurea; cyperus-rotundus; trifolium-pratense; morinda-citrifolia; dendrobium-nobile; pueraria-mirifica; petiveria-alliacea; foxglove; arnica-montana; macropiper-excelsum; piper-auritum; eclipta-prostrata; punica-granatum; vachellia-nilotica; polygonum-multiflorum; ephedra; ephedra-sinica; ipomoea-tricolor; turbina-corymbosa; eryngium-foetidum; tagetes-lucida; kaempferia-galanga; eucalyptus-globulus; eurycoma-longifolia; tetradium-ruticarpum; stephania-tetrandra; dichroa-febrifuga; ferula-communis; angelica-sinensis; ferula-assa-foetida; ligusticum-chuanxiong; fucus-vesiculosus; laminaria-digitata; carolina-jessamine; centaurium-erythraea; dracocephalum-moldavica; geranium-robertianum; cymbopogon-citratus; panax-quinquefolius; glycyrrhiza-glabra; schisandra-chinensis; phalaris-arundinacea; grindelia-robusta; gymnema-sylvestre; gynostemma-pentaphyllum; banisteriopsis-caapi; peganum-harmala; harpagophytum-procumbens; urtica-dioica; humulus-lupulus; zanthoxylum-bungeanum; garcinia-cambogia; iboga; tabernanthe-iboga; amanita-muscaria; amanita-pantherina; inula-helenium; taraxacum-officinale; iris-germanica; mitragyna-parvifolia; valeriana-officinalis; nardostachys-jatamansi; juglans-nigra; st-johns-wort; salacia-reticulata; sophora-flavescens; picrorhiza-kurroa; lactuca-virosa; rhododendron-tomentosum; leonurus-cardiaca; leonurus-japonicus; peppermint; oenothera-biennis; lycopus-virginicus; cornus-officinalis; argyreia-nervosa; elaeagnus-umbellata; lycopodium-clavatum; passiflora-incarnata; anemarrhena-asphodeloides; sceletium-tortuosum; sceletium-tortuosum-kanna; sceletium-expansum; mitragyna-javanica; quassia-amara; nerium-oleander; duboisia-hopwoodii; nicotiana-rustica; nicotiana-spp-polynesian; nigella-sativa; blue-lotus-nymphaea-caerulea; nymphaea-caerulea; nymphaea-nouchali; cnidium-monnieri; poria-cocos; boesenbergia-rotunda; althaea-officinalis; peperomia-pellucida; thevetia-peruviana; podophyllum-peltatum; tasmannia-lanceolata; clematis-vitalba; boerhavia-diffusa; ricinus-communis; salix-alba; viburnum-opulus; salvia-divinorum; sambucus-nigra; hedera-helix; smilax-ornata; scoparia-dulcis; equisetum-arvense; milk-thistle; silybum-marianum; solanum-nigrum; acmella-oleracea; citrus-aurantium; croton-lechleri; leptospermum-scoparium; curcuma-longa; tussilago-farfara; pelargonium-sidoides; 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 usnea-barbata; valerian; adhatoda-vasica; sida-cordifolia; stachytarpheta-cayennensis; vinca-minor; viscum-album; rosa-canina; xanthium-strumarium; black-cohosh</t>
        </is>
      </c>
      <c r="E62" t="inlineStr">
        <is>
          <t>multi-target signaling modulation; gaba_a_modulation; muscarinic receptor interaction; cox/nf-kb inhibition; oxidative_stress_modulation; inflammatory_pathway_modulation; hepatoprotective</t>
        </is>
      </c>
      <c r="F62" t="inlineStr">
        <is>
          <t>High; moderate; high; Medium; Low-Moderate</t>
        </is>
      </c>
    </row>
    <row r="63">
      <c r="A63" t="inlineStr">
        <is>
          <t>Glutamatergic modulation</t>
        </is>
      </c>
      <c r="B63" t="n">
        <v>1</v>
      </c>
      <c r="C63" t="inlineStr">
        <is>
          <t>L-theanine</t>
        </is>
      </c>
      <c r="F63" t="inlineStr">
        <is>
          <t>moderate</t>
        </is>
      </c>
    </row>
    <row r="64">
      <c r="A64" t="inlineStr">
        <is>
          <t>Glutathione peroxidase systems</t>
        </is>
      </c>
      <c r="B64" t="n">
        <v>1</v>
      </c>
      <c r="C64" t="inlineStr">
        <is>
          <t>selenium</t>
        </is>
      </c>
      <c r="F64" t="inlineStr">
        <is>
          <t>High</t>
        </is>
      </c>
    </row>
    <row r="65">
      <c r="A65" t="inlineStr">
        <is>
          <t>Glutathione replenishment</t>
        </is>
      </c>
      <c r="B65" t="n">
        <v>1</v>
      </c>
      <c r="C65" t="inlineStr">
        <is>
          <t>n-acetylcysteine (nac)</t>
        </is>
      </c>
      <c r="F65" t="inlineStr">
        <is>
          <t>high</t>
        </is>
      </c>
    </row>
    <row r="66">
      <c r="A66" t="inlineStr">
        <is>
          <t>glycine receptor chloride channel</t>
        </is>
      </c>
      <c r="B66" t="n">
        <v>1</v>
      </c>
      <c r="C66" t="inlineStr">
        <is>
          <t>ginkgolide A</t>
        </is>
      </c>
      <c r="D66" t="inlineStr">
        <is>
          <t>ginkgo-biloba</t>
        </is>
      </c>
      <c r="E66" t="inlineStr">
        <is>
          <t>paf receptor antagonism; neuroactive ion-channel modulation</t>
        </is>
      </c>
      <c r="F66" t="inlineStr">
        <is>
          <t>Moderate</t>
        </is>
      </c>
    </row>
    <row r="67">
      <c r="A67" t="inlineStr">
        <is>
          <t>Glycine receptor modulation</t>
        </is>
      </c>
      <c r="B67" t="n">
        <v>1</v>
      </c>
      <c r="C67" t="inlineStr">
        <is>
          <t>taurine</t>
        </is>
      </c>
      <c r="F67" t="inlineStr">
        <is>
          <t>moderate</t>
        </is>
      </c>
    </row>
    <row r="68">
      <c r="A68" t="inlineStr">
        <is>
          <t>glycogenolysis</t>
        </is>
      </c>
      <c r="B68" t="n">
        <v>1</v>
      </c>
      <c r="C68" t="inlineStr">
        <is>
          <t>pyridoxine</t>
        </is>
      </c>
      <c r="F68" t="inlineStr">
        <is>
          <t>High</t>
        </is>
      </c>
    </row>
    <row r="69">
      <c r="A69" t="inlineStr">
        <is>
          <t>glycolysis</t>
        </is>
      </c>
      <c r="B69" t="n">
        <v>1</v>
      </c>
      <c r="C69" t="inlineStr">
        <is>
          <t>magnesium</t>
        </is>
      </c>
      <c r="F69" t="inlineStr">
        <is>
          <t>High</t>
        </is>
      </c>
    </row>
    <row r="70">
      <c r="A70" t="inlineStr">
        <is>
          <t>GPCR-related stress-response signaling</t>
        </is>
      </c>
      <c r="B70" t="n">
        <v>1</v>
      </c>
      <c r="C70" t="inlineStr">
        <is>
          <t>triandrin</t>
        </is>
      </c>
      <c r="D70" t="inlineStr">
        <is>
          <t>rhodiola-rosea</t>
        </is>
      </c>
      <c r="E70" t="inlineStr">
        <is>
          <t>adaptogen; multi-target signaling modulation</t>
        </is>
      </c>
      <c r="F70" t="inlineStr">
        <is>
          <t>Moderate</t>
        </is>
      </c>
    </row>
    <row r="71">
      <c r="A71" t="inlineStr">
        <is>
          <t>Gut barrier integrity</t>
        </is>
      </c>
      <c r="B71" t="n">
        <v>1</v>
      </c>
      <c r="C71" t="inlineStr">
        <is>
          <t>probiotics</t>
        </is>
      </c>
      <c r="F71" t="inlineStr">
        <is>
          <t>moderate</t>
        </is>
      </c>
    </row>
    <row r="72">
      <c r="A72" t="inlineStr">
        <is>
          <t>HO-1</t>
        </is>
      </c>
      <c r="B72" t="n">
        <v>1</v>
      </c>
      <c r="C72" t="inlineStr">
        <is>
          <t>tyrosol</t>
        </is>
      </c>
      <c r="D72" t="inlineStr">
        <is>
          <t>rhodiola-rosea</t>
        </is>
      </c>
      <c r="E72" t="inlineStr">
        <is>
          <t>oxidative_stress_modulation; cytoprotective; multi-target signaling modulation</t>
        </is>
      </c>
      <c r="F72" t="inlineStr">
        <is>
          <t>Moderate</t>
        </is>
      </c>
    </row>
    <row r="73">
      <c r="A73" t="inlineStr">
        <is>
          <t>HPA-axis modulation</t>
        </is>
      </c>
      <c r="B73" t="n">
        <v>2</v>
      </c>
      <c r="C73" t="inlineStr">
        <is>
          <t>rhodiola (salidroside/rosavin); rosavin</t>
        </is>
      </c>
      <c r="D73" t="inlineStr">
        <is>
          <t>rhodiola-rosea</t>
        </is>
      </c>
      <c r="E73" t="inlineStr">
        <is>
          <t>adaptogen; serotonergic; dopaminergic</t>
        </is>
      </c>
      <c r="F73" t="inlineStr">
        <is>
          <t>Medium</t>
        </is>
      </c>
    </row>
    <row r="74">
      <c r="A74" t="inlineStr">
        <is>
          <t>HSP90</t>
        </is>
      </c>
      <c r="B74" t="n">
        <v>1</v>
      </c>
      <c r="C74" t="inlineStr">
        <is>
          <t>withaferin A</t>
        </is>
      </c>
      <c r="D74" t="inlineStr">
        <is>
          <t>ashwagandha</t>
        </is>
      </c>
      <c r="E74" t="inlineStr">
        <is>
          <t>inflammatory_pathway_modulation; multi-target signaling modulation</t>
        </is>
      </c>
      <c r="F74" t="inlineStr">
        <is>
          <t>Moderate-High</t>
        </is>
      </c>
    </row>
    <row r="75">
      <c r="A75" t="inlineStr">
        <is>
          <t>HTR1A, HTR2A (serotonin receptors)</t>
        </is>
      </c>
      <c r="B75" t="n">
        <v>3</v>
      </c>
      <c r="C75" t="inlineStr">
        <is>
          <t>5-hydroxytryptophan (5-HTP); serotonin; tryptamine</t>
        </is>
      </c>
      <c r="D75" t="inlineStr">
        <is>
          <t>griffonia-simplicifolia; urtica-dioica; acacia-confusa; phalaris-arundinacea</t>
        </is>
      </c>
      <c r="E75" t="inlineStr">
        <is>
          <t>serotonergic modulation</t>
        </is>
      </c>
      <c r="F75" t="inlineStr">
        <is>
          <t>High</t>
        </is>
      </c>
    </row>
    <row r="76">
      <c r="A76" t="inlineStr">
        <is>
          <t>IKKbeta</t>
        </is>
      </c>
      <c r="B76" t="n">
        <v>1</v>
      </c>
      <c r="C76" t="inlineStr">
        <is>
          <t>withaferin A</t>
        </is>
      </c>
      <c r="D76" t="inlineStr">
        <is>
          <t>ashwagandha</t>
        </is>
      </c>
      <c r="E76" t="inlineStr">
        <is>
          <t>inflammatory_pathway_modulation; multi-target signaling modulation</t>
        </is>
      </c>
      <c r="F76" t="inlineStr">
        <is>
          <t>Moderate-High</t>
        </is>
      </c>
    </row>
    <row r="77">
      <c r="A77" t="inlineStr">
        <is>
          <t>immune modulation</t>
        </is>
      </c>
      <c r="B77" t="n">
        <v>1</v>
      </c>
      <c r="C77" t="inlineStr">
        <is>
          <t>probiotics</t>
        </is>
      </c>
      <c r="F77" t="inlineStr">
        <is>
          <t>moderate</t>
        </is>
      </c>
    </row>
    <row r="78">
      <c r="A78" t="inlineStr">
        <is>
          <t>inflammation-related signaling</t>
        </is>
      </c>
      <c r="B78" t="n">
        <v>1</v>
      </c>
      <c r="C78" t="inlineStr">
        <is>
          <t>hydroxytyrosol</t>
        </is>
      </c>
      <c r="E78" t="inlineStr">
        <is>
          <t>oxidative_stress_modulation; inflammatory_pathway_modulation; multi-target signaling modulation</t>
        </is>
      </c>
      <c r="F78" t="inlineStr">
        <is>
          <t>Moderate-High</t>
        </is>
      </c>
    </row>
    <row r="79">
      <c r="A79" t="inlineStr">
        <is>
          <t>inflammatory cytokine signaling</t>
        </is>
      </c>
      <c r="B79" t="n">
        <v>1</v>
      </c>
      <c r="C79" t="inlineStr">
        <is>
          <t>cimifugoside</t>
        </is>
      </c>
      <c r="D79" t="inlineStr">
        <is>
          <t>black-cohosh</t>
        </is>
      </c>
      <c r="E79" t="inlineStr">
        <is>
          <t>inflammatory_pathway_modulation; hormonal</t>
        </is>
      </c>
      <c r="F79" t="inlineStr">
        <is>
          <t>Medium</t>
        </is>
      </c>
    </row>
    <row r="80">
      <c r="A80" t="inlineStr">
        <is>
          <t>inflammatory cytokines</t>
        </is>
      </c>
      <c r="B80" t="n">
        <v>1</v>
      </c>
      <c r="C80" t="inlineStr">
        <is>
          <t>23-epi-26-deoxyactein</t>
        </is>
      </c>
      <c r="D80" t="inlineStr">
        <is>
          <t>black-cohosh</t>
        </is>
      </c>
      <c r="E80" t="inlineStr">
        <is>
          <t>inflammatory_pathway_modulation; multi-target signaling modulation</t>
        </is>
      </c>
      <c r="F80" t="inlineStr">
        <is>
          <t>Medium</t>
        </is>
      </c>
    </row>
    <row r="81">
      <c r="A81" t="inlineStr">
        <is>
          <t>inflammatory signaling</t>
        </is>
      </c>
      <c r="B81" t="n">
        <v>3</v>
      </c>
      <c r="C81" t="inlineStr">
        <is>
          <t>flavokavain C; beta-sitosterol; rhodiosin</t>
        </is>
      </c>
      <c r="D81" t="inlineStr">
        <is>
          <t>kava; saw-palmetto; rhodiola-rosea</t>
        </is>
      </c>
      <c r="E81" t="inlineStr">
        <is>
          <t>inflammatory_pathway_modulation; oxidative_stress_modulation; hormonal; multi-target signaling modulation</t>
        </is>
      </c>
      <c r="F81" t="inlineStr">
        <is>
          <t>Low; High; Moderate</t>
        </is>
      </c>
    </row>
    <row r="82">
      <c r="A82" t="inlineStr">
        <is>
          <t>inflammatory_pathway_modulation</t>
        </is>
      </c>
      <c r="B82" t="n">
        <v>19</v>
      </c>
      <c r="C82" t="inlineStr">
        <is>
          <t>6-gingerol; alpha-bisabolol; apigenin; asiatic acid; asiaticoside; chamazulene; cryogenine (vertine); curcuminoids (curcumin); ginsenosides (including rb1; madecassic acid; madecassoside; rb2; rg1); tylophorine; UNRESOLVED_HERB_LEVEL_ENTRY; withanolide d); withanolides (withaferin a; zerumbone; zingerone</t>
        </is>
      </c>
      <c r="D82" t="inlineStr">
        <is>
          <t>ginger; matricaria-chamomilla; amorpha-fruticosa; apium-graveolens; turnera-diffusa; centella-asiatica; gotu-kola; heimia; heimia-salicifolia-sinicuichi; sinicuichi; curcuma-longa; american-ginseng; tylophora-indica; aerva-lanata; albizia-lebbeck; bobinsana; boldo; bolivian-torch; brunfelsia-grandiflora; byrsonima-crassifolia; caapi; caesalpinia-sepiaria; calliandra-anomala; calliandra-haematocephala; calliandra-portoricensis; ceanothus-integerrimus; cordyline-fruticosa; desmodium-gangeticum; dodonaea-viscosa; erythrina-vespertilio; helinus-integrifolius; lobelia-tupa; rhizophora-mangle; rhizophora-stylosa; tetrapleura-tetraptera; verbena-hastata; ashwagandha; withania-somnifera; withania-somnifera-ashwagandha; zingiber-zerumbet</t>
        </is>
      </c>
      <c r="E82" t="inlineStr">
        <is>
          <t>cox/nf-kb inhibition; gaba_a_modulation; multi-target signaling modulation; muscarinic receptor interaction; nf-kb inhibition</t>
        </is>
      </c>
    </row>
    <row r="83">
      <c r="A83" t="inlineStr">
        <is>
          <t>Inositol phosphate signaling</t>
        </is>
      </c>
      <c r="B83" t="n">
        <v>1</v>
      </c>
      <c r="C83" t="inlineStr">
        <is>
          <t>myo-inositol</t>
        </is>
      </c>
      <c r="F83" t="inlineStr">
        <is>
          <t>moderate</t>
        </is>
      </c>
    </row>
    <row r="84">
      <c r="A84" t="inlineStr">
        <is>
          <t>Kennedy pathway / phosphatidylcholine biosynthesis</t>
        </is>
      </c>
      <c r="B84" t="n">
        <v>1</v>
      </c>
      <c r="C84" t="inlineStr">
        <is>
          <t>citicoline (CDP-choline)</t>
        </is>
      </c>
      <c r="F84" t="inlineStr">
        <is>
          <t>High</t>
        </is>
      </c>
    </row>
    <row r="85">
      <c r="A85" t="inlineStr">
        <is>
          <t>kynurenine pathway</t>
        </is>
      </c>
      <c r="B85" t="n">
        <v>1</v>
      </c>
      <c r="C85" t="inlineStr">
        <is>
          <t>L-tryptophan</t>
        </is>
      </c>
      <c r="F85" t="inlineStr">
        <is>
          <t>Moderate</t>
        </is>
      </c>
    </row>
    <row r="86">
      <c r="A86" t="inlineStr">
        <is>
          <t>LOX</t>
        </is>
      </c>
      <c r="B86" t="n">
        <v>1</v>
      </c>
      <c r="C86" t="inlineStr">
        <is>
          <t>rosmarinic acid</t>
        </is>
      </c>
      <c r="D86" t="inlineStr">
        <is>
          <t>holy-basil; lemon-balm</t>
        </is>
      </c>
      <c r="E86" t="inlineStr">
        <is>
          <t>inflammatory_pathway_modulation; oxidative_stress_modulation; gaba_a_modulation</t>
        </is>
      </c>
      <c r="F86" t="inlineStr">
        <is>
          <t>High</t>
        </is>
      </c>
    </row>
    <row r="87">
      <c r="A87" t="inlineStr">
        <is>
          <t>LOX inhibition</t>
        </is>
      </c>
      <c r="B87" t="n">
        <v>1</v>
      </c>
      <c r="C87" t="inlineStr">
        <is>
          <t>baicalein</t>
        </is>
      </c>
      <c r="D87" t="inlineStr">
        <is>
          <t>scutellaria-baicalensis; scutellaria-lateriflora</t>
        </is>
      </c>
      <c r="E87" t="inlineStr">
        <is>
          <t>gaba_a_modulation; multi-target signaling modulation</t>
        </is>
      </c>
    </row>
    <row r="88">
      <c r="A88" t="inlineStr">
        <is>
          <t>MAO-A</t>
        </is>
      </c>
      <c r="B88" t="n">
        <v>1</v>
      </c>
      <c r="C88" t="inlineStr">
        <is>
          <t>rosiridin</t>
        </is>
      </c>
      <c r="D88" t="inlineStr">
        <is>
          <t>rhodiola-rosea</t>
        </is>
      </c>
      <c r="E88" t="inlineStr">
        <is>
          <t>adaptogen; monoamine oxidase modulation; multi-target signaling modulation</t>
        </is>
      </c>
      <c r="F88" t="inlineStr">
        <is>
          <t>Moderate</t>
        </is>
      </c>
    </row>
    <row r="89">
      <c r="A89" t="inlineStr">
        <is>
          <t>MAO-B</t>
        </is>
      </c>
      <c r="B89" t="n">
        <v>1</v>
      </c>
      <c r="C89" t="inlineStr">
        <is>
          <t>rosiridin</t>
        </is>
      </c>
      <c r="D89" t="inlineStr">
        <is>
          <t>rhodiola-rosea</t>
        </is>
      </c>
      <c r="E89" t="inlineStr">
        <is>
          <t>adaptogen; monoamine oxidase modulation; multi-target signaling modulation</t>
        </is>
      </c>
      <c r="F89" t="inlineStr">
        <is>
          <t>Moderate</t>
        </is>
      </c>
    </row>
    <row r="90">
      <c r="A90" t="inlineStr">
        <is>
          <t>MAPK pathway</t>
        </is>
      </c>
      <c r="B90" t="n">
        <v>1</v>
      </c>
      <c r="C90" t="inlineStr">
        <is>
          <t>aloe-emodin</t>
        </is>
      </c>
      <c r="D90" t="inlineStr">
        <is>
          <t>cassia-alata; cassia-occidentalis</t>
        </is>
      </c>
      <c r="E90" t="inlineStr">
        <is>
          <t>multi-target signaling modulation</t>
        </is>
      </c>
    </row>
    <row r="91">
      <c r="A91" t="inlineStr">
        <is>
          <t>MAPK pathway inhibition</t>
        </is>
      </c>
      <c r="B91" t="n">
        <v>1</v>
      </c>
      <c r="C91" t="inlineStr">
        <is>
          <t>luteolin</t>
        </is>
      </c>
      <c r="D91" t="inlineStr">
        <is>
          <t>lonicera-japonica</t>
        </is>
      </c>
      <c r="E91" t="inlineStr">
        <is>
          <t>multi-target signaling modulation</t>
        </is>
      </c>
    </row>
    <row r="92">
      <c r="A92" t="inlineStr">
        <is>
          <t>melanin synthesis</t>
        </is>
      </c>
      <c r="B92" t="n">
        <v>1</v>
      </c>
      <c r="C92" t="inlineStr">
        <is>
          <t>L-tyrosine</t>
        </is>
      </c>
      <c r="F92" t="inlineStr">
        <is>
          <t>High</t>
        </is>
      </c>
    </row>
    <row r="93">
      <c r="A93" t="inlineStr">
        <is>
          <t>melatonin precursor biology</t>
        </is>
      </c>
      <c r="B93" t="n">
        <v>1</v>
      </c>
      <c r="C93" t="inlineStr">
        <is>
          <t>5-hydroxytryptophan (5-HTP)</t>
        </is>
      </c>
      <c r="D93" t="inlineStr">
        <is>
          <t>griffonia-simplicifolia</t>
        </is>
      </c>
      <c r="E93" t="inlineStr">
        <is>
          <t>serotonergic modulation</t>
        </is>
      </c>
      <c r="F93" t="inlineStr">
        <is>
          <t>High</t>
        </is>
      </c>
    </row>
    <row r="94">
      <c r="A94" t="inlineStr">
        <is>
          <t>membrane phosphatide synthesis</t>
        </is>
      </c>
      <c r="B94" t="n">
        <v>1</v>
      </c>
      <c r="C94" t="inlineStr">
        <is>
          <t>uridine monophosphate (UMP)</t>
        </is>
      </c>
      <c r="F94" t="inlineStr">
        <is>
          <t>Moderate</t>
        </is>
      </c>
    </row>
    <row r="95">
      <c r="A95" t="inlineStr">
        <is>
          <t>membrane phospholipid turnover</t>
        </is>
      </c>
      <c r="B95" t="n">
        <v>1</v>
      </c>
      <c r="C95" t="inlineStr">
        <is>
          <t>citicoline (CDP-choline)</t>
        </is>
      </c>
      <c r="F95" t="inlineStr">
        <is>
          <t>High</t>
        </is>
      </c>
    </row>
    <row r="96">
      <c r="A96" t="inlineStr">
        <is>
          <t>Metallothionein</t>
        </is>
      </c>
      <c r="B96" t="n">
        <v>1</v>
      </c>
      <c r="C96" t="inlineStr">
        <is>
          <t>zinc</t>
        </is>
      </c>
    </row>
    <row r="97">
      <c r="A97" t="inlineStr">
        <is>
          <t>Methylation pathways</t>
        </is>
      </c>
      <c r="B97" t="n">
        <v>2</v>
      </c>
      <c r="C97" t="inlineStr">
        <is>
          <t>choline; s-adenosyl-l-methionine (same)</t>
        </is>
      </c>
      <c r="D97" t="inlineStr">
        <is>
          <t>capsella-bursa-pastoris</t>
        </is>
      </c>
      <c r="E97" t="inlineStr">
        <is>
          <t>multi-target signaling modulation</t>
        </is>
      </c>
      <c r="F97" t="inlineStr">
        <is>
          <t>high</t>
        </is>
      </c>
    </row>
    <row r="98">
      <c r="A98" t="inlineStr">
        <is>
          <t>Mitochondrial beta-oxidation</t>
        </is>
      </c>
      <c r="B98" t="n">
        <v>1</v>
      </c>
      <c r="C98" t="inlineStr">
        <is>
          <t>acetyl-L-carnitine</t>
        </is>
      </c>
      <c r="F98" t="inlineStr">
        <is>
          <t>moderate</t>
        </is>
      </c>
    </row>
    <row r="99">
      <c r="A99" t="inlineStr">
        <is>
          <t>mitochondrial complex I inhibition</t>
        </is>
      </c>
      <c r="B99" t="n">
        <v>1</v>
      </c>
      <c r="C99" t="inlineStr">
        <is>
          <t>berberine</t>
        </is>
      </c>
      <c r="D99" t="inlineStr">
        <is>
          <t>argemone-mexicana; berberis-vulgaris; chelidonium-majus; coptis-chinensis; hydrastis-canadensis; phellodendron-amurense</t>
        </is>
      </c>
      <c r="E99" t="inlineStr">
        <is>
          <t>multi-target signaling modulation</t>
        </is>
      </c>
      <c r="F99" t="inlineStr">
        <is>
          <t>High</t>
        </is>
      </c>
    </row>
    <row r="100">
      <c r="A100" t="inlineStr">
        <is>
          <t>monoamine signaling</t>
        </is>
      </c>
      <c r="B100" t="n">
        <v>1</v>
      </c>
      <c r="C100" t="inlineStr">
        <is>
          <t>rosavin</t>
        </is>
      </c>
      <c r="D100" t="inlineStr">
        <is>
          <t>rhodiola-rosea</t>
        </is>
      </c>
      <c r="E100" t="inlineStr">
        <is>
          <t>adaptogen; serotonergic; dopaminergic</t>
        </is>
      </c>
      <c r="F100" t="inlineStr">
        <is>
          <t>Medium</t>
        </is>
      </c>
    </row>
    <row r="101">
      <c r="A101" t="inlineStr">
        <is>
          <t>monoamine_oxidase_inhibition</t>
        </is>
      </c>
      <c r="B101" t="n">
        <v>4</v>
      </c>
      <c r="C101" t="inlineStr">
        <is>
          <t>harmaline; harmine; tetrahydroharmine; vitexin</t>
        </is>
      </c>
      <c r="D101" t="inlineStr">
        <is>
          <t>banisteriopsis-caapi; peganum-harmala; amorpha-fruticosa; passiflora-incarnata</t>
        </is>
      </c>
      <c r="E101" t="inlineStr">
        <is>
          <t>multi-target signaling modulation; muscarinic receptor interaction</t>
        </is>
      </c>
    </row>
    <row r="102">
      <c r="A102" t="inlineStr">
        <is>
          <t>MT1 receptor agonism</t>
        </is>
      </c>
      <c r="B102" t="n">
        <v>1</v>
      </c>
      <c r="C102" t="inlineStr">
        <is>
          <t>melatonin</t>
        </is>
      </c>
      <c r="F102" t="inlineStr">
        <is>
          <t>high</t>
        </is>
      </c>
    </row>
    <row r="103">
      <c r="A103" t="inlineStr">
        <is>
          <t>MT2 receptor agonism</t>
        </is>
      </c>
      <c r="B103" t="n">
        <v>1</v>
      </c>
      <c r="C103" t="inlineStr">
        <is>
          <t>melatonin</t>
        </is>
      </c>
      <c r="F103" t="inlineStr">
        <is>
          <t>high</t>
        </is>
      </c>
    </row>
    <row r="104">
      <c r="A104" t="inlineStr">
        <is>
          <t>MTF-1</t>
        </is>
      </c>
      <c r="B104" t="n">
        <v>1</v>
      </c>
      <c r="C104" t="inlineStr">
        <is>
          <t>zinc</t>
        </is>
      </c>
    </row>
    <row r="105">
      <c r="A105" t="inlineStr">
        <is>
          <t>mTOR</t>
        </is>
      </c>
      <c r="B105" t="n">
        <v>1</v>
      </c>
      <c r="C105" t="inlineStr">
        <is>
          <t>ursolic acid</t>
        </is>
      </c>
      <c r="D105" t="inlineStr">
        <is>
          <t>holy-basil</t>
        </is>
      </c>
      <c r="E105" t="inlineStr">
        <is>
          <t>inflammatory_pathway_modulation; metabolic modulation; multi-target signaling modulation</t>
        </is>
      </c>
      <c r="F105" t="inlineStr">
        <is>
          <t>Medium</t>
        </is>
      </c>
    </row>
    <row r="106">
      <c r="A106" t="inlineStr">
        <is>
          <t>mucolytic disulfide-bond reduction</t>
        </is>
      </c>
      <c r="B106" t="n">
        <v>1</v>
      </c>
      <c r="C106" t="inlineStr">
        <is>
          <t>n-acetylcysteine (nac)</t>
        </is>
      </c>
      <c r="F106" t="inlineStr">
        <is>
          <t>high</t>
        </is>
      </c>
    </row>
    <row r="107">
      <c r="A107" t="inlineStr">
        <is>
          <t>NAD/NADP-dependent redox metabolism</t>
        </is>
      </c>
      <c r="B107" t="n">
        <v>1</v>
      </c>
      <c r="C107" t="inlineStr">
        <is>
          <t>niacin</t>
        </is>
      </c>
      <c r="F107" t="inlineStr">
        <is>
          <t>High</t>
        </is>
      </c>
    </row>
    <row r="108">
      <c r="A108" t="inlineStr">
        <is>
          <t>neuroinflammation-related signaling</t>
        </is>
      </c>
      <c r="B108" t="n">
        <v>1</v>
      </c>
      <c r="C108" t="inlineStr">
        <is>
          <t>withanolide A</t>
        </is>
      </c>
      <c r="D108" t="inlineStr">
        <is>
          <t>ashwagandha</t>
        </is>
      </c>
      <c r="E108" t="inlineStr">
        <is>
          <t>inflammatory_pathway_modulation; neuroprotective; multi-target signaling modulation</t>
        </is>
      </c>
      <c r="F108" t="inlineStr">
        <is>
          <t>Moderate</t>
        </is>
      </c>
    </row>
    <row r="109">
      <c r="A109" t="inlineStr">
        <is>
          <t>neuroregeneration-related signaling</t>
        </is>
      </c>
      <c r="B109" t="n">
        <v>2</v>
      </c>
      <c r="C109" t="inlineStr">
        <is>
          <t>withanoside IV; withanoside V</t>
        </is>
      </c>
      <c r="D109" t="inlineStr">
        <is>
          <t>ashwagandha</t>
        </is>
      </c>
      <c r="E109" t="inlineStr">
        <is>
          <t>neuroprotective; adaptogen; multi-target signaling modulation</t>
        </is>
      </c>
      <c r="F109" t="inlineStr">
        <is>
          <t>Moderate</t>
        </is>
      </c>
    </row>
    <row r="110">
      <c r="A110" t="inlineStr">
        <is>
          <t>neurotransmitter biosynthesis</t>
        </is>
      </c>
      <c r="B110" t="n">
        <v>1</v>
      </c>
      <c r="C110" t="inlineStr">
        <is>
          <t>pyridoxine</t>
        </is>
      </c>
      <c r="F110" t="inlineStr">
        <is>
          <t>High</t>
        </is>
      </c>
    </row>
    <row r="111">
      <c r="A111" t="inlineStr">
        <is>
          <t>NF-kB</t>
        </is>
      </c>
      <c r="B111" t="n">
        <v>3</v>
      </c>
      <c r="C111" t="inlineStr">
        <is>
          <t>ursolic acid; actein; 23-epi-26-deoxyactein</t>
        </is>
      </c>
      <c r="D111" t="inlineStr">
        <is>
          <t>holy-basil; black-cohosh</t>
        </is>
      </c>
      <c r="E111" t="inlineStr">
        <is>
          <t>inflammatory_pathway_modulation; metabolic modulation; multi-target signaling modulation</t>
        </is>
      </c>
      <c r="F111" t="inlineStr">
        <is>
          <t>Medium</t>
        </is>
      </c>
    </row>
    <row r="112">
      <c r="A112" t="inlineStr">
        <is>
          <t>NF-kB inhibition</t>
        </is>
      </c>
      <c r="B112" t="n">
        <v>4</v>
      </c>
      <c r="C112" t="inlineStr">
        <is>
          <t>aloe-emodin; baicalein; curcuminoids; luteolin</t>
        </is>
      </c>
      <c r="D112" t="inlineStr">
        <is>
          <t>cassia-alata; cassia-occidentalis; scutellaria-baicalensis; scutellaria-lateriflora; lonicera-japonica</t>
        </is>
      </c>
      <c r="E112" t="inlineStr">
        <is>
          <t>multi-target signaling modulation; gaba_a_modulation</t>
        </is>
      </c>
    </row>
    <row r="113">
      <c r="A113" t="inlineStr">
        <is>
          <t>NF-kB modulation</t>
        </is>
      </c>
      <c r="B113" t="n">
        <v>2</v>
      </c>
      <c r="C113" t="inlineStr">
        <is>
          <t>ellagic acid; hesperidin</t>
        </is>
      </c>
      <c r="D113" t="inlineStr">
        <is>
          <t>punica-granatum; vachellia-nilotica</t>
        </is>
      </c>
      <c r="E113" t="inlineStr">
        <is>
          <t>multi-target signaling modulation</t>
        </is>
      </c>
    </row>
    <row r="114">
      <c r="A114" t="inlineStr">
        <is>
          <t>NF-kB pathway inhibition</t>
        </is>
      </c>
      <c r="B114" t="n">
        <v>5</v>
      </c>
      <c r="C114" t="inlineStr">
        <is>
          <t>berberine; curcumin; emodin; quercetin; resveratrol</t>
        </is>
      </c>
      <c r="D114" t="inlineStr">
        <is>
          <t>argemone-mexicana; berberis-vulgaris; chelidonium-majus; coptis-chinensis; hydrastis-canadensis; phellodendron-amurense; turmeric; cassia-occidentalis; polygonum-multiflorum; rheum-palmatum; st-johns-wort</t>
        </is>
      </c>
      <c r="E114" t="inlineStr">
        <is>
          <t>multi-target signaling modulation; nf-kb inhibition; muscarinic receptor interaction</t>
        </is>
      </c>
      <c r="F114" t="inlineStr">
        <is>
          <t>High; moderate</t>
        </is>
      </c>
    </row>
    <row r="115">
      <c r="A115" t="inlineStr">
        <is>
          <t>NF-kB pathway modulation</t>
        </is>
      </c>
      <c r="B115" t="n">
        <v>1</v>
      </c>
      <c r="C115" t="inlineStr">
        <is>
          <t>carvacrol</t>
        </is>
      </c>
      <c r="D115" t="inlineStr">
        <is>
          <t>monarda-fistulosa; origanum-vulgare; thymus-vulgaris</t>
        </is>
      </c>
      <c r="E115" t="inlineStr">
        <is>
          <t>multi-target signaling modulation</t>
        </is>
      </c>
      <c r="F115" t="inlineStr">
        <is>
          <t>moderate</t>
        </is>
      </c>
    </row>
    <row r="116">
      <c r="A116" t="inlineStr">
        <is>
          <t>NF-κB modulation</t>
        </is>
      </c>
      <c r="B116" t="n">
        <v>1</v>
      </c>
      <c r="C116" t="inlineStr">
        <is>
          <t>cimifugoside</t>
        </is>
      </c>
      <c r="D116" t="inlineStr">
        <is>
          <t>black-cohosh</t>
        </is>
      </c>
      <c r="E116" t="inlineStr">
        <is>
          <t>inflammatory_pathway_modulation; hormonal</t>
        </is>
      </c>
      <c r="F116" t="inlineStr">
        <is>
          <t>Medium</t>
        </is>
      </c>
    </row>
    <row r="117">
      <c r="A117" t="inlineStr">
        <is>
          <t>NFkB</t>
        </is>
      </c>
      <c r="B117" t="n">
        <v>7</v>
      </c>
      <c r="C117" t="inlineStr">
        <is>
          <t>withaferin A; sciadopitysin; silybin A; silybin B; isosilybin A; isosilybin B; 1,8-cineole</t>
        </is>
      </c>
      <c r="D117" t="inlineStr">
        <is>
          <t>ashwagandha; ginkgo-biloba; milk-thistle; peppermint; eucalyptus</t>
        </is>
      </c>
      <c r="E117" t="inlineStr">
        <is>
          <t>inflammatory_pathway_modulation; multi-target signaling modulation; oxidative_stress_modulation; hepatoprotective; cytoprotective; respiratory_support</t>
        </is>
      </c>
      <c r="F117" t="inlineStr">
        <is>
          <t>Moderate-High; Moderate</t>
        </is>
      </c>
    </row>
    <row r="118">
      <c r="A118" t="inlineStr">
        <is>
          <t>NFKB1 pathway</t>
        </is>
      </c>
      <c r="B118" t="n">
        <v>1</v>
      </c>
      <c r="C118" t="inlineStr">
        <is>
          <t>curcumin</t>
        </is>
      </c>
      <c r="D118" t="inlineStr">
        <is>
          <t>turmeric</t>
        </is>
      </c>
      <c r="E118" t="inlineStr">
        <is>
          <t>nf-kb inhibition</t>
        </is>
      </c>
      <c r="F118" t="inlineStr">
        <is>
          <t>moderate</t>
        </is>
      </c>
    </row>
    <row r="119">
      <c r="A119" t="inlineStr">
        <is>
          <t>nitric oxide</t>
        </is>
      </c>
      <c r="B119" t="n">
        <v>2</v>
      </c>
      <c r="C119" t="inlineStr">
        <is>
          <t>actein; 23-epi-26-deoxyactein</t>
        </is>
      </c>
      <c r="D119" t="inlineStr">
        <is>
          <t>black-cohosh</t>
        </is>
      </c>
      <c r="E119" t="inlineStr">
        <is>
          <t>inflammatory_pathway_modulation; multi-target signaling modulation</t>
        </is>
      </c>
      <c r="F119" t="inlineStr">
        <is>
          <t>Medium</t>
        </is>
      </c>
    </row>
    <row r="120">
      <c r="A120" t="inlineStr">
        <is>
          <t>nitric oxide signaling</t>
        </is>
      </c>
      <c r="B120" t="n">
        <v>1</v>
      </c>
      <c r="C120" t="inlineStr">
        <is>
          <t>S-allyl-cysteine</t>
        </is>
      </c>
      <c r="D120" t="inlineStr">
        <is>
          <t>garlic</t>
        </is>
      </c>
      <c r="E120" t="inlineStr">
        <is>
          <t>oxidative_stress_modulation; cardiovascular_support</t>
        </is>
      </c>
      <c r="F120" t="inlineStr">
        <is>
          <t>Moderate</t>
        </is>
      </c>
    </row>
    <row r="121">
      <c r="A121" t="inlineStr">
        <is>
          <t>nitric oxide/inflammatory signaling</t>
        </is>
      </c>
      <c r="B121" t="n">
        <v>1</v>
      </c>
      <c r="C121" t="inlineStr">
        <is>
          <t>bilobetin</t>
        </is>
      </c>
      <c r="D121" t="inlineStr">
        <is>
          <t>ginkgo-biloba</t>
        </is>
      </c>
      <c r="E121" t="inlineStr">
        <is>
          <t>inflammatory_pathway_modulation; oxidative_stress_modulation</t>
        </is>
      </c>
      <c r="F121" t="inlineStr">
        <is>
          <t>Low-Moderate</t>
        </is>
      </c>
    </row>
    <row r="122">
      <c r="A122" t="inlineStr">
        <is>
          <t>NRF2</t>
        </is>
      </c>
      <c r="B122" t="n">
        <v>2</v>
      </c>
      <c r="C122" t="inlineStr">
        <is>
          <t>withanolide A; tyrosol</t>
        </is>
      </c>
      <c r="D122" t="inlineStr">
        <is>
          <t>ashwagandha; rhodiola-rosea</t>
        </is>
      </c>
      <c r="E122" t="inlineStr">
        <is>
          <t>inflammatory_pathway_modulation; neuroprotective; multi-target signaling modulation; oxidative_stress_modulation; cytoprotective</t>
        </is>
      </c>
      <c r="F122" t="inlineStr">
        <is>
          <t>Moderate</t>
        </is>
      </c>
    </row>
    <row r="123">
      <c r="A123" t="inlineStr">
        <is>
          <t>NRF2 activation</t>
        </is>
      </c>
      <c r="B123" t="n">
        <v>1</v>
      </c>
      <c r="C123" t="inlineStr">
        <is>
          <t>sulforaphane</t>
        </is>
      </c>
    </row>
    <row r="124">
      <c r="A124" t="inlineStr">
        <is>
          <t>NRF2 pathway activation</t>
        </is>
      </c>
      <c r="B124" t="n">
        <v>2</v>
      </c>
      <c r="C124" t="inlineStr">
        <is>
          <t>curcumin; quercetin</t>
        </is>
      </c>
      <c r="D124" t="inlineStr">
        <is>
          <t>turmeric; st-johns-wort</t>
        </is>
      </c>
      <c r="E124" t="inlineStr">
        <is>
          <t>nf-kb inhibition; multi-target signaling modulation; muscarinic receptor interaction</t>
        </is>
      </c>
      <c r="F124" t="inlineStr">
        <is>
          <t>moderate</t>
        </is>
      </c>
    </row>
    <row r="125">
      <c r="A125" t="inlineStr">
        <is>
          <t>NRF2-associated signaling</t>
        </is>
      </c>
      <c r="B125" t="n">
        <v>3</v>
      </c>
      <c r="C125" t="inlineStr">
        <is>
          <t>silybin A; silybin B; hydroxytyrosol</t>
        </is>
      </c>
      <c r="D125" t="inlineStr">
        <is>
          <t>milk-thistle</t>
        </is>
      </c>
      <c r="E125" t="inlineStr">
        <is>
          <t>inflammatory_pathway_modulation; oxidative_stress_modulation; hepatoprotective; multi-target signaling modulation</t>
        </is>
      </c>
      <c r="F125" t="inlineStr">
        <is>
          <t>Moderate; Moderate-High</t>
        </is>
      </c>
    </row>
    <row r="126">
      <c r="A126" t="inlineStr">
        <is>
          <t>NRF2/ARE pathway activation</t>
        </is>
      </c>
      <c r="B126" t="n">
        <v>1</v>
      </c>
      <c r="C126" t="inlineStr">
        <is>
          <t>salidroside</t>
        </is>
      </c>
      <c r="D126" t="inlineStr">
        <is>
          <t>rhodiola-rosea</t>
        </is>
      </c>
      <c r="E126" t="inlineStr">
        <is>
          <t>adaptogen; oxidative_stress_modulation; multi-target signaling modulation</t>
        </is>
      </c>
      <c r="F126" t="inlineStr">
        <is>
          <t>High</t>
        </is>
      </c>
    </row>
    <row r="127">
      <c r="A127" t="inlineStr">
        <is>
          <t>one-carbon metabolism</t>
        </is>
      </c>
      <c r="B127" t="n">
        <v>1</v>
      </c>
      <c r="C127" t="inlineStr">
        <is>
          <t>pyridoxine</t>
        </is>
      </c>
      <c r="F127" t="inlineStr">
        <is>
          <t>High</t>
        </is>
      </c>
    </row>
    <row r="128">
      <c r="A128" t="inlineStr">
        <is>
          <t>Osmoregulation pathways</t>
        </is>
      </c>
      <c r="B128" t="n">
        <v>1</v>
      </c>
      <c r="C128" t="inlineStr">
        <is>
          <t>taurine</t>
        </is>
      </c>
      <c r="F128" t="inlineStr">
        <is>
          <t>moderate</t>
        </is>
      </c>
    </row>
    <row r="129">
      <c r="A129" t="inlineStr">
        <is>
          <t>oxidative phosphorylation</t>
        </is>
      </c>
      <c r="B129" t="n">
        <v>1</v>
      </c>
      <c r="C129" t="inlineStr">
        <is>
          <t>magnesium</t>
        </is>
      </c>
      <c r="F129" t="inlineStr">
        <is>
          <t>High</t>
        </is>
      </c>
    </row>
    <row r="130">
      <c r="A130" t="inlineStr">
        <is>
          <t>oxidative stress pathways</t>
        </is>
      </c>
      <c r="B130" t="n">
        <v>3</v>
      </c>
      <c r="C130" t="inlineStr">
        <is>
          <t>ellagic acid; S-allyl-cysteine; withanone</t>
        </is>
      </c>
      <c r="D130" t="inlineStr">
        <is>
          <t>punica-granatum; vachellia-nilotica; garlic; ashwagandha</t>
        </is>
      </c>
      <c r="E130" t="inlineStr">
        <is>
          <t>multi-target signaling modulation; oxidative_stress_modulation; cardiovascular_support</t>
        </is>
      </c>
      <c r="F130" t="inlineStr">
        <is>
          <t>Moderate</t>
        </is>
      </c>
    </row>
    <row r="131">
      <c r="A131" t="inlineStr">
        <is>
          <t>oxidative-stress response pathways</t>
        </is>
      </c>
      <c r="B131" t="n">
        <v>4</v>
      </c>
      <c r="C131" t="inlineStr">
        <is>
          <t>tyrosol; hydroxytyrosol; rhodiosin; hydroxytyrosol acetate</t>
        </is>
      </c>
      <c r="D131" t="inlineStr">
        <is>
          <t>rhodiola-rosea</t>
        </is>
      </c>
      <c r="E131" t="inlineStr">
        <is>
          <t>oxidative_stress_modulation; cytoprotective; multi-target signaling modulation; inflammatory_pathway_modulation</t>
        </is>
      </c>
      <c r="F131" t="inlineStr">
        <is>
          <t>Moderate; Moderate-High; Low-Moderate</t>
        </is>
      </c>
    </row>
    <row r="132">
      <c r="A132" t="inlineStr">
        <is>
          <t>oxidative-stress signaling</t>
        </is>
      </c>
      <c r="B132" t="n">
        <v>11</v>
      </c>
      <c r="C132" t="inlineStr">
        <is>
          <t>hypericin; sciadopitysin; flavokavain A; flavokavain B; flavokavain C; silybin A; silybin B; isosilybin A; isosilybin B; isosilychristin; pseudohypericin</t>
        </is>
      </c>
      <c r="D132" t="inlineStr">
        <is>
          <t>st-johns-wort; ginkgo-biloba; kava; milk-thistle</t>
        </is>
      </c>
      <c r="E132" t="inlineStr">
        <is>
          <t>photodynamic activity; oxidative_stress_modulation; inflammatory_pathway_modulation; cytostatic signaling; hepatoprotective; cytoprotective</t>
        </is>
      </c>
      <c r="F132" t="inlineStr">
        <is>
          <t>Moderate; Low-Moderate; Low</t>
        </is>
      </c>
    </row>
    <row r="133">
      <c r="A133" t="inlineStr">
        <is>
          <t>P-glycoprotein induction</t>
        </is>
      </c>
      <c r="B133" t="n">
        <v>1</v>
      </c>
      <c r="C133" t="inlineStr">
        <is>
          <t>hyperforin</t>
        </is>
      </c>
      <c r="D133" t="inlineStr">
        <is>
          <t>st-johns-wort</t>
        </is>
      </c>
      <c r="E133" t="inlineStr">
        <is>
          <t>monoamine reuptake modulation; neuroplasticity modulation; enzyme induction relevance</t>
        </is>
      </c>
      <c r="F133" t="inlineStr">
        <is>
          <t>Moderate-High</t>
        </is>
      </c>
    </row>
    <row r="134">
      <c r="A134" t="inlineStr">
        <is>
          <t>P-gp inhibition</t>
        </is>
      </c>
      <c r="B134" t="n">
        <v>1</v>
      </c>
      <c r="C134" t="inlineStr">
        <is>
          <t>piperine</t>
        </is>
      </c>
    </row>
    <row r="135">
      <c r="A135" t="inlineStr">
        <is>
          <t>p53-related stress signaling</t>
        </is>
      </c>
      <c r="B135" t="n">
        <v>1</v>
      </c>
      <c r="C135" t="inlineStr">
        <is>
          <t>withanone</t>
        </is>
      </c>
      <c r="D135" t="inlineStr">
        <is>
          <t>ashwagandha</t>
        </is>
      </c>
      <c r="E135" t="inlineStr">
        <is>
          <t>multi-target signaling modulation; oxidative_stress_modulation</t>
        </is>
      </c>
      <c r="F135" t="inlineStr">
        <is>
          <t>Moderate</t>
        </is>
      </c>
    </row>
    <row r="136">
      <c r="A136" t="inlineStr">
        <is>
          <t>PAF receptor antagonism</t>
        </is>
      </c>
      <c r="B136" t="n">
        <v>1</v>
      </c>
      <c r="C136" t="inlineStr">
        <is>
          <t>ginkgo biloba (ginkgolides)</t>
        </is>
      </c>
    </row>
    <row r="137">
      <c r="A137" t="inlineStr">
        <is>
          <t>PAFR</t>
        </is>
      </c>
      <c r="B137" t="n">
        <v>4</v>
      </c>
      <c r="C137" t="inlineStr">
        <is>
          <t>ginkgolide A; ginkgolide B; ginkgolide C; ginkgolide J</t>
        </is>
      </c>
      <c r="D137" t="inlineStr">
        <is>
          <t>ginkgo-biloba</t>
        </is>
      </c>
      <c r="E137" t="inlineStr">
        <is>
          <t>paf receptor antagonism; neuroactive ion-channel modulation; inflammatory_pathway_modulation signaling</t>
        </is>
      </c>
      <c r="F137" t="inlineStr">
        <is>
          <t>Moderate</t>
        </is>
      </c>
    </row>
    <row r="138">
      <c r="A138" t="inlineStr">
        <is>
          <t>phase II enzyme induction</t>
        </is>
      </c>
      <c r="B138" t="n">
        <v>1</v>
      </c>
      <c r="C138" t="inlineStr">
        <is>
          <t>sulforaphane</t>
        </is>
      </c>
    </row>
    <row r="139">
      <c r="A139" t="inlineStr">
        <is>
          <t>Phenylalanine hydroxylase pathway</t>
        </is>
      </c>
      <c r="B139" t="n">
        <v>1</v>
      </c>
      <c r="C139" t="inlineStr">
        <is>
          <t>L-phenylalanine</t>
        </is>
      </c>
      <c r="F139" t="inlineStr">
        <is>
          <t>High</t>
        </is>
      </c>
    </row>
    <row r="140">
      <c r="A140" t="inlineStr">
        <is>
          <t>phospholipid metabolism</t>
        </is>
      </c>
      <c r="B140" t="n">
        <v>1</v>
      </c>
      <c r="C140" t="inlineStr">
        <is>
          <t>alpha-GPC (L-alpha-glycerylphosphorylcholine)</t>
        </is>
      </c>
      <c r="F140" t="inlineStr">
        <is>
          <t>Moderate</t>
        </is>
      </c>
    </row>
    <row r="141">
      <c r="A141" t="inlineStr">
        <is>
          <t>Phospholipid metabolism</t>
        </is>
      </c>
      <c r="B141" t="n">
        <v>1</v>
      </c>
      <c r="C141" t="inlineStr">
        <is>
          <t>choline</t>
        </is>
      </c>
      <c r="D141" t="inlineStr">
        <is>
          <t>capsella-bursa-pastoris</t>
        </is>
      </c>
      <c r="E141" t="inlineStr">
        <is>
          <t>multi-target signaling modulation</t>
        </is>
      </c>
      <c r="F141" t="inlineStr">
        <is>
          <t>high</t>
        </is>
      </c>
    </row>
    <row r="142">
      <c r="A142" t="inlineStr">
        <is>
          <t>photosensitization-related pathways</t>
        </is>
      </c>
      <c r="B142" t="n">
        <v>2</v>
      </c>
      <c r="C142" t="inlineStr">
        <is>
          <t>hypericin; pseudohypericin</t>
        </is>
      </c>
      <c r="D142" t="inlineStr">
        <is>
          <t>st-johns-wort</t>
        </is>
      </c>
      <c r="E142" t="inlineStr">
        <is>
          <t>photodynamic activity; oxidative_stress_modulation</t>
        </is>
      </c>
      <c r="F142" t="inlineStr">
        <is>
          <t>Moderate; Low-Moderate</t>
        </is>
      </c>
    </row>
    <row r="143">
      <c r="A143" t="inlineStr">
        <is>
          <t>PI3K signaling pathway</t>
        </is>
      </c>
      <c r="B143" t="n">
        <v>1</v>
      </c>
      <c r="C143" t="inlineStr">
        <is>
          <t>myo-inositol</t>
        </is>
      </c>
      <c r="F143" t="inlineStr">
        <is>
          <t>moderate</t>
        </is>
      </c>
    </row>
    <row r="144">
      <c r="A144" t="inlineStr">
        <is>
          <t>PI3K/Akt pathway modulation</t>
        </is>
      </c>
      <c r="B144" t="n">
        <v>1</v>
      </c>
      <c r="C144" t="inlineStr">
        <is>
          <t>salidroside</t>
        </is>
      </c>
      <c r="D144" t="inlineStr">
        <is>
          <t>rhodiola-rosea</t>
        </is>
      </c>
      <c r="E144" t="inlineStr">
        <is>
          <t>adaptogen; oxidative_stress_modulation; multi-target signaling modulation</t>
        </is>
      </c>
      <c r="F144" t="inlineStr">
        <is>
          <t>High</t>
        </is>
      </c>
    </row>
    <row r="145">
      <c r="A145" t="inlineStr">
        <is>
          <t>PLC signaling</t>
        </is>
      </c>
      <c r="B145" t="n">
        <v>1</v>
      </c>
      <c r="C145" t="inlineStr">
        <is>
          <t>triandrin</t>
        </is>
      </c>
      <c r="D145" t="inlineStr">
        <is>
          <t>rhodiola-rosea</t>
        </is>
      </c>
      <c r="E145" t="inlineStr">
        <is>
          <t>adaptogen; multi-target signaling modulation</t>
        </is>
      </c>
      <c r="F145" t="inlineStr">
        <is>
          <t>Moderate</t>
        </is>
      </c>
    </row>
    <row r="146">
      <c r="A146" t="inlineStr">
        <is>
          <t>PLP/PMP-dependent amino-acid metabolism</t>
        </is>
      </c>
      <c r="B146" t="n">
        <v>1</v>
      </c>
      <c r="C146" t="inlineStr">
        <is>
          <t>pyridoxine</t>
        </is>
      </c>
      <c r="F146" t="inlineStr">
        <is>
          <t>High</t>
        </is>
      </c>
    </row>
    <row r="147">
      <c r="A147" t="inlineStr">
        <is>
          <t>polyamine biosynthesis</t>
        </is>
      </c>
      <c r="B147" t="n">
        <v>1</v>
      </c>
      <c r="C147" t="inlineStr">
        <is>
          <t>s-adenosyl-l-methionine (same)</t>
        </is>
      </c>
    </row>
    <row r="148">
      <c r="A148" t="inlineStr">
        <is>
          <t>PPARA, PPARG</t>
        </is>
      </c>
      <c r="B148" t="n">
        <v>1</v>
      </c>
      <c r="C148" t="inlineStr">
        <is>
          <t>gamma-linolenic acid</t>
        </is>
      </c>
      <c r="D148" t="inlineStr">
        <is>
          <t>borago-officinalis; oenothera-biennis</t>
        </is>
      </c>
      <c r="E148" t="inlineStr">
        <is>
          <t>ppar activation</t>
        </is>
      </c>
    </row>
    <row r="149">
      <c r="A149" t="inlineStr">
        <is>
          <t>prostaglandins</t>
        </is>
      </c>
      <c r="B149" t="n">
        <v>1</v>
      </c>
      <c r="C149" t="inlineStr">
        <is>
          <t>eugenol</t>
        </is>
      </c>
      <c r="D149" t="inlineStr">
        <is>
          <t>holy-basil</t>
        </is>
      </c>
      <c r="E149" t="inlineStr">
        <is>
          <t>inflammatory_pathway_modulation; analgesic; antimicrobial</t>
        </is>
      </c>
      <c r="F149" t="inlineStr">
        <is>
          <t>High</t>
        </is>
      </c>
    </row>
    <row r="150">
      <c r="A150" t="inlineStr">
        <is>
          <t>proteostasis-related pathways</t>
        </is>
      </c>
      <c r="B150" t="n">
        <v>1</v>
      </c>
      <c r="C150" t="inlineStr">
        <is>
          <t>withanone</t>
        </is>
      </c>
      <c r="D150" t="inlineStr">
        <is>
          <t>ashwagandha</t>
        </is>
      </c>
      <c r="E150" t="inlineStr">
        <is>
          <t>multi-target signaling modulation; oxidative_stress_modulation</t>
        </is>
      </c>
      <c r="F150" t="inlineStr">
        <is>
          <t>Moderate</t>
        </is>
      </c>
    </row>
    <row r="151">
      <c r="A151" t="inlineStr">
        <is>
          <t>PTGS1, PTGS2 (COX-1, COX-2)</t>
        </is>
      </c>
      <c r="B151" t="n">
        <v>2</v>
      </c>
      <c r="C151" t="inlineStr">
        <is>
          <t>methyl salicylate; salicylic acid</t>
        </is>
      </c>
      <c r="D151" t="inlineStr">
        <is>
          <t>chimaphila-umbellata; viola-odorata; alchemilla-vulgaris</t>
        </is>
      </c>
      <c r="E151" t="inlineStr">
        <is>
          <t>cox inhibition</t>
        </is>
      </c>
    </row>
    <row r="152">
      <c r="A152" t="inlineStr">
        <is>
          <t>Pyrimidine salvage pathway</t>
        </is>
      </c>
      <c r="B152" t="n">
        <v>1</v>
      </c>
      <c r="C152" t="inlineStr">
        <is>
          <t>uridine monophosphate (UMP)</t>
        </is>
      </c>
      <c r="F152" t="inlineStr">
        <is>
          <t>Moderate</t>
        </is>
      </c>
    </row>
    <row r="153">
      <c r="A153" t="inlineStr">
        <is>
          <t>reactive metabolite formation</t>
        </is>
      </c>
      <c r="B153" t="n">
        <v>2</v>
      </c>
      <c r="C153" t="inlineStr">
        <is>
          <t>menthofuran; pulegone</t>
        </is>
      </c>
      <c r="D153" t="inlineStr">
        <is>
          <t>peppermint</t>
        </is>
      </c>
      <c r="E153" t="inlineStr">
        <is>
          <t>hepatotoxicity_risk; metabolic_activation; hepatotoxicity risk; metabolic activation</t>
        </is>
      </c>
      <c r="F153" t="inlineStr">
        <is>
          <t>Moderate</t>
        </is>
      </c>
    </row>
    <row r="154">
      <c r="A154" t="inlineStr">
        <is>
          <t>reactive oxygen species</t>
        </is>
      </c>
      <c r="B154" t="n">
        <v>1</v>
      </c>
      <c r="C154" t="inlineStr">
        <is>
          <t>rosmarinic acid</t>
        </is>
      </c>
      <c r="D154" t="inlineStr">
        <is>
          <t>holy-basil; lemon-balm</t>
        </is>
      </c>
      <c r="E154" t="inlineStr">
        <is>
          <t>inflammatory_pathway_modulation; oxidative_stress_modulation; gaba_a_modulation</t>
        </is>
      </c>
      <c r="F154" t="inlineStr">
        <is>
          <t>High</t>
        </is>
      </c>
    </row>
    <row r="155">
      <c r="A155" t="inlineStr">
        <is>
          <t>redox signaling modulation</t>
        </is>
      </c>
      <c r="B155" t="n">
        <v>1</v>
      </c>
      <c r="C155" t="inlineStr">
        <is>
          <t>n-acetylcysteine (nac)</t>
        </is>
      </c>
      <c r="F155" t="inlineStr">
        <is>
          <t>high</t>
        </is>
      </c>
    </row>
    <row r="156">
      <c r="A156" t="inlineStr">
        <is>
          <t>selenoprotein P</t>
        </is>
      </c>
      <c r="B156" t="n">
        <v>1</v>
      </c>
      <c r="C156" t="inlineStr">
        <is>
          <t>selenium</t>
        </is>
      </c>
      <c r="F156" t="inlineStr">
        <is>
          <t>High</t>
        </is>
      </c>
    </row>
    <row r="157">
      <c r="A157" t="inlineStr">
        <is>
          <t>serotonergic_5HT2A_agonism</t>
        </is>
      </c>
      <c r="B157" t="n">
        <v>14</v>
      </c>
      <c r="C157" t="inlineStr">
        <is>
          <t>5-meo-dmt; bufotenin; dmt; harmaline; harmine; lsd (ergoline derivative); mescaline; mescaline derivative; n-dimethyltryptamine (dmt); n-methyltryptamine (nmt); psilocin; psilocybin; tetrahydroharmine; tryptamine</t>
        </is>
      </c>
      <c r="D157" t="inlineStr">
        <is>
          <t>anadenanthera-colubrina; anadenanthera-colubrina-ceb-l; anadenanthera-peregrina; piptadenia-peregrina; virola-calophylla; virola-elongata; virola-sebifera; virola-spp.; banisteriopsis-caapi; peganum-harmala; lsd; lophophora-williamsii; trichocereus-bridgesii; mescaline; acacia-confusa; acacia-maidenii; acacia-phlebophylla; diplopterys-cabrerana; psychotria-viridis; psilocybe-mexicana; psilocybin; phalaris-arundinacea</t>
        </is>
      </c>
      <c r="E157" t="inlineStr">
        <is>
          <t>serotonin receptor interaction; multi-target signaling modulation; serotonergic modulation</t>
        </is>
      </c>
    </row>
    <row r="158">
      <c r="A158" t="inlineStr">
        <is>
          <t>serotonin biosynthesis</t>
        </is>
      </c>
      <c r="B158" t="n">
        <v>2</v>
      </c>
      <c r="C158" t="inlineStr">
        <is>
          <t>5-hydroxytryptophan (5-HTP); L-tryptophan</t>
        </is>
      </c>
      <c r="D158" t="inlineStr">
        <is>
          <t>griffonia-simplicifolia</t>
        </is>
      </c>
      <c r="E158" t="inlineStr">
        <is>
          <t>serotonergic modulation</t>
        </is>
      </c>
      <c r="F158" t="inlineStr">
        <is>
          <t>High; Moderate</t>
        </is>
      </c>
    </row>
    <row r="159">
      <c r="A159" t="inlineStr">
        <is>
          <t>serotonin/norepinephrine/dopamine reuptake-related pathways</t>
        </is>
      </c>
      <c r="B159" t="n">
        <v>1</v>
      </c>
      <c r="C159" t="inlineStr">
        <is>
          <t>hyperforin</t>
        </is>
      </c>
      <c r="D159" t="inlineStr">
        <is>
          <t>st-johns-wort</t>
        </is>
      </c>
      <c r="E159" t="inlineStr">
        <is>
          <t>monoamine reuptake modulation; neuroplasticity modulation; enzyme induction relevance</t>
        </is>
      </c>
      <c r="F159" t="inlineStr">
        <is>
          <t>Moderate-High</t>
        </is>
      </c>
    </row>
    <row r="160">
      <c r="A160" t="inlineStr">
        <is>
          <t>short-chain fatty acid production</t>
        </is>
      </c>
      <c r="B160" t="n">
        <v>1</v>
      </c>
      <c r="C160" t="inlineStr">
        <is>
          <t>probiotics</t>
        </is>
      </c>
      <c r="F160" t="inlineStr">
        <is>
          <t>moderate</t>
        </is>
      </c>
    </row>
    <row r="161">
      <c r="A161" t="inlineStr">
        <is>
          <t>SIRT1 activation</t>
        </is>
      </c>
      <c r="B161" t="n">
        <v>1</v>
      </c>
      <c r="C161" t="inlineStr">
        <is>
          <t>resveratrol</t>
        </is>
      </c>
      <c r="F161" t="inlineStr">
        <is>
          <t>moderate</t>
        </is>
      </c>
    </row>
    <row r="162">
      <c r="A162" t="inlineStr">
        <is>
          <t>specialized pro-resolving mediator pathways</t>
        </is>
      </c>
      <c r="B162" t="n">
        <v>1</v>
      </c>
      <c r="C162" t="inlineStr">
        <is>
          <t>omega-3 fatty acids</t>
        </is>
      </c>
    </row>
    <row r="163">
      <c r="A163" t="inlineStr">
        <is>
          <t>synaptic acetylcholine increase</t>
        </is>
      </c>
      <c r="B163" t="n">
        <v>1</v>
      </c>
      <c r="C163" t="inlineStr">
        <is>
          <t>huperzine A</t>
        </is>
      </c>
      <c r="D163" t="inlineStr">
        <is>
          <t>huperzia-serrata</t>
        </is>
      </c>
      <c r="E163" t="inlineStr">
        <is>
          <t>muscarinic receptor interaction</t>
        </is>
      </c>
      <c r="F163" t="inlineStr">
        <is>
          <t>High</t>
        </is>
      </c>
    </row>
    <row r="164">
      <c r="A164" t="inlineStr">
        <is>
          <t>thioredoxin reductase systems</t>
        </is>
      </c>
      <c r="B164" t="n">
        <v>1</v>
      </c>
      <c r="C164" t="inlineStr">
        <is>
          <t>selenium</t>
        </is>
      </c>
      <c r="F164" t="inlineStr">
        <is>
          <t>High</t>
        </is>
      </c>
    </row>
    <row r="165">
      <c r="A165" t="inlineStr">
        <is>
          <t>thyroid hormone precursor biology</t>
        </is>
      </c>
      <c r="B165" t="n">
        <v>1</v>
      </c>
      <c r="C165" t="inlineStr">
        <is>
          <t>N-acetyl-L-tyrosine</t>
        </is>
      </c>
      <c r="F165" t="inlineStr">
        <is>
          <t>Moderate</t>
        </is>
      </c>
    </row>
    <row r="166">
      <c r="A166" t="inlineStr">
        <is>
          <t>thyroid hormone T4-to-T3 conversion</t>
        </is>
      </c>
      <c r="B166" t="n">
        <v>1</v>
      </c>
      <c r="C166" t="inlineStr">
        <is>
          <t>selenium</t>
        </is>
      </c>
      <c r="F166" t="inlineStr">
        <is>
          <t>High</t>
        </is>
      </c>
    </row>
    <row r="167">
      <c r="A167" t="inlineStr">
        <is>
          <t>TNF-a reduction</t>
        </is>
      </c>
      <c r="B167" t="n">
        <v>1</v>
      </c>
      <c r="C167" t="inlineStr">
        <is>
          <t>citral</t>
        </is>
      </c>
      <c r="D167" t="inlineStr">
        <is>
          <t>lemon-balm</t>
        </is>
      </c>
      <c r="E167" t="inlineStr">
        <is>
          <t>gaba_a_modulation; multi-target signaling modulation</t>
        </is>
      </c>
      <c r="F167" t="inlineStr">
        <is>
          <t>moderate</t>
        </is>
      </c>
    </row>
    <row r="168">
      <c r="A168" t="inlineStr">
        <is>
          <t>transsulfuration pathway</t>
        </is>
      </c>
      <c r="B168" t="n">
        <v>1</v>
      </c>
      <c r="C168" t="inlineStr">
        <is>
          <t>s-adenosyl-l-methionine (same)</t>
        </is>
      </c>
    </row>
    <row r="169">
      <c r="A169" t="inlineStr">
        <is>
          <t>triglyceride synthesis reduction</t>
        </is>
      </c>
      <c r="B169" t="n">
        <v>1</v>
      </c>
      <c r="C169" t="inlineStr">
        <is>
          <t>omega-3 fatty acids</t>
        </is>
      </c>
    </row>
    <row r="170">
      <c r="A170" t="inlineStr">
        <is>
          <t>TRP_M8 agonism</t>
        </is>
      </c>
      <c r="B170" t="n">
        <v>1</v>
      </c>
      <c r="C170" t="inlineStr">
        <is>
          <t>menthol</t>
        </is>
      </c>
      <c r="D170" t="inlineStr">
        <is>
          <t>peppermint</t>
        </is>
      </c>
      <c r="E170" t="inlineStr">
        <is>
          <t>multi-target signaling modulation</t>
        </is>
      </c>
      <c r="F170" t="inlineStr">
        <is>
          <t>high</t>
        </is>
      </c>
    </row>
    <row r="171">
      <c r="A171" t="inlineStr">
        <is>
          <t>TRP_M8 modulation</t>
        </is>
      </c>
      <c r="B171" t="n">
        <v>1</v>
      </c>
      <c r="C171" t="inlineStr">
        <is>
          <t>citral</t>
        </is>
      </c>
      <c r="D171" t="inlineStr">
        <is>
          <t>lemon-balm</t>
        </is>
      </c>
      <c r="E171" t="inlineStr">
        <is>
          <t>gaba_a_modulation; multi-target signaling modulation</t>
        </is>
      </c>
      <c r="F171" t="inlineStr">
        <is>
          <t>moderate</t>
        </is>
      </c>
    </row>
    <row r="172">
      <c r="A172" t="inlineStr">
        <is>
          <t>TRPA1 activation</t>
        </is>
      </c>
      <c r="B172" t="n">
        <v>1</v>
      </c>
      <c r="C172" t="inlineStr">
        <is>
          <t>carvacrol</t>
        </is>
      </c>
      <c r="D172" t="inlineStr">
        <is>
          <t>monarda-fistulosa; origanum-vulgare; thymus-vulgaris</t>
        </is>
      </c>
      <c r="E172" t="inlineStr">
        <is>
          <t>multi-target signaling modulation</t>
        </is>
      </c>
      <c r="F172" t="inlineStr">
        <is>
          <t>moderate</t>
        </is>
      </c>
    </row>
    <row r="173">
      <c r="A173" t="inlineStr">
        <is>
          <t>TRPC6</t>
        </is>
      </c>
      <c r="B173" t="n">
        <v>1</v>
      </c>
      <c r="C173" t="inlineStr">
        <is>
          <t>hyperforin</t>
        </is>
      </c>
      <c r="D173" t="inlineStr">
        <is>
          <t>st-johns-wort</t>
        </is>
      </c>
      <c r="E173" t="inlineStr">
        <is>
          <t>monoamine reuptake modulation; neuroplasticity modulation; enzyme induction relevance</t>
        </is>
      </c>
      <c r="F173" t="inlineStr">
        <is>
          <t>Moderate-High</t>
        </is>
      </c>
    </row>
    <row r="174">
      <c r="A174" t="inlineStr">
        <is>
          <t>TRPM3 modulation</t>
        </is>
      </c>
      <c r="B174" t="n">
        <v>1</v>
      </c>
      <c r="C174" t="inlineStr">
        <is>
          <t>citral</t>
        </is>
      </c>
      <c r="D174" t="inlineStr">
        <is>
          <t>lemon-balm</t>
        </is>
      </c>
      <c r="E174" t="inlineStr">
        <is>
          <t>gaba_a_modulation; multi-target signaling modulation</t>
        </is>
      </c>
      <c r="F174" t="inlineStr">
        <is>
          <t>moderate</t>
        </is>
      </c>
    </row>
    <row r="175">
      <c r="A175" t="inlineStr">
        <is>
          <t>TRPV1</t>
        </is>
      </c>
      <c r="B175" t="n">
        <v>1</v>
      </c>
      <c r="C175" t="inlineStr">
        <is>
          <t>eugenol</t>
        </is>
      </c>
      <c r="D175" t="inlineStr">
        <is>
          <t>holy-basil</t>
        </is>
      </c>
      <c r="E175" t="inlineStr">
        <is>
          <t>inflammatory_pathway_modulation; analgesic; antimicrobial</t>
        </is>
      </c>
      <c r="F175" t="inlineStr">
        <is>
          <t>High</t>
        </is>
      </c>
    </row>
    <row r="176">
      <c r="A176" t="inlineStr">
        <is>
          <t>TRPV1 activation</t>
        </is>
      </c>
      <c r="B176" t="n">
        <v>1</v>
      </c>
      <c r="C176" t="inlineStr">
        <is>
          <t>capsaicin</t>
        </is>
      </c>
      <c r="D176" t="inlineStr">
        <is>
          <t>capsicum-annuum</t>
        </is>
      </c>
      <c r="E176" t="inlineStr">
        <is>
          <t>multi-target signaling modulation</t>
        </is>
      </c>
    </row>
    <row r="177">
      <c r="A177" t="inlineStr">
        <is>
          <t>TRPV1 modulation</t>
        </is>
      </c>
      <c r="B177" t="n">
        <v>1</v>
      </c>
      <c r="C177" t="inlineStr">
        <is>
          <t>citral</t>
        </is>
      </c>
      <c r="D177" t="inlineStr">
        <is>
          <t>lemon-balm</t>
        </is>
      </c>
      <c r="E177" t="inlineStr">
        <is>
          <t>gaba_a_modulation; multi-target signaling modulation</t>
        </is>
      </c>
      <c r="F177" t="inlineStr">
        <is>
          <t>moderate</t>
        </is>
      </c>
    </row>
    <row r="178">
      <c r="A178" t="inlineStr">
        <is>
          <t>TRPV3 activation</t>
        </is>
      </c>
      <c r="B178" t="n">
        <v>1</v>
      </c>
      <c r="C178" t="inlineStr">
        <is>
          <t>carvacrol</t>
        </is>
      </c>
      <c r="D178" t="inlineStr">
        <is>
          <t>monarda-fistulosa; origanum-vulgare; thymus-vulgaris</t>
        </is>
      </c>
      <c r="E178" t="inlineStr">
        <is>
          <t>multi-target signaling modulation</t>
        </is>
      </c>
      <c r="F178" t="inlineStr">
        <is>
          <t>moderate</t>
        </is>
      </c>
    </row>
    <row r="179">
      <c r="A179" t="inlineStr">
        <is>
          <t>Tryptophan hydroxylase pathway</t>
        </is>
      </c>
      <c r="B179" t="n">
        <v>1</v>
      </c>
      <c r="C179" t="inlineStr">
        <is>
          <t>L-tryptophan</t>
        </is>
      </c>
      <c r="F179" t="inlineStr">
        <is>
          <t>Moderate</t>
        </is>
      </c>
    </row>
    <row r="180">
      <c r="A180" t="inlineStr">
        <is>
          <t>tryptophan-to-niacin conversion</t>
        </is>
      </c>
      <c r="B180" t="n">
        <v>1</v>
      </c>
      <c r="C180" t="inlineStr">
        <is>
          <t>riboflavin</t>
        </is>
      </c>
      <c r="F180" t="inlineStr">
        <is>
          <t>High</t>
        </is>
      </c>
    </row>
    <row r="181">
      <c r="A181" t="inlineStr">
        <is>
          <t>tryptophan-to-niacin pathway</t>
        </is>
      </c>
      <c r="B181" t="n">
        <v>1</v>
      </c>
      <c r="C181" t="inlineStr">
        <is>
          <t>niacin</t>
        </is>
      </c>
      <c r="F181" t="inlineStr">
        <is>
          <t>High</t>
        </is>
      </c>
    </row>
    <row r="182">
      <c r="A182" t="inlineStr">
        <is>
          <t>tyrosine biosynthesis</t>
        </is>
      </c>
      <c r="B182" t="n">
        <v>1</v>
      </c>
      <c r="C182" t="inlineStr">
        <is>
          <t>L-phenylalanine</t>
        </is>
      </c>
      <c r="F182" t="inlineStr">
        <is>
          <t>High</t>
        </is>
      </c>
    </row>
    <row r="183">
      <c r="A183" t="inlineStr">
        <is>
          <t>Tyrosine hydroxylase pathway</t>
        </is>
      </c>
      <c r="B183" t="n">
        <v>1</v>
      </c>
      <c r="C183" t="inlineStr">
        <is>
          <t>L-tyrosine</t>
        </is>
      </c>
      <c r="F183" t="inlineStr">
        <is>
          <t>High</t>
        </is>
      </c>
    </row>
    <row r="184">
      <c r="A184" t="inlineStr">
        <is>
          <t>Tyrosine kinase inhibition</t>
        </is>
      </c>
      <c r="B184" t="n">
        <v>1</v>
      </c>
      <c r="C184" t="inlineStr">
        <is>
          <t>genistein</t>
        </is>
      </c>
    </row>
    <row r="185">
      <c r="A185" t="inlineStr">
        <is>
          <t>Tyrosine pool replenishment</t>
        </is>
      </c>
      <c r="B185" t="n">
        <v>1</v>
      </c>
      <c r="C185" t="inlineStr">
        <is>
          <t>N-acetyl-L-tyrosine</t>
        </is>
      </c>
      <c r="F185" t="inlineStr">
        <is>
          <t>Moderate</t>
        </is>
      </c>
    </row>
    <row r="186">
      <c r="A186" t="inlineStr">
        <is>
          <t>tyrosine-kinase-related signaling</t>
        </is>
      </c>
      <c r="B186" t="n">
        <v>1</v>
      </c>
      <c r="C186" t="inlineStr">
        <is>
          <t>emodin</t>
        </is>
      </c>
      <c r="D186" t="inlineStr">
        <is>
          <t>cassia-occidentalis; polygonum-multiflorum; rheum-palmatum</t>
        </is>
      </c>
      <c r="E186" t="inlineStr">
        <is>
          <t>multi-target signaling modulation</t>
        </is>
      </c>
      <c r="F186" t="inlineStr">
        <is>
          <t>moderate</t>
        </is>
      </c>
    </row>
    <row r="187">
      <c r="A187" t="inlineStr">
        <is>
          <t>unresolved</t>
        </is>
      </c>
      <c r="B187" t="n">
        <v>13</v>
      </c>
      <c r="C187" t="inlineStr">
        <is>
          <t>chicoric acid; echinacoside; caffeic acid; diallyl sulfide; diallyl disulfide; diallyl trisulfide; isomenthone; menthyl acetate; demethoxycurcumin; bisdemethoxycurcumin; valerenal; valtrate; isovaltrate</t>
        </is>
      </c>
      <c r="D187" t="inlineStr">
        <is>
          <t>echinacea-purpurea; garlic; peppermint; turmeric; valerian</t>
        </is>
      </c>
      <c r="F187" t="inlineStr">
        <is>
          <t>Low</t>
        </is>
      </c>
    </row>
    <row r="188">
      <c r="A188" t="inlineStr">
        <is>
          <t>unresolved at isolated-compound level</t>
        </is>
      </c>
      <c r="B188" t="n">
        <v>4</v>
      </c>
      <c r="C188" t="inlineStr">
        <is>
          <t>withanoside IV; sitoindoside IX; sitoindoside X; withanoside V</t>
        </is>
      </c>
      <c r="D188" t="inlineStr">
        <is>
          <t>ashwagandha</t>
        </is>
      </c>
      <c r="E188" t="inlineStr">
        <is>
          <t>neuroprotective; adaptogen; multi-target signaling modulation; immunomodulatory</t>
        </is>
      </c>
      <c r="F188" t="inlineStr">
        <is>
          <t>Moderate</t>
        </is>
      </c>
    </row>
    <row r="189">
      <c r="A189" t="inlineStr">
        <is>
          <t>unresolved at single-compound level</t>
        </is>
      </c>
      <c r="B189" t="n">
        <v>2</v>
      </c>
      <c r="C189" t="inlineStr">
        <is>
          <t>rosarin; rosin</t>
        </is>
      </c>
      <c r="D189" t="inlineStr">
        <is>
          <t>rhodiola-rosea</t>
        </is>
      </c>
      <c r="E189" t="inlineStr">
        <is>
          <t>adaptogen; oxidative_stress_modulation; multi-target signaling modulation</t>
        </is>
      </c>
      <c r="F189" t="inlineStr">
        <is>
          <t>Moderate</t>
        </is>
      </c>
    </row>
    <row r="190">
      <c r="A190" t="inlineStr">
        <is>
          <t>uridine/cytidine nucleotide metabolism</t>
        </is>
      </c>
      <c r="B190" t="n">
        <v>1</v>
      </c>
      <c r="C190" t="inlineStr">
        <is>
          <t>uridine monophosphate (UMP)</t>
        </is>
      </c>
      <c r="F190" t="inlineStr">
        <is>
          <t>Moderate</t>
        </is>
      </c>
    </row>
    <row r="191">
      <c r="A191" t="inlineStr">
        <is>
          <t>vimentin</t>
        </is>
      </c>
      <c r="B191" t="n">
        <v>1</v>
      </c>
      <c r="C191" t="inlineStr">
        <is>
          <t>withaferin A</t>
        </is>
      </c>
      <c r="D191" t="inlineStr">
        <is>
          <t>ashwagandha</t>
        </is>
      </c>
      <c r="E191" t="inlineStr">
        <is>
          <t>inflammatory_pathway_modulation; multi-target signaling modulation</t>
        </is>
      </c>
      <c r="F191" t="inlineStr">
        <is>
          <t>Moderate-High</t>
        </is>
      </c>
    </row>
    <row r="192">
      <c r="A192" t="inlineStr">
        <is>
          <t>vitamin B6 activation</t>
        </is>
      </c>
      <c r="B192" t="n">
        <v>1</v>
      </c>
      <c r="C192" t="inlineStr">
        <is>
          <t>riboflavin</t>
        </is>
      </c>
      <c r="F192" t="inlineStr">
        <is>
          <t>High</t>
        </is>
      </c>
    </row>
    <row r="193">
      <c r="A193" t="inlineStr">
        <is>
          <t>Vitamin D receptor agonism</t>
        </is>
      </c>
      <c r="B193" t="n">
        <v>1</v>
      </c>
      <c r="C193" t="inlineStr">
        <is>
          <t>vitamin d</t>
        </is>
      </c>
      <c r="F193" t="inlineStr">
        <is>
          <t>high</t>
        </is>
      </c>
    </row>
    <row r="194">
      <c r="A194" t="inlineStr">
        <is>
          <t>xanthine oxidase inhibition</t>
        </is>
      </c>
      <c r="B194" t="n">
        <v>1</v>
      </c>
      <c r="C194" t="inlineStr">
        <is>
          <t>quercetin</t>
        </is>
      </c>
      <c r="D194" t="inlineStr">
        <is>
          <t>st-johns-wort</t>
        </is>
      </c>
      <c r="E194" t="inlineStr">
        <is>
          <t>multi-target signaling modulation; muscarinic receptor interaction</t>
        </is>
      </c>
      <c r="F194" t="inlineStr">
        <is>
          <t>moderate</t>
        </is>
      </c>
    </row>
    <row r="195">
      <c r="A195" t="inlineStr">
        <is>
          <t>ZIP</t>
        </is>
      </c>
      <c r="B195" t="n">
        <v>1</v>
      </c>
      <c r="C195" t="inlineStr">
        <is>
          <t>zinc</t>
        </is>
      </c>
    </row>
    <row r="196">
      <c r="A196" t="inlineStr">
        <is>
          <t>ZnT</t>
        </is>
      </c>
      <c r="B196" t="n">
        <v>1</v>
      </c>
      <c r="C196" t="inlineStr">
        <is>
          <t>zinc</t>
        </is>
      </c>
    </row>
  </sheetData>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29000091552734" customWidth="1" style="76" min="1" max="1"/>
    <col width="6.139999866485596" customWidth="1" style="76" min="2" max="2"/>
    <col width="67" customWidth="1" style="76" min="3" max="3"/>
  </cols>
  <sheetData>
    <row r="1">
      <c r="A1" t="inlineStr">
        <is>
          <t>action</t>
        </is>
      </c>
      <c r="B1" t="inlineStr">
        <is>
          <t>result</t>
        </is>
      </c>
      <c r="C1" t="inlineStr">
        <is>
          <t>note</t>
        </is>
      </c>
    </row>
    <row r="2">
      <c r="A2" t="inlineStr">
        <is>
          <t>reverse lookup compression</t>
        </is>
      </c>
      <c r="B2" t="n">
        <v>0</v>
      </c>
      <c r="C2" t="inlineStr">
        <is>
          <t>duplicate reverse-lookup rows collapsed into canonical entries</t>
        </is>
      </c>
    </row>
    <row r="3">
      <c r="A3" t="inlineStr">
        <is>
          <t>pathway aggregation</t>
        </is>
      </c>
      <c r="B3" t="n">
        <v>195</v>
      </c>
      <c r="C3" t="inlineStr">
        <is>
          <t>distinct pathway targets summarized into a query-ready table</t>
        </is>
      </c>
    </row>
  </sheetData>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86000061035156" customWidth="1" style="76" min="1" max="1"/>
    <col width="10.14000034332275" customWidth="1" style="76" min="2" max="2"/>
    <col width="66.13999938964844" customWidth="1" style="76" min="3" max="3"/>
    <col width="10.14000034332275" customWidth="1" style="76" min="4" max="4"/>
  </cols>
  <sheetData>
    <row r="1">
      <c r="A1" t="inlineStr">
        <is>
          <t>action</t>
        </is>
      </c>
      <c r="B1" t="inlineStr">
        <is>
          <t>result</t>
        </is>
      </c>
      <c r="C1" t="inlineStr">
        <is>
          <t>notes</t>
        </is>
      </c>
      <c r="D1" t="inlineStr">
        <is>
          <t>status</t>
        </is>
      </c>
    </row>
    <row r="2">
      <c r="A2" t="inlineStr">
        <is>
          <t>garlic residual relink</t>
        </is>
      </c>
      <c r="B2" t="n">
        <v>1</v>
      </c>
      <c r="C2" t="inlineStr">
        <is>
          <t>S-allyl-cysteine linked to canonical master row</t>
        </is>
      </c>
      <c r="D2" t="inlineStr">
        <is>
          <t>complete</t>
        </is>
      </c>
    </row>
    <row r="3">
      <c r="A3" t="inlineStr">
        <is>
          <t>peppermint residual relink</t>
        </is>
      </c>
      <c r="B3" t="n">
        <v>2</v>
      </c>
      <c r="C3" t="inlineStr">
        <is>
          <t>1,8-cineole and menthofuran linked to canonical master rows</t>
        </is>
      </c>
      <c r="D3" t="inlineStr">
        <is>
          <t>complete</t>
        </is>
      </c>
    </row>
    <row r="4">
      <c r="A4" t="inlineStr">
        <is>
          <t>dashboard refresh</t>
        </is>
      </c>
      <c r="B4" t="inlineStr">
        <is>
          <t>complete</t>
        </is>
      </c>
      <c r="C4" t="inlineStr">
        <is>
          <t>stale provisional metrics removed</t>
        </is>
      </c>
      <c r="D4" t="inlineStr">
        <is>
          <t>complete</t>
        </is>
      </c>
    </row>
    <row r="5">
      <c r="A5" t="inlineStr">
        <is>
          <t>pathway aggregation refresh</t>
        </is>
      </c>
      <c r="B5" t="inlineStr">
        <is>
          <t>complete</t>
        </is>
      </c>
      <c r="C5" t="inlineStr">
        <is>
          <t>rebuilt from current master state</t>
        </is>
      </c>
      <c r="D5" t="inlineStr">
        <is>
          <t>complete</t>
        </is>
      </c>
    </row>
  </sheetData>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raw_label</t>
        </is>
      </c>
      <c r="B1" t="inlineStr">
        <is>
          <t>canonical_label</t>
        </is>
      </c>
      <c r="C1" t="inlineStr">
        <is>
          <t>type</t>
        </is>
      </c>
    </row>
    <row r="2">
      <c r="A2" t="inlineStr">
        <is>
          <t>NF-kB</t>
        </is>
      </c>
      <c r="B2" t="inlineStr">
        <is>
          <t>NFkB</t>
        </is>
      </c>
      <c r="C2" t="inlineStr">
        <is>
          <t>pathway</t>
        </is>
      </c>
    </row>
    <row r="3">
      <c r="A3" t="inlineStr">
        <is>
          <t>Nrf2</t>
        </is>
      </c>
      <c r="B3" t="inlineStr">
        <is>
          <t>NRF2</t>
        </is>
      </c>
      <c r="C3" t="inlineStr">
        <is>
          <t>pathway</t>
        </is>
      </c>
    </row>
    <row r="4">
      <c r="A4" t="inlineStr">
        <is>
          <t>GABA-A</t>
        </is>
      </c>
      <c r="B4" t="inlineStr">
        <is>
          <t>GABA_A</t>
        </is>
      </c>
      <c r="C4" t="inlineStr">
        <is>
          <t>pathway</t>
        </is>
      </c>
    </row>
    <row r="5">
      <c r="A5" t="inlineStr">
        <is>
          <t>TRPM8</t>
        </is>
      </c>
      <c r="B5" t="inlineStr">
        <is>
          <t>TRP_M8</t>
        </is>
      </c>
      <c r="C5" t="inlineStr">
        <is>
          <t>pathway</t>
        </is>
      </c>
    </row>
    <row r="6">
      <c r="A6" t="inlineStr">
        <is>
          <t>anti-inflammatory</t>
        </is>
      </c>
      <c r="B6" t="inlineStr">
        <is>
          <t>inflammatory_pathway_modulation</t>
        </is>
      </c>
      <c r="C6" t="inlineStr">
        <is>
          <t>mechanism</t>
        </is>
      </c>
    </row>
    <row r="7">
      <c r="A7" t="inlineStr">
        <is>
          <t>antioxidant</t>
        </is>
      </c>
      <c r="B7" t="inlineStr">
        <is>
          <t>oxidative_stress_modulation</t>
        </is>
      </c>
      <c r="C7" t="inlineStr">
        <is>
          <t>mechanism</t>
        </is>
      </c>
    </row>
    <row r="8">
      <c r="A8" t="inlineStr">
        <is>
          <t>gabaergic modulation</t>
        </is>
      </c>
      <c r="B8" t="inlineStr">
        <is>
          <t>gaba_a_modulation</t>
        </is>
      </c>
      <c r="C8" t="inlineStr">
        <is>
          <t>mechanism</t>
        </is>
      </c>
    </row>
    <row r="9">
      <c r="A9" t="inlineStr">
        <is>
          <t>sensory modulation</t>
        </is>
      </c>
      <c r="B9" t="inlineStr">
        <is>
          <t>trp_channel_modulation</t>
        </is>
      </c>
      <c r="C9" t="inlineStr">
        <is>
          <t>mechanism</t>
        </is>
      </c>
    </row>
  </sheetData>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action</t>
        </is>
      </c>
      <c r="B1" t="inlineStr">
        <is>
          <t>result</t>
        </is>
      </c>
      <c r="C1" t="inlineStr">
        <is>
          <t>note</t>
        </is>
      </c>
    </row>
    <row r="2">
      <c r="A2" t="inlineStr">
        <is>
          <t>engine canonical map</t>
        </is>
      </c>
      <c r="B2" t="inlineStr">
        <is>
          <t>created</t>
        </is>
      </c>
      <c r="C2" t="inlineStr">
        <is>
          <t>all labels standardized</t>
        </is>
      </c>
    </row>
    <row r="3">
      <c r="A3" t="inlineStr">
        <is>
          <t>dashboard normalization</t>
        </is>
      </c>
      <c r="B3" t="inlineStr">
        <is>
          <t>complete</t>
        </is>
      </c>
      <c r="C3" t="inlineStr">
        <is>
          <t>metrics aligned</t>
        </is>
      </c>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26.86000061035156" customWidth="1" style="76" min="1" max="1"/>
    <col width="20.70999908447266" customWidth="1" style="76" min="2" max="2"/>
    <col width="61.13999938964844" customWidth="1" style="76" min="3" max="3"/>
    <col width="19.43000030517578" customWidth="1" style="76" min="4" max="4"/>
    <col width="21" customWidth="1" style="76" min="5" max="5"/>
    <col width="10.43000030517578" customWidth="1" style="76" min="6" max="6"/>
    <col width="44.86000061035156" customWidth="1" style="76" min="7" max="7"/>
    <col width="0.05000000074505806" customWidth="1" style="76" min="8" max="8"/>
    <col width="26.13999938964844" customWidth="1" style="76" min="9" max="9"/>
    <col width="25.86000061035156" customWidth="1" style="76" min="10" max="10"/>
    <col width="64.13999938964844" customWidth="1" style="76" min="11" max="11"/>
  </cols>
  <sheetData>
    <row r="1">
      <c r="A1" s="181" t="inlineStr">
        <is>
          <t>Scoring Calibration V26</t>
        </is>
      </c>
      <c r="B1" s="181" t="n"/>
      <c r="C1" s="181" t="n"/>
      <c r="D1" s="181" t="n"/>
      <c r="E1" s="181" t="inlineStr">
        <is>
          <t>Safety drag weights</t>
        </is>
      </c>
      <c r="F1" s="181" t="n"/>
      <c r="G1" s="181" t="n"/>
      <c r="H1" s="181" t="n"/>
      <c r="I1" s="181" t="inlineStr">
        <is>
          <t>Redundancy adjustment</t>
        </is>
      </c>
      <c r="J1" s="181" t="n"/>
      <c r="K1" s="181" t="n"/>
    </row>
    <row r="2">
      <c r="A2" s="181" t="inlineStr">
        <is>
          <t>Evidence weights</t>
        </is>
      </c>
      <c r="B2" s="181" t="n"/>
      <c r="C2" s="181" t="n"/>
      <c r="D2" s="181" t="n"/>
      <c r="E2" s="181" t="inlineStr">
        <is>
          <t>severity</t>
        </is>
      </c>
      <c r="F2" s="181" t="inlineStr">
        <is>
          <t>multiplier</t>
        </is>
      </c>
      <c r="G2" s="181" t="inlineStr">
        <is>
          <t>rule</t>
        </is>
      </c>
      <c r="H2" s="181" t="n"/>
      <c r="I2" s="181" t="inlineStr">
        <is>
          <t>domainBreadth</t>
        </is>
      </c>
      <c r="J2" s="181" t="inlineStr">
        <is>
          <t>multiplier</t>
        </is>
      </c>
      <c r="K2" s="181" t="inlineStr">
        <is>
          <t>rule</t>
        </is>
      </c>
    </row>
    <row r="3">
      <c r="A3" s="181" t="inlineStr">
        <is>
          <t>confidenceLabel</t>
        </is>
      </c>
      <c r="B3" s="181" t="inlineStr">
        <is>
          <t>weight</t>
        </is>
      </c>
      <c r="C3" s="181" t="inlineStr">
        <is>
          <t>rule</t>
        </is>
      </c>
      <c r="D3" s="181" t="n"/>
      <c r="E3" s="181" t="inlineStr">
        <is>
          <t>High</t>
        </is>
      </c>
      <c r="F3" s="181" t="n">
        <v>0.7</v>
      </c>
      <c r="G3" s="181" t="inlineStr">
        <is>
          <t>major interaction / toxicity burden</t>
        </is>
      </c>
      <c r="H3" s="181" t="n"/>
      <c r="I3" s="181" t="inlineStr">
        <is>
          <t>0</t>
        </is>
      </c>
      <c r="J3" s="181" t="n">
        <v>0.75</v>
      </c>
      <c r="K3" s="181" t="inlineStr">
        <is>
          <t>single-domain or no-domain support gets strongest penalty</t>
        </is>
      </c>
    </row>
    <row r="4">
      <c r="A4" s="181" t="inlineStr">
        <is>
          <t>High</t>
        </is>
      </c>
      <c r="B4" s="181" t="n">
        <v>1</v>
      </c>
      <c r="C4" s="181" t="inlineStr">
        <is>
          <t>highest source/compound confidence</t>
        </is>
      </c>
      <c r="D4" s="181" t="n"/>
      <c r="E4" s="181" t="inlineStr">
        <is>
          <t>Moderate</t>
        </is>
      </c>
      <c r="F4" s="181" t="n">
        <v>0.85</v>
      </c>
      <c r="G4" s="181" t="inlineStr">
        <is>
          <t>needs manual screening before blend use</t>
        </is>
      </c>
      <c r="H4" s="181" t="n"/>
      <c r="I4" s="181" t="inlineStr">
        <is>
          <t>1-3</t>
        </is>
      </c>
      <c r="J4" s="181" t="n">
        <v>0.83</v>
      </c>
      <c r="K4" s="181" t="inlineStr">
        <is>
          <t>narrow mechanism breadth</t>
        </is>
      </c>
    </row>
    <row r="5">
      <c r="A5" s="181" t="inlineStr">
        <is>
          <t>Moderate-High</t>
        </is>
      </c>
      <c r="B5" s="181" t="n">
        <v>0.9</v>
      </c>
      <c r="C5" s="181" t="inlineStr">
        <is>
          <t>strong but not top-tier</t>
        </is>
      </c>
      <c r="D5" s="181" t="n"/>
      <c r="E5" s="181" t="inlineStr">
        <is>
          <t>Low-Moderate</t>
        </is>
      </c>
      <c r="F5" s="181" t="n">
        <v>0.92</v>
      </c>
      <c r="G5" s="181" t="inlineStr">
        <is>
          <t>review but not usually blocking</t>
        </is>
      </c>
      <c r="H5" s="181" t="n"/>
      <c r="I5" s="181" t="inlineStr">
        <is>
          <t>4-6</t>
        </is>
      </c>
      <c r="J5" s="181" t="n">
        <v>0.89</v>
      </c>
      <c r="K5" s="181" t="inlineStr">
        <is>
          <t>balanced but somewhat concentrated</t>
        </is>
      </c>
    </row>
    <row r="6">
      <c r="A6" s="181" t="inlineStr">
        <is>
          <t>Moderate</t>
        </is>
      </c>
      <c r="B6" s="181" t="n">
        <v>0.8</v>
      </c>
      <c r="C6" s="181" t="inlineStr">
        <is>
          <t>solid but not definitive</t>
        </is>
      </c>
      <c r="D6" s="181" t="n"/>
      <c r="E6" s="181" t="inlineStr">
        <is>
          <t>Low</t>
        </is>
      </c>
      <c r="F6" s="181" t="n">
        <v>0.97</v>
      </c>
      <c r="G6" s="181" t="inlineStr">
        <is>
          <t>minimal penalty</t>
        </is>
      </c>
      <c r="H6" s="181" t="n"/>
      <c r="I6" s="181" t="inlineStr">
        <is>
          <t>7-9</t>
        </is>
      </c>
      <c r="J6" s="181" t="n">
        <v>0.95</v>
      </c>
      <c r="K6" s="181" t="inlineStr">
        <is>
          <t>broad cross-domain signal density</t>
        </is>
      </c>
    </row>
    <row r="7">
      <c r="A7" s="181" t="inlineStr">
        <is>
          <t>Medium</t>
        </is>
      </c>
      <c r="B7" s="181" t="n">
        <v>0.75</v>
      </c>
      <c r="C7" s="181" t="inlineStr">
        <is>
          <t>legacy confidence normalized to moderate tier</t>
        </is>
      </c>
      <c r="D7" s="181" t="n"/>
      <c r="E7" s="181" t="inlineStr">
        <is>
          <t>None</t>
        </is>
      </c>
      <c r="F7" s="181" t="n">
        <v>1</v>
      </c>
      <c r="G7" s="181" t="inlineStr">
        <is>
          <t>no active contraindication rule captured</t>
        </is>
      </c>
      <c r="H7" s="181" t="n"/>
      <c r="I7" s="181" t="inlineStr">
        <is>
          <t>actual formula used</t>
        </is>
      </c>
      <c r="J7" s="181" t="inlineStr">
        <is>
          <t>0.75 + 0.25*(breadth/9)</t>
        </is>
      </c>
      <c r="K7" s="181" t="inlineStr">
        <is>
          <t>smooth scaling used in Pathway Scoring Engine</t>
        </is>
      </c>
    </row>
    <row r="8">
      <c r="A8" s="181" t="inlineStr">
        <is>
          <t>Low-Moderate</t>
        </is>
      </c>
      <c r="B8" s="181" t="n">
        <v>0.65</v>
      </c>
      <c r="C8" s="181" t="inlineStr">
        <is>
          <t>usable but limited depth</t>
        </is>
      </c>
      <c r="D8" s="181" t="n"/>
      <c r="E8" s="181" t="n"/>
      <c r="F8" s="181" t="n"/>
      <c r="G8" s="181" t="n"/>
      <c r="H8" s="181" t="n"/>
      <c r="I8" s="181" t="n"/>
      <c r="J8" s="181" t="n"/>
      <c r="K8" s="181" t="n"/>
    </row>
    <row r="9">
      <c r="A9" s="181" t="inlineStr">
        <is>
          <t>Low</t>
        </is>
      </c>
      <c r="B9" s="181" t="n">
        <v>0.5</v>
      </c>
      <c r="C9" s="181" t="inlineStr">
        <is>
          <t>weak isolated-compound support</t>
        </is>
      </c>
      <c r="D9" s="181" t="n"/>
      <c r="E9" s="181" t="n"/>
      <c r="F9" s="181" t="n"/>
      <c r="G9" s="181" t="n"/>
      <c r="H9" s="181" t="n"/>
      <c r="I9" s="181" t="n"/>
      <c r="J9" s="181" t="n"/>
      <c r="K9" s="181" t="n"/>
    </row>
    <row r="10">
      <c r="A10" s="181" t="inlineStr">
        <is>
          <t>blank/unresolved</t>
        </is>
      </c>
      <c r="B10" s="181" t="n">
        <v>0.6</v>
      </c>
      <c r="C10" s="181" t="inlineStr">
        <is>
          <t>default fallback when row exists but confidence is sparse</t>
        </is>
      </c>
      <c r="D10" s="181" t="n"/>
      <c r="E10" s="181" t="n"/>
      <c r="F10" s="181" t="n"/>
      <c r="G10" s="181" t="n"/>
      <c r="H10" s="181" t="n"/>
      <c r="I10" s="181" t="n"/>
      <c r="J10" s="181" t="n"/>
      <c r="K10" s="181" t="n"/>
    </row>
    <row r="11">
      <c r="A11" s="181" t="n"/>
      <c r="B11" s="181" t="n"/>
      <c r="C11" s="181" t="n"/>
      <c r="D11" s="181" t="n"/>
      <c r="E11" s="181" t="n"/>
      <c r="F11" s="181" t="n"/>
      <c r="G11" s="181" t="n"/>
      <c r="H11" s="181" t="n"/>
      <c r="I11" s="181" t="n"/>
      <c r="J11" s="181" t="n"/>
      <c r="K11" s="181" t="n"/>
    </row>
    <row r="12">
      <c r="A12" s="181" t="n"/>
      <c r="B12" s="181" t="n"/>
      <c r="C12" s="181" t="n"/>
      <c r="D12" s="181" t="n"/>
      <c r="E12" s="181" t="n"/>
      <c r="F12" s="181" t="n"/>
      <c r="G12" s="181" t="n"/>
      <c r="H12" s="181" t="n"/>
      <c r="I12" s="181" t="n"/>
      <c r="J12" s="181" t="n"/>
      <c r="K12" s="181" t="n"/>
    </row>
    <row r="13">
      <c r="A13" s="181" t="n"/>
      <c r="B13" s="181" t="n"/>
      <c r="C13" s="181" t="n"/>
      <c r="D13" s="181" t="n"/>
      <c r="E13" s="181" t="n"/>
      <c r="F13" s="181" t="n"/>
      <c r="G13" s="181" t="n"/>
      <c r="H13" s="181" t="n"/>
      <c r="I13" s="181" t="n"/>
      <c r="J13" s="181" t="n"/>
      <c r="K13" s="181" t="n"/>
    </row>
    <row r="14">
      <c r="A14" s="181" t="inlineStr">
        <is>
          <t>Goal weight matrix</t>
        </is>
      </c>
      <c r="B14" s="181" t="n"/>
      <c r="C14" s="181" t="n"/>
      <c r="D14" s="181" t="n"/>
      <c r="E14" s="181" t="n"/>
      <c r="F14" s="181" t="n"/>
      <c r="G14" s="181" t="n"/>
      <c r="H14" s="181" t="n"/>
      <c r="I14" s="181" t="n"/>
      <c r="J14" s="181" t="n"/>
      <c r="K14" s="181" t="n"/>
    </row>
    <row r="15">
      <c r="A15" s="181" t="inlineStr">
        <is>
          <t>goal</t>
        </is>
      </c>
      <c r="B15" s="181" t="inlineStr">
        <is>
          <t>primaryDomain</t>
        </is>
      </c>
      <c r="C15" s="181" t="inlineStr">
        <is>
          <t>primaryWeight</t>
        </is>
      </c>
      <c r="D15" s="181" t="inlineStr">
        <is>
          <t>secondaryDomain</t>
        </is>
      </c>
      <c r="E15" s="181" t="inlineStr">
        <is>
          <t>secondaryWeight</t>
        </is>
      </c>
      <c r="F15" s="181" t="n"/>
      <c r="G15" s="181" t="n"/>
      <c r="H15" s="181" t="n"/>
      <c r="I15" s="181" t="n"/>
      <c r="J15" s="181" t="n"/>
      <c r="K15" s="181" t="n"/>
    </row>
    <row r="16">
      <c r="A16" s="181" t="inlineStr">
        <is>
          <t>Sleep</t>
        </is>
      </c>
      <c r="B16" s="181" t="inlineStr">
        <is>
          <t>GABA/Sedation</t>
        </is>
      </c>
      <c r="C16" s="181" t="n">
        <v>0.55</v>
      </c>
      <c r="D16" s="181" t="inlineStr">
        <is>
          <t>Adaptogen/Stress</t>
        </is>
      </c>
      <c r="E16" s="181" t="n">
        <v>0.2</v>
      </c>
      <c r="F16" s="181" t="n"/>
      <c r="G16" s="181" t="n"/>
      <c r="H16" s="181" t="n"/>
      <c r="I16" s="181" t="n"/>
      <c r="J16" s="181" t="n"/>
      <c r="K16" s="181" t="n"/>
    </row>
    <row r="17">
      <c r="A17" s="181" t="inlineStr">
        <is>
          <t>Stress Resilience</t>
        </is>
      </c>
      <c r="B17" s="181" t="inlineStr">
        <is>
          <t>Adaptogen/Stress</t>
        </is>
      </c>
      <c r="C17" s="181" t="n">
        <v>0.45</v>
      </c>
      <c r="D17" s="181" t="inlineStr">
        <is>
          <t>Oxidative Stress</t>
        </is>
      </c>
      <c r="E17" s="181" t="n">
        <v>0.25</v>
      </c>
      <c r="F17" s="181" t="n"/>
      <c r="G17" s="181" t="n"/>
      <c r="H17" s="181" t="n"/>
      <c r="I17" s="181" t="n"/>
      <c r="J17" s="181" t="n"/>
      <c r="K17" s="181" t="n"/>
    </row>
    <row r="18">
      <c r="A18" s="181" t="inlineStr">
        <is>
          <t>Inflammation</t>
        </is>
      </c>
      <c r="B18" s="181" t="inlineStr">
        <is>
          <t>Inflammation</t>
        </is>
      </c>
      <c r="C18" s="181" t="n">
        <v>0.45</v>
      </c>
      <c r="D18" s="181" t="inlineStr">
        <is>
          <t>Oxidative Stress</t>
        </is>
      </c>
      <c r="E18" s="181" t="n">
        <v>0.3</v>
      </c>
      <c r="F18" s="181" t="n"/>
      <c r="G18" s="181" t="n"/>
      <c r="H18" s="181" t="n"/>
      <c r="I18" s="181" t="n"/>
      <c r="J18" s="181" t="n"/>
      <c r="K18" s="181" t="n"/>
    </row>
    <row r="19">
      <c r="A19" s="181" t="inlineStr">
        <is>
          <t>Mood Support</t>
        </is>
      </c>
      <c r="B19" s="181" t="inlineStr">
        <is>
          <t>Monoamine/Mood</t>
        </is>
      </c>
      <c r="C19" s="181" t="n">
        <v>0.4</v>
      </c>
      <c r="D19" s="181" t="inlineStr">
        <is>
          <t>Adaptogen/Stress</t>
        </is>
      </c>
      <c r="E19" s="181" t="n">
        <v>0.25</v>
      </c>
      <c r="F19" s="181" t="n"/>
      <c r="G19" s="181" t="n"/>
      <c r="H19" s="181" t="n"/>
      <c r="I19" s="181" t="n"/>
      <c r="J19" s="181" t="n"/>
      <c r="K19" s="181" t="n"/>
    </row>
    <row r="20">
      <c r="A20" s="181" t="inlineStr">
        <is>
          <t>Digestive Calm</t>
        </is>
      </c>
      <c r="B20" s="181" t="inlineStr">
        <is>
          <t>Sensory/TRP</t>
        </is>
      </c>
      <c r="C20" s="181" t="n">
        <v>0.45</v>
      </c>
      <c r="D20" s="181" t="inlineStr">
        <is>
          <t>Inflammation</t>
        </is>
      </c>
      <c r="E20" s="181" t="n">
        <v>0.25</v>
      </c>
      <c r="F20" s="181" t="n"/>
      <c r="G20" s="181" t="n"/>
      <c r="H20" s="181" t="n"/>
      <c r="I20" s="181" t="n"/>
      <c r="J20" s="181" t="n"/>
      <c r="K20" s="181" t="n"/>
    </row>
    <row r="21">
      <c r="A21" s="181" t="inlineStr">
        <is>
          <t>Liver Support</t>
        </is>
      </c>
      <c r="B21" s="181" t="inlineStr">
        <is>
          <t>Hepatic/Detox</t>
        </is>
      </c>
      <c r="C21" s="181" t="n">
        <v>0.5</v>
      </c>
      <c r="D21" s="181" t="inlineStr">
        <is>
          <t>Oxidative Stress</t>
        </is>
      </c>
      <c r="E21" s="181" t="n">
        <v>0.25</v>
      </c>
      <c r="F21" s="181" t="n"/>
      <c r="G21" s="181" t="n"/>
      <c r="H21" s="181" t="n"/>
      <c r="I21" s="181" t="n"/>
      <c r="J21" s="181" t="n"/>
      <c r="K21" s="181" t="n"/>
    </row>
    <row r="22">
      <c r="A22" s="181" t="inlineStr">
        <is>
          <t>Immune Support</t>
        </is>
      </c>
      <c r="B22" s="181" t="inlineStr">
        <is>
          <t>Immune</t>
        </is>
      </c>
      <c r="C22" s="181" t="n">
        <v>0.4</v>
      </c>
      <c r="D22" s="181" t="inlineStr">
        <is>
          <t>Oxidative Stress</t>
        </is>
      </c>
      <c r="E22" s="181" t="n">
        <v>0.25</v>
      </c>
      <c r="F22" s="181" t="n"/>
      <c r="G22" s="181" t="n"/>
      <c r="H22" s="181" t="n"/>
      <c r="I22" s="181" t="n"/>
      <c r="J22" s="181" t="n"/>
      <c r="K22" s="181" t="n"/>
    </row>
    <row r="23">
      <c r="A23" s="181" t="inlineStr">
        <is>
          <t>Cardiometabolic Support</t>
        </is>
      </c>
      <c r="B23" s="181" t="inlineStr">
        <is>
          <t>Cardiometabolic</t>
        </is>
      </c>
      <c r="C23" s="181" t="n">
        <v>0.4</v>
      </c>
      <c r="D23" s="181" t="inlineStr">
        <is>
          <t>Oxidative Stress</t>
        </is>
      </c>
      <c r="E23" s="181" t="n">
        <v>0.25</v>
      </c>
      <c r="F23" s="181" t="n"/>
      <c r="G23" s="181" t="n"/>
      <c r="H23" s="181" t="n"/>
      <c r="I23" s="181" t="n"/>
      <c r="J23" s="181" t="n"/>
      <c r="K23" s="181" t="n"/>
    </row>
    <row r="24">
      <c r="A24" s="181" t="n"/>
      <c r="B24" s="181" t="n"/>
      <c r="C24" s="181" t="n"/>
      <c r="D24" s="181" t="n"/>
      <c r="E24" s="181" t="n"/>
      <c r="F24" s="181" t="n"/>
      <c r="G24" s="181" t="n"/>
      <c r="H24" s="181" t="n"/>
      <c r="I24" s="181" t="n"/>
      <c r="J24" s="181" t="n"/>
      <c r="K24" s="181" t="n"/>
    </row>
    <row r="25">
      <c r="A25" s="181" t="n"/>
      <c r="B25" s="181" t="n"/>
      <c r="C25" s="181" t="n"/>
      <c r="D25" s="181" t="n"/>
      <c r="E25" s="181" t="n"/>
      <c r="F25" s="181" t="n"/>
      <c r="G25" s="181" t="n"/>
      <c r="H25" s="181" t="n"/>
      <c r="I25" s="181" t="n"/>
      <c r="J25" s="181" t="n"/>
      <c r="K25" s="181" t="n"/>
    </row>
  </sheetData>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7.56999969482422" customWidth="1" style="76" min="1" max="1"/>
    <col width="10.14000034332275" customWidth="1" style="76" min="2" max="2"/>
    <col width="92" customWidth="1" style="76" min="3" max="3"/>
  </cols>
  <sheetData>
    <row r="1">
      <c r="A1" t="inlineStr">
        <is>
          <t>action</t>
        </is>
      </c>
      <c r="B1" t="inlineStr">
        <is>
          <t>result</t>
        </is>
      </c>
      <c r="C1" t="inlineStr">
        <is>
          <t>note</t>
        </is>
      </c>
    </row>
    <row r="2">
      <c r="A2" t="inlineStr">
        <is>
          <t>scoring engine calibration</t>
        </is>
      </c>
      <c r="B2" t="inlineStr">
        <is>
          <t>complete</t>
        </is>
      </c>
      <c r="C2" t="inlineStr">
        <is>
          <t>added evidence multiplier, safety drag, redundancy adjustment, calibrated composite</t>
        </is>
      </c>
    </row>
    <row r="3">
      <c r="A3" t="inlineStr">
        <is>
          <t>calibration sheet</t>
        </is>
      </c>
      <c r="B3" t="inlineStr">
        <is>
          <t>created</t>
        </is>
      </c>
      <c r="C3" t="inlineStr">
        <is>
          <t>centralized weight policies and goal matrix</t>
        </is>
      </c>
    </row>
    <row r="4">
      <c r="A4" t="inlineStr">
        <is>
          <t>blend builder policy note</t>
        </is>
      </c>
      <c r="B4" t="inlineStr">
        <is>
          <t>complete</t>
        </is>
      </c>
      <c r="C4" t="inlineStr">
        <is>
          <t>documented how calibrated scoring should be interpreted</t>
        </is>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action</t>
        </is>
      </c>
      <c r="B1" t="inlineStr">
        <is>
          <t>result</t>
        </is>
      </c>
      <c r="C1" t="inlineStr">
        <is>
          <t>note</t>
        </is>
      </c>
    </row>
    <row r="2">
      <c r="A2" t="inlineStr">
        <is>
          <t>blend rebuild</t>
        </is>
      </c>
      <c r="B2" t="inlineStr">
        <is>
          <t>complete</t>
        </is>
      </c>
      <c r="C2" t="inlineStr">
        <is>
          <t>top 15 generated</t>
        </is>
      </c>
    </row>
    <row r="3">
      <c r="A3" t="inlineStr">
        <is>
          <t>safety routing</t>
        </is>
      </c>
      <c r="B3" t="inlineStr">
        <is>
          <t>enabled</t>
        </is>
      </c>
      <c r="C3" t="inlineStr">
        <is>
          <t>contraindication dependent</t>
        </is>
      </c>
    </row>
  </sheetData>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3.70999908447266" customWidth="1" style="76" min="1" max="1"/>
    <col width="10.14000034332275" customWidth="1" style="76" min="2" max="2"/>
    <col width="93.86000061035156" customWidth="1" style="76" min="3" max="3"/>
  </cols>
  <sheetData>
    <row r="1">
      <c r="A1" t="inlineStr">
        <is>
          <t>action</t>
        </is>
      </c>
      <c r="B1" t="inlineStr">
        <is>
          <t>result</t>
        </is>
      </c>
      <c r="C1" t="inlineStr">
        <is>
          <t>note</t>
        </is>
      </c>
    </row>
    <row r="2">
      <c r="A2" t="inlineStr">
        <is>
          <t>hard-link contraindication rules</t>
        </is>
      </c>
      <c r="B2" t="inlineStr">
        <is>
          <t>complete</t>
        </is>
      </c>
      <c r="C2" t="inlineStr">
        <is>
          <t>blend outputs now depend on Contraindication Engine + seeded herb-level safety rules</t>
        </is>
      </c>
    </row>
    <row r="3">
      <c r="A3" t="inlineStr">
        <is>
          <t>excluded herbs</t>
        </is>
      </c>
      <c r="B3" t="n">
        <v>0</v>
      </c>
      <c r="C3" t="inlineStr">
        <is>
          <t>high-severity flagged herbs removed from top recommendations</t>
        </is>
      </c>
    </row>
    <row r="4">
      <c r="A4" t="inlineStr">
        <is>
          <t>penalized herbs</t>
        </is>
      </c>
      <c r="B4" t="n">
        <v>0</v>
      </c>
      <c r="C4" t="inlineStr">
        <is>
          <t>medium-severity herbs retained with score penalty</t>
        </is>
      </c>
    </row>
  </sheetData>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86000061035156" customWidth="1" style="76" min="1" max="1"/>
    <col width="10.14000034332275" customWidth="1" style="76" min="2" max="2"/>
    <col width="75.29000091552734" customWidth="1" style="76" min="3" max="3"/>
  </cols>
  <sheetData>
    <row r="1">
      <c r="A1" t="inlineStr">
        <is>
          <t>action</t>
        </is>
      </c>
      <c r="B1" t="inlineStr">
        <is>
          <t>result</t>
        </is>
      </c>
      <c r="C1" t="inlineStr">
        <is>
          <t>note</t>
        </is>
      </c>
    </row>
    <row r="2">
      <c r="A2" t="inlineStr">
        <is>
          <t>scoring field alignment</t>
        </is>
      </c>
      <c r="B2" t="inlineStr">
        <is>
          <t>complete</t>
        </is>
      </c>
      <c r="C2" t="inlineStr">
        <is>
          <t>bound Blend Builder Engine to actual herb-level calibrated score table</t>
        </is>
      </c>
    </row>
    <row r="3">
      <c r="A3" t="inlineStr">
        <is>
          <t>recommendation rebuild</t>
        </is>
      </c>
      <c r="B3" t="n">
        <v>15</v>
      </c>
      <c r="C3" t="inlineStr">
        <is>
          <t>populated top recommendations</t>
        </is>
      </c>
    </row>
    <row r="4">
      <c r="A4" t="inlineStr">
        <is>
          <t>high-severity exclusions</t>
        </is>
      </c>
      <c r="B4" t="n">
        <v>2</v>
      </c>
      <c r="C4" t="inlineStr">
        <is>
          <t>excluded from output ranking</t>
        </is>
      </c>
    </row>
  </sheetData>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cols>
    <col width="80" customWidth="1" style="76" min="1" max="1"/>
    <col width="21.56999969482422" customWidth="1" style="76" min="2" max="2"/>
    <col width="21.29000091552734" customWidth="1" style="76" min="3" max="3"/>
    <col width="9" customWidth="1" style="76" min="4" max="4"/>
    <col width="14" customWidth="1" style="76" min="5" max="5"/>
    <col width="77.86000061035156" customWidth="1" style="76" min="6" max="6"/>
    <col width="110.7099990844727" customWidth="1" style="76" min="7" max="7"/>
    <col width="15.28999996185303" customWidth="1" style="76" min="8" max="8"/>
    <col width="94.56999969482422" customWidth="1" style="76" min="9" max="9"/>
    <col width="16.56999969482422" customWidth="1" style="76" min="10" max="10"/>
    <col width="9" customWidth="1" style="76" min="11" max="11"/>
    <col width="14" customWidth="1" style="76" min="12" max="12"/>
    <col width="15.28999996185303" customWidth="1" style="76" min="13" max="13"/>
    <col width="94.56999969482422" customWidth="1" style="76" min="14" max="14"/>
  </cols>
  <sheetData>
    <row r="1">
      <c r="A1" s="181" t="inlineStr">
        <is>
          <t>Sleep Blend View</t>
        </is>
      </c>
      <c r="B1" s="181" t="n"/>
      <c r="C1" s="181" t="n"/>
      <c r="D1" s="181" t="n"/>
      <c r="E1" s="181" t="n"/>
      <c r="F1" s="181" t="n"/>
      <c r="G1" s="181" t="n"/>
      <c r="H1" s="181" t="n"/>
      <c r="I1" s="181" t="n"/>
      <c r="J1" s="181" t="n"/>
      <c r="K1" s="181" t="n"/>
      <c r="L1" s="181" t="n"/>
      <c r="M1" s="181" t="n"/>
      <c r="N1" s="181" t="n"/>
    </row>
    <row r="2">
      <c r="A2" s="181" t="inlineStr">
        <is>
          <t>Prioritize GABA/sedation support with stress-buffering secondary support.</t>
        </is>
      </c>
      <c r="B2" s="181" t="n"/>
      <c r="C2" s="181" t="n"/>
      <c r="D2" s="181" t="n"/>
      <c r="E2" s="181" t="n"/>
      <c r="F2" s="181" t="n"/>
      <c r="G2" s="181" t="n"/>
      <c r="H2" s="181" t="n"/>
      <c r="I2" s="181" t="n"/>
      <c r="J2" s="181" t="n"/>
      <c r="K2" s="181" t="n"/>
      <c r="L2" s="181" t="n"/>
      <c r="M2" s="181" t="n"/>
      <c r="N2" s="181" t="n"/>
    </row>
    <row r="3">
      <c r="A3" s="181" t="n"/>
      <c r="B3" s="181" t="n"/>
      <c r="C3" s="181" t="n"/>
      <c r="D3" s="181" t="n"/>
      <c r="E3" s="181" t="n"/>
      <c r="F3" s="181" t="n"/>
      <c r="G3" s="181" t="n"/>
      <c r="H3" s="181" t="n"/>
      <c r="I3" s="181" t="n"/>
      <c r="J3" s="181" t="n"/>
      <c r="K3" s="181" t="n"/>
      <c r="L3" s="181" t="n"/>
      <c r="M3" s="181" t="n"/>
      <c r="N3" s="181" t="n"/>
    </row>
    <row r="4">
      <c r="A4" s="181" t="inlineStr">
        <is>
          <t>rank</t>
        </is>
      </c>
      <c r="B4" s="181" t="inlineStr">
        <is>
          <t>herbSlug</t>
        </is>
      </c>
      <c r="C4" s="181" t="inlineStr">
        <is>
          <t>herbName</t>
        </is>
      </c>
      <c r="D4" s="181" t="inlineStr">
        <is>
          <t>goalRaw</t>
        </is>
      </c>
      <c r="E4" s="181" t="inlineStr">
        <is>
          <t>goalAdjusted</t>
        </is>
      </c>
      <c r="F4" s="181" t="inlineStr">
        <is>
          <t>topDomains</t>
        </is>
      </c>
      <c r="G4" s="181" t="inlineStr">
        <is>
          <t>whyRankedHigh</t>
        </is>
      </c>
      <c r="H4" s="181" t="inlineStr">
        <is>
          <t>filterAction</t>
        </is>
      </c>
      <c r="I4" s="181" t="inlineStr">
        <is>
          <t>context</t>
        </is>
      </c>
      <c r="J4" s="181" t="n"/>
      <c r="K4" s="181" t="n"/>
      <c r="L4" s="181" t="n"/>
      <c r="M4" s="181" t="n"/>
      <c r="N4" s="181" t="n"/>
    </row>
    <row r="5">
      <c r="A5" s="181" t="n">
        <v>1</v>
      </c>
      <c r="B5" s="181" t="inlineStr">
        <is>
          <t>rhodiola-rosea</t>
        </is>
      </c>
      <c r="C5" s="181" t="inlineStr">
        <is>
          <t>Rhodiola Rosea</t>
        </is>
      </c>
      <c r="D5" s="181" t="n">
        <v>7.8</v>
      </c>
      <c r="E5" s="181" t="n">
        <v>5.6924</v>
      </c>
      <c r="F5" s="181" t="inlineStr">
        <is>
          <t>Adaptogen/Stress (7.2), Monoamine/Mood (0.6)</t>
        </is>
      </c>
      <c r="G5" s="181" t="inlineStr">
        <is>
          <t>Ranks via strongest sleep support from Adaptogen/Stress, Monoamine/Mood.</t>
        </is>
      </c>
      <c r="H5" s="181" t="inlineStr">
        <is>
          <t>none</t>
        </is>
      </c>
      <c r="I5" s="181" t="str"/>
      <c r="J5" s="181" t="n"/>
      <c r="K5" s="181" t="n"/>
      <c r="L5" s="181" t="n"/>
      <c r="M5" s="181" t="n"/>
      <c r="N5" s="181" t="n"/>
    </row>
    <row r="6">
      <c r="A6" s="181" t="n">
        <v>2</v>
      </c>
      <c r="B6" s="181" t="inlineStr">
        <is>
          <t>lemon-balm</t>
        </is>
      </c>
      <c r="C6" s="181" t="inlineStr">
        <is>
          <t>Lemon Balm</t>
        </is>
      </c>
      <c r="D6" s="181" t="n">
        <v>8.35</v>
      </c>
      <c r="E6" s="181" t="n">
        <v>5.5736</v>
      </c>
      <c r="F6" s="181" t="inlineStr">
        <is>
          <t>GABA/Sedation (7.0), Adaptogen/Stress (1.35)</t>
        </is>
      </c>
      <c r="G6" s="181" t="inlineStr">
        <is>
          <t>Ranks via strongest sleep support from GABA/Sedation, Adaptogen/Stress.</t>
        </is>
      </c>
      <c r="H6" s="181" t="inlineStr">
        <is>
          <t>none</t>
        </is>
      </c>
      <c r="I6" s="181" t="str"/>
      <c r="J6" s="181" t="n"/>
      <c r="K6" s="181" t="n"/>
      <c r="L6" s="181" t="n"/>
      <c r="M6" s="181" t="n"/>
      <c r="N6" s="181" t="n"/>
    </row>
    <row r="7">
      <c r="A7" s="181" t="n">
        <v>3</v>
      </c>
      <c r="B7" s="181" t="inlineStr">
        <is>
          <t>holy-basil</t>
        </is>
      </c>
      <c r="C7" s="181" t="inlineStr">
        <is>
          <t>Holy Basil</t>
        </is>
      </c>
      <c r="D7" s="181" t="n">
        <v>4.8</v>
      </c>
      <c r="E7" s="181" t="n">
        <v>4.0627</v>
      </c>
      <c r="F7" s="181" t="inlineStr">
        <is>
          <t>GABA/Sedation (3.0), Adaptogen/Stress (1.8)</t>
        </is>
      </c>
      <c r="G7" s="181" t="inlineStr">
        <is>
          <t>Ranks via strongest sleep support from GABA/Sedation, Adaptogen/Stress.</t>
        </is>
      </c>
      <c r="H7" s="181" t="inlineStr">
        <is>
          <t>none</t>
        </is>
      </c>
      <c r="I7" s="181" t="str"/>
      <c r="J7" s="181" t="n"/>
      <c r="K7" s="181" t="n"/>
      <c r="L7" s="181" t="n"/>
      <c r="M7" s="181" t="n"/>
      <c r="N7" s="181" t="n"/>
    </row>
    <row r="8">
      <c r="A8" s="181" t="n">
        <v>4</v>
      </c>
      <c r="B8" s="181" t="inlineStr">
        <is>
          <t>valerian</t>
        </is>
      </c>
      <c r="C8" s="181" t="inlineStr">
        <is>
          <t>Valerian</t>
        </is>
      </c>
      <c r="D8" s="181" t="n">
        <v>8.5</v>
      </c>
      <c r="E8" s="181" t="n">
        <v>2.5867</v>
      </c>
      <c r="F8" s="181" t="inlineStr">
        <is>
          <t>GABA/Sedation (8.5)</t>
        </is>
      </c>
      <c r="G8" s="181" t="inlineStr">
        <is>
          <t>Ranks via strongest sleep support from GABA/Sedation.</t>
        </is>
      </c>
      <c r="H8" s="181" t="inlineStr">
        <is>
          <t>penalty_0.85x</t>
        </is>
      </c>
      <c r="I8" s="181" t="inlineStr">
        <is>
          <t>CNS depression: sedatives, alcohol, other sleep aids</t>
        </is>
      </c>
      <c r="J8" s="181" t="n"/>
      <c r="K8" s="181" t="n"/>
      <c r="L8" s="181" t="n"/>
      <c r="M8" s="181" t="n"/>
      <c r="N8" s="181" t="n"/>
    </row>
    <row r="9">
      <c r="A9" s="181" t="n">
        <v>5</v>
      </c>
      <c r="B9" s="181" t="inlineStr">
        <is>
          <t>milk-thistle</t>
        </is>
      </c>
      <c r="C9" s="181" t="inlineStr">
        <is>
          <t>Milk Thistle</t>
        </is>
      </c>
      <c r="D9" s="181" t="n">
        <v>4.1625</v>
      </c>
      <c r="E9" s="181" t="n">
        <v>2.2052</v>
      </c>
      <c r="F9" s="181" t="inlineStr">
        <is>
          <t>Adaptogen/Stress (4.16)</t>
        </is>
      </c>
      <c r="G9" s="181" t="inlineStr">
        <is>
          <t>Ranks via strongest sleep support from Adaptogen/Stress.</t>
        </is>
      </c>
      <c r="H9" s="181" t="inlineStr">
        <is>
          <t>penalty_0.93x</t>
        </is>
      </c>
      <c r="I9" s="181" t="inlineStr">
        <is>
          <t>Allergy / interaction review: Asteraceae allergy, multi-drug regimens</t>
        </is>
      </c>
      <c r="J9" s="181" t="n"/>
      <c r="K9" s="181" t="n"/>
      <c r="L9" s="181" t="n"/>
      <c r="M9" s="181" t="n"/>
      <c r="N9" s="181" t="n"/>
    </row>
    <row r="10">
      <c r="A10" s="181" t="n">
        <v>6</v>
      </c>
      <c r="B10" s="181" t="inlineStr">
        <is>
          <t>ashwagandha</t>
        </is>
      </c>
      <c r="C10" s="181" t="inlineStr">
        <is>
          <t>Ashwagandha</t>
        </is>
      </c>
      <c r="D10" s="181" t="n">
        <v>3.925</v>
      </c>
      <c r="E10" s="181" t="n">
        <v>2.0611</v>
      </c>
      <c r="F10" s="181" t="inlineStr">
        <is>
          <t>Adaptogen/Stress (2.93), GABA/Sedation (1.0)</t>
        </is>
      </c>
      <c r="G10" s="181" t="inlineStr">
        <is>
          <t>Ranks via strongest sleep support from Adaptogen/Stress, GABA/Sedation.</t>
        </is>
      </c>
      <c r="H10" s="181" t="inlineStr">
        <is>
          <t>penalty_0.85x</t>
        </is>
      </c>
      <c r="I10" s="181" t="inlineStr">
        <is>
          <t>Sedation / thyroid / immune: sedatives, thyroid meds, immunosuppressants, pregnancy</t>
        </is>
      </c>
      <c r="J10" s="181" t="n"/>
      <c r="K10" s="181" t="n"/>
      <c r="L10" s="181" t="n"/>
      <c r="M10" s="181" t="n"/>
      <c r="N10" s="181" t="n"/>
    </row>
    <row r="11">
      <c r="A11" s="181" t="n">
        <v>7</v>
      </c>
      <c r="B11" s="181" t="inlineStr">
        <is>
          <t>ginkgo-biloba</t>
        </is>
      </c>
      <c r="C11" s="181" t="inlineStr">
        <is>
          <t>Ginkgo Biloba</t>
        </is>
      </c>
      <c r="D11" s="181" t="n">
        <v>2.4625</v>
      </c>
      <c r="E11" s="181" t="n">
        <v>1.6656</v>
      </c>
      <c r="F11" s="181" t="inlineStr">
        <is>
          <t>Adaptogen/Stress (1.46), GABA/Sedation (1.0)</t>
        </is>
      </c>
      <c r="G11" s="181" t="inlineStr">
        <is>
          <t>Ranks via strongest sleep support from Adaptogen/Stress, GABA/Sedation.</t>
        </is>
      </c>
      <c r="H11" s="181" t="inlineStr">
        <is>
          <t>none</t>
        </is>
      </c>
      <c r="I11" s="181" t="str"/>
      <c r="J11" s="181" t="n"/>
      <c r="K11" s="181" t="n"/>
      <c r="L11" s="181" t="n"/>
      <c r="M11" s="181" t="n"/>
      <c r="N11" s="181" t="n"/>
    </row>
    <row r="12">
      <c r="A12" s="181" t="n">
        <v>8</v>
      </c>
      <c r="B12" s="181" t="inlineStr">
        <is>
          <t>echinacea-purpurea</t>
        </is>
      </c>
      <c r="C12" s="181" t="inlineStr">
        <is>
          <t>Echinacea Purpurea</t>
        </is>
      </c>
      <c r="D12" s="181" t="n">
        <v>2.8125</v>
      </c>
      <c r="E12" s="181" t="n">
        <v>1.2819</v>
      </c>
      <c r="F12" s="181" t="inlineStr">
        <is>
          <t>Adaptogen/Stress (2.81)</t>
        </is>
      </c>
      <c r="G12" s="181" t="inlineStr">
        <is>
          <t>Ranks via strongest sleep support from Adaptogen/Stress.</t>
        </is>
      </c>
      <c r="H12" s="181" t="inlineStr">
        <is>
          <t>none</t>
        </is>
      </c>
      <c r="I12" s="181" t="str"/>
      <c r="J12" s="181" t="n"/>
      <c r="K12" s="181" t="n"/>
      <c r="L12" s="181" t="n"/>
      <c r="M12" s="181" t="n"/>
      <c r="N12" s="181" t="n"/>
    </row>
    <row r="13">
      <c r="A13" s="181" t="n">
        <v>9</v>
      </c>
      <c r="B13" s="181" t="inlineStr">
        <is>
          <t>turmeric</t>
        </is>
      </c>
      <c r="C13" s="181" t="inlineStr">
        <is>
          <t>Turmeric</t>
        </is>
      </c>
      <c r="D13" s="181" t="n">
        <v>1.8</v>
      </c>
      <c r="E13" s="181" t="n">
        <v>0.6711</v>
      </c>
      <c r="F13" s="181" t="inlineStr">
        <is>
          <t>Adaptogen/Stress (1.8)</t>
        </is>
      </c>
      <c r="G13" s="181" t="inlineStr">
        <is>
          <t>Ranks via strongest sleep support from Adaptogen/Stress.</t>
        </is>
      </c>
      <c r="H13" s="181" t="inlineStr">
        <is>
          <t>penalty_0.85x</t>
        </is>
      </c>
      <c r="I13" s="181" t="inlineStr">
        <is>
          <t>Bleeding / gallbladder: anticoagulants, antiplatelets, gallbladder obstruction</t>
        </is>
      </c>
      <c r="J13" s="181" t="n"/>
      <c r="K13" s="181" t="n"/>
      <c r="L13" s="181" t="n"/>
      <c r="M13" s="181" t="n"/>
      <c r="N13" s="181" t="n"/>
    </row>
    <row r="14">
      <c r="A14" s="181" t="n">
        <v>10</v>
      </c>
      <c r="B14" s="181" t="inlineStr">
        <is>
          <t>garlic</t>
        </is>
      </c>
      <c r="C14" s="181" t="inlineStr">
        <is>
          <t>Garlic</t>
        </is>
      </c>
      <c r="D14" s="181" t="n">
        <v>1.4625</v>
      </c>
      <c r="E14" s="181" t="n">
        <v>0.5454</v>
      </c>
      <c r="F14" s="181" t="inlineStr">
        <is>
          <t>Adaptogen/Stress (1.46)</t>
        </is>
      </c>
      <c r="G14" s="181" t="inlineStr">
        <is>
          <t>Ranks via strongest sleep support from Adaptogen/Stress.</t>
        </is>
      </c>
      <c r="H14" s="181" t="inlineStr">
        <is>
          <t>penalty_0.85x</t>
        </is>
      </c>
      <c r="I14" s="181" t="inlineStr">
        <is>
          <t>Bleeding / perioperative: anticoagulants, antiplatelets, upcoming surgery</t>
        </is>
      </c>
      <c r="J14" s="181" t="n"/>
      <c r="K14" s="181" t="n"/>
      <c r="L14" s="181" t="n"/>
      <c r="M14" s="181" t="n"/>
      <c r="N14" s="181" t="n"/>
    </row>
    <row r="15">
      <c r="A15" s="181" t="n"/>
      <c r="B15" s="181" t="n"/>
      <c r="C15" s="181" t="n"/>
      <c r="D15" s="181" t="n"/>
      <c r="E15" s="181" t="n"/>
      <c r="F15" s="181" t="n"/>
      <c r="G15" s="181" t="n"/>
      <c r="H15" s="181" t="n"/>
      <c r="I15" s="181" t="n"/>
      <c r="J15" s="181" t="n"/>
      <c r="K15" s="181" t="n"/>
      <c r="L15" s="181" t="n"/>
      <c r="M15" s="181" t="n"/>
      <c r="N15" s="181" t="n"/>
    </row>
    <row r="16">
      <c r="A16" s="181" t="n"/>
      <c r="B16" s="181" t="n"/>
      <c r="C16" s="181" t="n"/>
      <c r="D16" s="181" t="n"/>
      <c r="E16" s="181" t="n"/>
      <c r="F16" s="181" t="n"/>
      <c r="G16" s="181" t="n"/>
      <c r="H16" s="181" t="n"/>
      <c r="I16" s="181" t="n"/>
      <c r="J16" s="181" t="n"/>
      <c r="K16" s="181" t="n"/>
      <c r="L16" s="181" t="n"/>
      <c r="M16" s="181" t="n"/>
      <c r="N16" s="181" t="n"/>
    </row>
    <row r="17">
      <c r="A17" s="181" t="n"/>
      <c r="B17" s="181" t="n"/>
      <c r="C17" s="181" t="n"/>
      <c r="D17" s="181" t="n"/>
      <c r="E17" s="181" t="n"/>
      <c r="F17" s="181" t="n"/>
      <c r="G17" s="181" t="n"/>
      <c r="H17" s="181" t="n"/>
      <c r="I17" s="181" t="n"/>
      <c r="J17" s="181" t="n"/>
      <c r="K17" s="181" t="n"/>
      <c r="L17" s="181" t="n"/>
      <c r="M17" s="181" t="n"/>
      <c r="N17" s="181" t="n"/>
    </row>
    <row r="18">
      <c r="A18" s="181" t="inlineStr">
        <is>
          <t>Inflammation Blend View</t>
        </is>
      </c>
      <c r="B18" s="181" t="n"/>
      <c r="C18" s="181" t="n"/>
      <c r="D18" s="181" t="n"/>
      <c r="E18" s="181" t="n"/>
      <c r="F18" s="181" t="n"/>
      <c r="G18" s="181" t="n"/>
      <c r="H18" s="181" t="n"/>
      <c r="I18" s="181" t="n"/>
      <c r="J18" s="181" t="n"/>
      <c r="K18" s="181" t="n"/>
      <c r="L18" s="181" t="n"/>
      <c r="M18" s="181" t="n"/>
      <c r="N18" s="181" t="n"/>
    </row>
    <row r="19">
      <c r="A19" s="181" t="inlineStr">
        <is>
          <t>Prioritize inflammatory pathway support with oxidative-stress support.</t>
        </is>
      </c>
      <c r="B19" s="181" t="n"/>
      <c r="C19" s="181" t="n"/>
      <c r="D19" s="181" t="n"/>
      <c r="E19" s="181" t="n"/>
      <c r="F19" s="181" t="n"/>
      <c r="G19" s="181" t="n"/>
      <c r="H19" s="181" t="n"/>
      <c r="I19" s="181" t="n"/>
      <c r="J19" s="181" t="n"/>
      <c r="K19" s="181" t="n"/>
      <c r="L19" s="181" t="n"/>
      <c r="M19" s="181" t="n"/>
      <c r="N19" s="181" t="n"/>
    </row>
    <row r="20">
      <c r="A20" s="181" t="n"/>
      <c r="B20" s="181" t="n"/>
      <c r="C20" s="181" t="n"/>
      <c r="D20" s="181" t="n"/>
      <c r="E20" s="181" t="n"/>
      <c r="F20" s="181" t="n"/>
      <c r="G20" s="181" t="n"/>
      <c r="H20" s="181" t="n"/>
      <c r="I20" s="181" t="n"/>
      <c r="J20" s="181" t="n"/>
      <c r="K20" s="181" t="n"/>
      <c r="L20" s="181" t="n"/>
      <c r="M20" s="181" t="n"/>
      <c r="N20" s="181" t="n"/>
    </row>
    <row r="21">
      <c r="A21" s="181" t="inlineStr">
        <is>
          <t>rank</t>
        </is>
      </c>
      <c r="B21" s="181" t="inlineStr">
        <is>
          <t>herbSlug</t>
        </is>
      </c>
      <c r="C21" s="181" t="inlineStr">
        <is>
          <t>herbName</t>
        </is>
      </c>
      <c r="D21" s="181" t="inlineStr">
        <is>
          <t>goalRaw</t>
        </is>
      </c>
      <c r="E21" s="181" t="inlineStr">
        <is>
          <t>goalAdjusted</t>
        </is>
      </c>
      <c r="F21" s="181" t="inlineStr">
        <is>
          <t>topDomains</t>
        </is>
      </c>
      <c r="G21" s="181" t="inlineStr">
        <is>
          <t>whyRankedHigh</t>
        </is>
      </c>
      <c r="H21" s="181" t="inlineStr">
        <is>
          <t>filterAction</t>
        </is>
      </c>
      <c r="I21" s="181" t="inlineStr">
        <is>
          <t>context</t>
        </is>
      </c>
      <c r="J21" s="181" t="n"/>
      <c r="K21" s="181" t="n"/>
      <c r="L21" s="181" t="n"/>
      <c r="M21" s="181" t="n"/>
      <c r="N21" s="181" t="n"/>
    </row>
    <row r="22">
      <c r="A22" s="181" t="n">
        <v>1</v>
      </c>
      <c r="B22" s="181" t="inlineStr">
        <is>
          <t>ginkgo-biloba</t>
        </is>
      </c>
      <c r="C22" s="181" t="inlineStr">
        <is>
          <t>Ginkgo Biloba</t>
        </is>
      </c>
      <c r="D22" s="181" t="n">
        <v>13.0375</v>
      </c>
      <c r="E22" s="181" t="n">
        <v>8.8186</v>
      </c>
      <c r="F22" s="181" t="inlineStr">
        <is>
          <t>Inflammation (11.25), Oxidative Stress (1.79)</t>
        </is>
      </c>
      <c r="G22" s="181" t="inlineStr">
        <is>
          <t>Ranks via strongest inflammation support from Inflammation, Oxidative Stress.</t>
        </is>
      </c>
      <c r="H22" s="181" t="inlineStr">
        <is>
          <t>none</t>
        </is>
      </c>
      <c r="I22" s="181" t="str"/>
      <c r="J22" s="181" t="n"/>
      <c r="K22" s="181" t="n"/>
      <c r="L22" s="181" t="n"/>
      <c r="M22" s="181" t="n"/>
      <c r="N22" s="181" t="n"/>
    </row>
    <row r="23">
      <c r="A23" s="181" t="n">
        <v>2</v>
      </c>
      <c r="B23" s="181" t="inlineStr">
        <is>
          <t>milk-thistle</t>
        </is>
      </c>
      <c r="C23" s="181" t="inlineStr">
        <is>
          <t>Milk Thistle</t>
        </is>
      </c>
      <c r="D23" s="181" t="n">
        <v>14.3375</v>
      </c>
      <c r="E23" s="181" t="n">
        <v>7.5959</v>
      </c>
      <c r="F23" s="181" t="inlineStr">
        <is>
          <t>Inflammation (9.25), Oxidative Stress (5.09)</t>
        </is>
      </c>
      <c r="G23" s="181" t="inlineStr">
        <is>
          <t>Ranks via strongest inflammation support from Inflammation, Oxidative Stress.</t>
        </is>
      </c>
      <c r="H23" s="181" t="inlineStr">
        <is>
          <t>penalty_0.93x</t>
        </is>
      </c>
      <c r="I23" s="181" t="inlineStr">
        <is>
          <t>Allergy / interaction review: Asteraceae allergy, multi-drug regimens</t>
        </is>
      </c>
      <c r="J23" s="181" t="n"/>
      <c r="K23" s="181" t="n"/>
      <c r="L23" s="181" t="n"/>
      <c r="M23" s="181" t="n"/>
      <c r="N23" s="181" t="n"/>
    </row>
    <row r="24">
      <c r="A24" s="181" t="n">
        <v>3</v>
      </c>
      <c r="B24" s="181" t="inlineStr">
        <is>
          <t>holy-basil</t>
        </is>
      </c>
      <c r="C24" s="181" t="inlineStr">
        <is>
          <t>Holy Basil</t>
        </is>
      </c>
      <c r="D24" s="181" t="n">
        <v>8.65</v>
      </c>
      <c r="E24" s="181" t="n">
        <v>7.3214</v>
      </c>
      <c r="F24" s="181" t="inlineStr">
        <is>
          <t>Inflammation (7.0), Oxidative Stress (1.65)</t>
        </is>
      </c>
      <c r="G24" s="181" t="inlineStr">
        <is>
          <t>Ranks via strongest inflammation support from Inflammation, Oxidative Stress.</t>
        </is>
      </c>
      <c r="H24" s="181" t="inlineStr">
        <is>
          <t>none</t>
        </is>
      </c>
      <c r="I24" s="181" t="str"/>
      <c r="J24" s="181" t="n"/>
      <c r="K24" s="181" t="n"/>
      <c r="L24" s="181" t="n"/>
      <c r="M24" s="181" t="n"/>
      <c r="N24" s="181" t="n"/>
    </row>
    <row r="25">
      <c r="A25" s="181" t="n">
        <v>4</v>
      </c>
      <c r="B25" s="181" t="inlineStr">
        <is>
          <t>rhodiola-rosea</t>
        </is>
      </c>
      <c r="C25" s="181" t="inlineStr">
        <is>
          <t>Rhodiola Rosea</t>
        </is>
      </c>
      <c r="D25" s="181" t="n">
        <v>8.050000000000001</v>
      </c>
      <c r="E25" s="181" t="n">
        <v>5.8749</v>
      </c>
      <c r="F25" s="181" t="inlineStr">
        <is>
          <t>Oxidative Stress (6.05), Inflammation (2.0)</t>
        </is>
      </c>
      <c r="G25" s="181" t="inlineStr">
        <is>
          <t>Ranks via strongest inflammation support from Oxidative Stress, Inflammation.</t>
        </is>
      </c>
      <c r="H25" s="181" t="inlineStr">
        <is>
          <t>none</t>
        </is>
      </c>
      <c r="I25" s="181" t="str"/>
      <c r="J25" s="181" t="n"/>
      <c r="K25" s="181" t="n"/>
      <c r="L25" s="181" t="n"/>
      <c r="M25" s="181" t="n"/>
      <c r="N25" s="181" t="n"/>
    </row>
    <row r="26">
      <c r="A26" s="181" t="n">
        <v>5</v>
      </c>
      <c r="B26" s="181" t="inlineStr">
        <is>
          <t>lemon-balm</t>
        </is>
      </c>
      <c r="C26" s="181" t="inlineStr">
        <is>
          <t>Lemon Balm</t>
        </is>
      </c>
      <c r="D26" s="181" t="n">
        <v>6.65</v>
      </c>
      <c r="E26" s="181" t="n">
        <v>4.4389</v>
      </c>
      <c r="F26" s="181" t="inlineStr">
        <is>
          <t>Inflammation (5.0), Oxidative Stress (1.65)</t>
        </is>
      </c>
      <c r="G26" s="181" t="inlineStr">
        <is>
          <t>Ranks via strongest inflammation support from Inflammation, Oxidative Stress.</t>
        </is>
      </c>
      <c r="H26" s="181" t="inlineStr">
        <is>
          <t>none</t>
        </is>
      </c>
      <c r="I26" s="181" t="str"/>
      <c r="J26" s="181" t="n"/>
      <c r="K26" s="181" t="n"/>
      <c r="L26" s="181" t="n"/>
      <c r="M26" s="181" t="n"/>
      <c r="N26" s="181" t="n"/>
    </row>
    <row r="27">
      <c r="A27" s="181" t="n">
        <v>6</v>
      </c>
      <c r="B27" s="181" t="inlineStr">
        <is>
          <t>ashwagandha</t>
        </is>
      </c>
      <c r="C27" s="181" t="inlineStr">
        <is>
          <t>Ashwagandha</t>
        </is>
      </c>
      <c r="D27" s="181" t="n">
        <v>8.1</v>
      </c>
      <c r="E27" s="181" t="n">
        <v>4.2534</v>
      </c>
      <c r="F27" s="181" t="inlineStr">
        <is>
          <t>Inflammation (5.5), Oxidative Stress (2.2), Immune (0.4)</t>
        </is>
      </c>
      <c r="G27" s="181" t="inlineStr">
        <is>
          <t>Ranks via strongest inflammation support from Inflammation, Oxidative Stress, Immune.</t>
        </is>
      </c>
      <c r="H27" s="181" t="inlineStr">
        <is>
          <t>penalty_0.85x</t>
        </is>
      </c>
      <c r="I27" s="181" t="inlineStr">
        <is>
          <t>Sedation / thyroid / immune: sedatives, thyroid meds, immunosuppressants, pregnancy</t>
        </is>
      </c>
      <c r="J27" s="181" t="n"/>
      <c r="K27" s="181" t="n"/>
      <c r="L27" s="181" t="n"/>
      <c r="M27" s="181" t="n"/>
      <c r="N27" s="181" t="n"/>
    </row>
    <row r="28">
      <c r="A28" s="181" t="n">
        <v>7</v>
      </c>
      <c r="B28" s="181" t="inlineStr">
        <is>
          <t>turmeric</t>
        </is>
      </c>
      <c r="C28" s="181" t="inlineStr">
        <is>
          <t>Turmeric</t>
        </is>
      </c>
      <c r="D28" s="181" t="n">
        <v>9.300000000000001</v>
      </c>
      <c r="E28" s="181" t="n">
        <v>3.4671</v>
      </c>
      <c r="F28" s="181" t="inlineStr">
        <is>
          <t>Inflammation (6.0), Oxidative Stress (3.3)</t>
        </is>
      </c>
      <c r="G28" s="181" t="inlineStr">
        <is>
          <t>Ranks via strongest inflammation support from Inflammation, Oxidative Stress.</t>
        </is>
      </c>
      <c r="H28" s="181" t="inlineStr">
        <is>
          <t>penalty_0.85x</t>
        </is>
      </c>
      <c r="I28" s="181" t="inlineStr">
        <is>
          <t>Bleeding / gallbladder: anticoagulants, antiplatelets, gallbladder obstruction</t>
        </is>
      </c>
      <c r="J28" s="181" t="n"/>
      <c r="K28" s="181" t="n"/>
      <c r="L28" s="181" t="n"/>
      <c r="M28" s="181" t="n"/>
      <c r="N28" s="181" t="n"/>
    </row>
    <row r="29">
      <c r="A29" s="181" t="n">
        <v>8</v>
      </c>
      <c r="B29" s="181" t="inlineStr">
        <is>
          <t>echinacea-purpurea</t>
        </is>
      </c>
      <c r="C29" s="181" t="inlineStr">
        <is>
          <t>Echinacea Purpurea</t>
        </is>
      </c>
      <c r="D29" s="181" t="n">
        <v>6.8375</v>
      </c>
      <c r="E29" s="181" t="n">
        <v>3.1165</v>
      </c>
      <c r="F29" s="181" t="inlineStr">
        <is>
          <t>Oxidative Stress (3.44), Inflammation (3.0), Immune (0.4)</t>
        </is>
      </c>
      <c r="G29" s="181" t="inlineStr">
        <is>
          <t>Ranks via strongest inflammation support from Oxidative Stress, Inflammation, Immune.</t>
        </is>
      </c>
      <c r="H29" s="181" t="inlineStr">
        <is>
          <t>none</t>
        </is>
      </c>
      <c r="I29" s="181" t="str"/>
      <c r="J29" s="181" t="n"/>
      <c r="K29" s="181" t="n"/>
      <c r="L29" s="181" t="n"/>
      <c r="M29" s="181" t="n"/>
      <c r="N29" s="181" t="n"/>
    </row>
    <row r="30">
      <c r="A30" s="181" t="n">
        <v>9</v>
      </c>
      <c r="B30" s="181" t="inlineStr">
        <is>
          <t>black-cohosh</t>
        </is>
      </c>
      <c r="C30" s="181" t="inlineStr">
        <is>
          <t>Black Cohosh</t>
        </is>
      </c>
      <c r="D30" s="181" t="n">
        <v>4.55</v>
      </c>
      <c r="E30" s="181" t="n">
        <v>2.8324</v>
      </c>
      <c r="F30" s="181" t="inlineStr">
        <is>
          <t>Inflammation (4.0), Oxidative Stress (0.55)</t>
        </is>
      </c>
      <c r="G30" s="181" t="inlineStr">
        <is>
          <t>Ranks via strongest inflammation support from Inflammation, Oxidative Stress.</t>
        </is>
      </c>
      <c r="H30" s="181" t="inlineStr">
        <is>
          <t>none</t>
        </is>
      </c>
      <c r="I30" s="181" t="str"/>
      <c r="J30" s="181" t="n"/>
      <c r="K30" s="181" t="n"/>
      <c r="L30" s="181" t="n"/>
      <c r="M30" s="181" t="n"/>
      <c r="N30" s="181" t="n"/>
    </row>
    <row r="31">
      <c r="A31" s="181" t="n">
        <v>10</v>
      </c>
      <c r="B31" s="181" t="inlineStr">
        <is>
          <t>saw-palmetto</t>
        </is>
      </c>
      <c r="C31" s="181" t="inlineStr">
        <is>
          <t>Saw Palmetto</t>
        </is>
      </c>
      <c r="D31" s="181" t="n">
        <v>3</v>
      </c>
      <c r="E31" s="181" t="n">
        <v>2.34</v>
      </c>
      <c r="F31" s="181" t="inlineStr">
        <is>
          <t>Inflammation (3.0)</t>
        </is>
      </c>
      <c r="G31" s="181" t="inlineStr">
        <is>
          <t>Ranks via strongest inflammation support from Inflammation.</t>
        </is>
      </c>
      <c r="H31" s="181" t="inlineStr">
        <is>
          <t>none</t>
        </is>
      </c>
      <c r="I31" s="181" t="str"/>
      <c r="J31" s="181" t="n"/>
      <c r="K31" s="181" t="n"/>
      <c r="L31" s="181" t="n"/>
      <c r="M31" s="181" t="n"/>
      <c r="N31" s="181" t="n"/>
    </row>
    <row r="32">
      <c r="A32" s="181" t="n"/>
      <c r="B32" s="181" t="n"/>
      <c r="C32" s="181" t="n"/>
      <c r="D32" s="181" t="n"/>
      <c r="E32" s="181" t="n"/>
      <c r="F32" s="181" t="n"/>
      <c r="G32" s="181" t="n"/>
      <c r="H32" s="181" t="n"/>
      <c r="I32" s="181" t="n"/>
      <c r="J32" s="181" t="n"/>
      <c r="K32" s="181" t="n"/>
      <c r="L32" s="181" t="n"/>
      <c r="M32" s="181" t="n"/>
      <c r="N32" s="181" t="n"/>
    </row>
    <row r="33">
      <c r="A33" s="181" t="n"/>
      <c r="B33" s="181" t="n"/>
      <c r="C33" s="181" t="n"/>
      <c r="D33" s="181" t="n"/>
      <c r="E33" s="181" t="n"/>
      <c r="F33" s="181" t="n"/>
      <c r="G33" s="181" t="n"/>
      <c r="H33" s="181" t="n"/>
      <c r="I33" s="181" t="n"/>
      <c r="J33" s="181" t="n"/>
      <c r="K33" s="181" t="n"/>
      <c r="L33" s="181" t="n"/>
      <c r="M33" s="181" t="n"/>
      <c r="N33" s="181" t="n"/>
    </row>
    <row r="34">
      <c r="A34" s="181" t="n"/>
      <c r="B34" s="181" t="n"/>
      <c r="C34" s="181" t="n"/>
      <c r="D34" s="181" t="n"/>
      <c r="E34" s="181" t="n"/>
      <c r="F34" s="181" t="n"/>
      <c r="G34" s="181" t="n"/>
      <c r="H34" s="181" t="n"/>
      <c r="I34" s="181" t="n"/>
      <c r="J34" s="181" t="n"/>
      <c r="K34" s="181" t="n"/>
      <c r="L34" s="181" t="n"/>
      <c r="M34" s="181" t="n"/>
      <c r="N34" s="181" t="n"/>
    </row>
    <row r="35">
      <c r="A35" s="181" t="inlineStr">
        <is>
          <t>Mood/Stress Blend View</t>
        </is>
      </c>
      <c r="B35" s="181" t="n"/>
      <c r="C35" s="181" t="n"/>
      <c r="D35" s="181" t="n"/>
      <c r="E35" s="181" t="n"/>
      <c r="F35" s="181" t="n"/>
      <c r="G35" s="181" t="n"/>
      <c r="H35" s="181" t="n"/>
      <c r="I35" s="181" t="n"/>
      <c r="J35" s="181" t="n"/>
      <c r="K35" s="181" t="n"/>
      <c r="L35" s="181" t="n"/>
      <c r="M35" s="181" t="n"/>
      <c r="N35" s="181" t="n"/>
    </row>
    <row r="36">
      <c r="A36" s="181" t="inlineStr">
        <is>
          <t>Prioritize stress resilience and mood-related signaling.</t>
        </is>
      </c>
      <c r="B36" s="181" t="n"/>
      <c r="C36" s="181" t="n"/>
      <c r="D36" s="181" t="n"/>
      <c r="E36" s="181" t="n"/>
      <c r="F36" s="181" t="n"/>
      <c r="G36" s="181" t="n"/>
      <c r="H36" s="181" t="n"/>
      <c r="I36" s="181" t="n"/>
      <c r="J36" s="181" t="n"/>
      <c r="K36" s="181" t="n"/>
      <c r="L36" s="181" t="n"/>
      <c r="M36" s="181" t="n"/>
      <c r="N36" s="181" t="n"/>
    </row>
    <row r="37">
      <c r="A37" s="181" t="n"/>
      <c r="B37" s="181" t="n"/>
      <c r="C37" s="181" t="n"/>
      <c r="D37" s="181" t="n"/>
      <c r="E37" s="181" t="n"/>
      <c r="F37" s="181" t="n"/>
      <c r="G37" s="181" t="n"/>
      <c r="H37" s="181" t="n"/>
      <c r="I37" s="181" t="n"/>
      <c r="J37" s="181" t="n"/>
      <c r="K37" s="181" t="n"/>
      <c r="L37" s="181" t="n"/>
      <c r="M37" s="181" t="n"/>
      <c r="N37" s="181" t="n"/>
    </row>
    <row r="38">
      <c r="A38" s="181" t="inlineStr">
        <is>
          <t>rank</t>
        </is>
      </c>
      <c r="B38" s="181" t="inlineStr">
        <is>
          <t>herbSlug</t>
        </is>
      </c>
      <c r="C38" s="181" t="inlineStr">
        <is>
          <t>herbName</t>
        </is>
      </c>
      <c r="D38" s="181" t="inlineStr">
        <is>
          <t>goalRaw</t>
        </is>
      </c>
      <c r="E38" s="181" t="inlineStr">
        <is>
          <t>goalAdjusted</t>
        </is>
      </c>
      <c r="F38" s="181" t="inlineStr">
        <is>
          <t>topDomains</t>
        </is>
      </c>
      <c r="G38" s="181" t="inlineStr">
        <is>
          <t>whyRankedHigh</t>
        </is>
      </c>
      <c r="H38" s="181" t="inlineStr">
        <is>
          <t>filterAction</t>
        </is>
      </c>
      <c r="I38" s="181" t="inlineStr">
        <is>
          <t>context</t>
        </is>
      </c>
      <c r="J38" s="181" t="n"/>
      <c r="K38" s="181" t="n"/>
      <c r="L38" s="181" t="n"/>
      <c r="M38" s="181" t="n"/>
      <c r="N38" s="181" t="n"/>
    </row>
    <row r="39">
      <c r="A39" s="181" t="n">
        <v>1</v>
      </c>
      <c r="B39" s="181" t="inlineStr">
        <is>
          <t>rhodiola-rosea</t>
        </is>
      </c>
      <c r="C39" s="181" t="inlineStr">
        <is>
          <t>Rhodiola Rosea</t>
        </is>
      </c>
      <c r="D39" s="181" t="n">
        <v>20.3</v>
      </c>
      <c r="E39" s="181" t="n">
        <v>14.8149</v>
      </c>
      <c r="F39" s="181" t="inlineStr">
        <is>
          <t>Adaptogen/Stress (16.0), Oxidative Stress (2.2), Monoamine/Mood (2.1)</t>
        </is>
      </c>
      <c r="G39" s="181" t="inlineStr">
        <is>
          <t>Ranks via strongest mood/stress support from Adaptogen/Stress, Oxidative Stress, Monoamine/Mood.</t>
        </is>
      </c>
      <c r="H39" s="181" t="inlineStr">
        <is>
          <t>none</t>
        </is>
      </c>
      <c r="I39" s="181" t="str"/>
      <c r="J39" s="181" t="n"/>
      <c r="K39" s="181" t="n"/>
      <c r="L39" s="181" t="n"/>
      <c r="M39" s="181" t="n"/>
      <c r="N39" s="181" t="n"/>
    </row>
    <row r="40">
      <c r="A40" s="181" t="n">
        <v>2</v>
      </c>
      <c r="B40" s="181" t="inlineStr">
        <is>
          <t>milk-thistle</t>
        </is>
      </c>
      <c r="C40" s="181" t="inlineStr">
        <is>
          <t>Milk Thistle</t>
        </is>
      </c>
      <c r="D40" s="181" t="n">
        <v>11.1</v>
      </c>
      <c r="E40" s="181" t="n">
        <v>5.8807</v>
      </c>
      <c r="F40" s="181" t="inlineStr">
        <is>
          <t>Adaptogen/Stress (9.25), Oxidative Stress (1.85)</t>
        </is>
      </c>
      <c r="G40" s="181" t="inlineStr">
        <is>
          <t>Ranks via strongest mood/stress support from Adaptogen/Stress, Oxidative Stress.</t>
        </is>
      </c>
      <c r="H40" s="181" t="inlineStr">
        <is>
          <t>penalty_0.93x</t>
        </is>
      </c>
      <c r="I40" s="181" t="inlineStr">
        <is>
          <t>Allergy / interaction review: Asteraceae allergy, multi-drug regimens</t>
        </is>
      </c>
      <c r="J40" s="181" t="n"/>
      <c r="K40" s="181" t="n"/>
      <c r="L40" s="181" t="n"/>
      <c r="M40" s="181" t="n"/>
      <c r="N40" s="181" t="n"/>
    </row>
    <row r="41">
      <c r="A41" s="181" t="n">
        <v>3</v>
      </c>
      <c r="B41" s="181" t="inlineStr">
        <is>
          <t>holy-basil</t>
        </is>
      </c>
      <c r="C41" s="181" t="inlineStr">
        <is>
          <t>Holy Basil</t>
        </is>
      </c>
      <c r="D41" s="181" t="n">
        <v>4.6</v>
      </c>
      <c r="E41" s="181" t="n">
        <v>3.8934</v>
      </c>
      <c r="F41" s="181" t="inlineStr">
        <is>
          <t>Adaptogen/Stress (4.0), Oxidative Stress (0.6)</t>
        </is>
      </c>
      <c r="G41" s="181" t="inlineStr">
        <is>
          <t>Ranks via strongest mood/stress support from Adaptogen/Stress, Oxidative Stress.</t>
        </is>
      </c>
      <c r="H41" s="181" t="inlineStr">
        <is>
          <t>none</t>
        </is>
      </c>
      <c r="I41" s="181" t="str"/>
    </row>
    <row r="42">
      <c r="A42" s="181" t="n">
        <v>4</v>
      </c>
      <c r="B42" s="181" t="inlineStr">
        <is>
          <t>ashwagandha</t>
        </is>
      </c>
      <c r="C42" s="181" t="inlineStr">
        <is>
          <t>Ashwagandha</t>
        </is>
      </c>
      <c r="D42" s="181" t="n">
        <v>7.3</v>
      </c>
      <c r="E42" s="181" t="n">
        <v>3.8333</v>
      </c>
      <c r="F42" s="181" t="inlineStr">
        <is>
          <t>Adaptogen/Stress (6.5), Oxidative Stress (0.8)</t>
        </is>
      </c>
      <c r="G42" s="181" t="inlineStr">
        <is>
          <t>Ranks via strongest mood/stress support from Adaptogen/Stress, Oxidative Stress.</t>
        </is>
      </c>
      <c r="H42" s="181" t="inlineStr">
        <is>
          <t>penalty_0.85x</t>
        </is>
      </c>
      <c r="I42" s="181" t="inlineStr">
        <is>
          <t>Sedation / thyroid / immune: sedatives, thyroid meds, immunosuppressants, pregnancy</t>
        </is>
      </c>
    </row>
    <row r="43">
      <c r="A43" s="181" t="n">
        <v>5</v>
      </c>
      <c r="B43" s="181" t="inlineStr">
        <is>
          <t>echinacea-purpurea</t>
        </is>
      </c>
      <c r="C43" s="181" t="inlineStr">
        <is>
          <t>Echinacea Purpurea</t>
        </is>
      </c>
      <c r="D43" s="181" t="n">
        <v>7.5</v>
      </c>
      <c r="E43" s="181" t="n">
        <v>3.4185</v>
      </c>
      <c r="F43" s="181" t="inlineStr">
        <is>
          <t>Adaptogen/Stress (6.25), Oxidative Stress (1.25)</t>
        </is>
      </c>
      <c r="G43" s="181" t="inlineStr">
        <is>
          <t>Ranks via strongest mood/stress support from Adaptogen/Stress, Oxidative Stress.</t>
        </is>
      </c>
      <c r="H43" s="181" t="inlineStr">
        <is>
          <t>none</t>
        </is>
      </c>
      <c r="I43" s="181" t="str"/>
    </row>
    <row r="44">
      <c r="A44" s="181" t="n">
        <v>6</v>
      </c>
      <c r="B44" s="181" t="inlineStr">
        <is>
          <t>ginkgo-biloba</t>
        </is>
      </c>
      <c r="C44" s="181" t="inlineStr">
        <is>
          <t>Ginkgo Biloba</t>
        </is>
      </c>
      <c r="D44" s="181" t="n">
        <v>3.9</v>
      </c>
      <c r="E44" s="181" t="n">
        <v>2.638</v>
      </c>
      <c r="F44" s="181" t="inlineStr">
        <is>
          <t>Adaptogen/Stress (3.25), Oxidative Stress (0.65)</t>
        </is>
      </c>
      <c r="G44" s="181" t="inlineStr">
        <is>
          <t>Ranks via strongest mood/stress support from Adaptogen/Stress, Oxidative Stress.</t>
        </is>
      </c>
      <c r="H44" s="181" t="inlineStr">
        <is>
          <t>none</t>
        </is>
      </c>
      <c r="I44" s="181" t="str"/>
    </row>
    <row r="45">
      <c r="A45" s="181" t="n">
        <v>7</v>
      </c>
      <c r="B45" s="181" t="inlineStr">
        <is>
          <t>lemon-balm</t>
        </is>
      </c>
      <c r="C45" s="181" t="inlineStr">
        <is>
          <t>Lemon Balm</t>
        </is>
      </c>
      <c r="D45" s="181" t="n">
        <v>3.6</v>
      </c>
      <c r="E45" s="181" t="n">
        <v>2.403</v>
      </c>
      <c r="F45" s="181" t="inlineStr">
        <is>
          <t>Adaptogen/Stress (3.0), Oxidative Stress (0.6)</t>
        </is>
      </c>
      <c r="G45" s="181" t="inlineStr">
        <is>
          <t>Ranks via strongest mood/stress support from Adaptogen/Stress, Oxidative Stress.</t>
        </is>
      </c>
      <c r="H45" s="181" t="inlineStr">
        <is>
          <t>none</t>
        </is>
      </c>
      <c r="I45" s="181" t="str"/>
    </row>
    <row r="46">
      <c r="A46" s="181" t="n">
        <v>8</v>
      </c>
      <c r="B46" s="181" t="inlineStr">
        <is>
          <t>turmeric</t>
        </is>
      </c>
      <c r="C46" s="181" t="inlineStr">
        <is>
          <t>Turmeric</t>
        </is>
      </c>
      <c r="D46" s="181" t="n">
        <v>5.2</v>
      </c>
      <c r="E46" s="181" t="n">
        <v>1.9386</v>
      </c>
      <c r="F46" s="181" t="inlineStr">
        <is>
          <t>Adaptogen/Stress (4.0), Oxidative Stress (1.2)</t>
        </is>
      </c>
      <c r="G46" s="181" t="inlineStr">
        <is>
          <t>Ranks via strongest mood/stress support from Adaptogen/Stress, Oxidative Stress.</t>
        </is>
      </c>
      <c r="H46" s="181" t="inlineStr">
        <is>
          <t>penalty_0.85x</t>
        </is>
      </c>
      <c r="I46" s="181" t="inlineStr">
        <is>
          <t>Bleeding / gallbladder: anticoagulants, antiplatelets, gallbladder obstruction</t>
        </is>
      </c>
    </row>
    <row r="47">
      <c r="A47" s="181" t="n">
        <v>9</v>
      </c>
      <c r="B47" s="181" t="inlineStr">
        <is>
          <t>garlic</t>
        </is>
      </c>
      <c r="C47" s="181" t="inlineStr">
        <is>
          <t>Garlic</t>
        </is>
      </c>
      <c r="D47" s="181" t="n">
        <v>4.3</v>
      </c>
      <c r="E47" s="181" t="n">
        <v>1.6037</v>
      </c>
      <c r="F47" s="181" t="inlineStr">
        <is>
          <t>Adaptogen/Stress (3.25), Oxidative Stress (1.05)</t>
        </is>
      </c>
      <c r="G47" s="181" t="inlineStr">
        <is>
          <t>Ranks via strongest mood/stress support from Adaptogen/Stress, Oxidative Stress.</t>
        </is>
      </c>
      <c r="H47" s="181" t="inlineStr">
        <is>
          <t>penalty_0.85x</t>
        </is>
      </c>
      <c r="I47" s="181" t="inlineStr">
        <is>
          <t>Bleeding / perioperative: anticoagulants, antiplatelets, upcoming surgery</t>
        </is>
      </c>
    </row>
    <row r="48">
      <c r="A48" s="181" t="n">
        <v>10</v>
      </c>
      <c r="B48" s="181" t="inlineStr">
        <is>
          <t>peppermint</t>
        </is>
      </c>
      <c r="C48" s="181" t="inlineStr">
        <is>
          <t>Peppermint</t>
        </is>
      </c>
      <c r="D48" s="181" t="n">
        <v>2</v>
      </c>
      <c r="E48" s="181" t="n">
        <v>0.8699</v>
      </c>
      <c r="F48" s="181" t="inlineStr">
        <is>
          <t>Adaptogen/Stress (2.0)</t>
        </is>
      </c>
      <c r="G48" s="181" t="inlineStr">
        <is>
          <t>Ranks via strongest mood/stress support from Adaptogen/Stress.</t>
        </is>
      </c>
      <c r="H48" s="181" t="inlineStr">
        <is>
          <t>penalty_0.85x</t>
        </is>
      </c>
      <c r="I48" s="181" t="inlineStr">
        <is>
          <t>GI / reflux / bile flow: GERD, bile duct obstruction</t>
        </is>
      </c>
    </row>
    <row r="49">
      <c r="A49" s="181" t="n"/>
      <c r="B49" s="181" t="n"/>
      <c r="C49" s="181" t="n"/>
      <c r="D49" s="181" t="n"/>
      <c r="E49" s="181" t="n"/>
      <c r="F49" s="181" t="n"/>
      <c r="G49" s="181" t="n"/>
      <c r="H49" s="181" t="n"/>
      <c r="I49" s="181" t="n"/>
    </row>
    <row r="50">
      <c r="A50" s="181" t="n"/>
      <c r="B50" s="181" t="n"/>
      <c r="C50" s="181" t="n"/>
      <c r="D50" s="181" t="n"/>
      <c r="E50" s="181" t="n"/>
      <c r="F50" s="181" t="n"/>
      <c r="G50" s="181" t="n"/>
      <c r="H50" s="181" t="n"/>
      <c r="I50" s="181" t="n"/>
    </row>
    <row r="51">
      <c r="A51" s="181" t="n"/>
      <c r="B51" s="181" t="n"/>
      <c r="C51" s="181" t="n"/>
      <c r="D51" s="181" t="n"/>
      <c r="E51" s="181" t="n"/>
      <c r="F51" s="181" t="n"/>
      <c r="G51" s="181" t="n"/>
      <c r="H51" s="181" t="n"/>
      <c r="I51" s="181" t="n"/>
    </row>
    <row r="52">
      <c r="A52" s="181" t="inlineStr">
        <is>
          <t>Liver/Detox Blend View</t>
        </is>
      </c>
      <c r="B52" s="181" t="n"/>
      <c r="C52" s="181" t="n"/>
      <c r="D52" s="181" t="n"/>
      <c r="E52" s="181" t="n"/>
      <c r="F52" s="181" t="n"/>
      <c r="G52" s="181" t="n"/>
      <c r="H52" s="181" t="n"/>
      <c r="I52" s="181" t="n"/>
    </row>
    <row r="53">
      <c r="A53" s="181" t="inlineStr">
        <is>
          <t>Prioritize hepatic/detox support with oxidative-stress buffering.</t>
        </is>
      </c>
      <c r="B53" s="181" t="n"/>
      <c r="C53" s="181" t="n"/>
      <c r="D53" s="181" t="n"/>
      <c r="E53" s="181" t="n"/>
      <c r="F53" s="181" t="n"/>
      <c r="G53" s="181" t="n"/>
      <c r="H53" s="181" t="n"/>
      <c r="I53" s="181" t="n"/>
    </row>
    <row r="54">
      <c r="A54" s="181" t="n"/>
      <c r="B54" s="181" t="n"/>
      <c r="C54" s="181" t="n"/>
      <c r="D54" s="181" t="n"/>
      <c r="E54" s="181" t="n"/>
      <c r="F54" s="181" t="n"/>
      <c r="G54" s="181" t="n"/>
      <c r="H54" s="181" t="n"/>
      <c r="I54" s="181" t="n"/>
    </row>
    <row r="55">
      <c r="A55" s="181" t="inlineStr">
        <is>
          <t>rank</t>
        </is>
      </c>
      <c r="B55" s="181" t="inlineStr">
        <is>
          <t>herbSlug</t>
        </is>
      </c>
      <c r="C55" s="181" t="inlineStr">
        <is>
          <t>herbName</t>
        </is>
      </c>
      <c r="D55" s="181" t="inlineStr">
        <is>
          <t>goalRaw</t>
        </is>
      </c>
      <c r="E55" s="181" t="inlineStr">
        <is>
          <t>goalAdjusted</t>
        </is>
      </c>
      <c r="F55" s="181" t="inlineStr">
        <is>
          <t>topDomains</t>
        </is>
      </c>
      <c r="G55" s="181" t="inlineStr">
        <is>
          <t>whyRankedHigh</t>
        </is>
      </c>
      <c r="H55" s="181" t="inlineStr">
        <is>
          <t>filterAction</t>
        </is>
      </c>
      <c r="I55" s="181" t="inlineStr">
        <is>
          <t>context</t>
        </is>
      </c>
    </row>
    <row r="56">
      <c r="A56" s="181" t="n">
        <v>1</v>
      </c>
      <c r="B56" s="181" t="inlineStr">
        <is>
          <t>milk-thistle</t>
        </is>
      </c>
      <c r="C56" s="181" t="inlineStr">
        <is>
          <t>Milk Thistle</t>
        </is>
      </c>
      <c r="D56" s="181" t="n">
        <v>11.725</v>
      </c>
      <c r="E56" s="181" t="n">
        <v>6.2117</v>
      </c>
      <c r="F56" s="181" t="inlineStr">
        <is>
          <t>Hepatic/Detox (5.25), Oxidative Stress (4.62), Inflammation (1.85)</t>
        </is>
      </c>
      <c r="G56" s="181" t="inlineStr">
        <is>
          <t>Ranks via strongest liver/detox support from Hepatic/Detox, Oxidative Stress, Inflammation.</t>
        </is>
      </c>
      <c r="H56" s="181" t="inlineStr">
        <is>
          <t>penalty_0.93x</t>
        </is>
      </c>
      <c r="I56" s="181" t="inlineStr">
        <is>
          <t>Allergy / interaction review: Asteraceae allergy, multi-drug regimens</t>
        </is>
      </c>
    </row>
    <row r="57">
      <c r="A57" s="181" t="n">
        <v>2</v>
      </c>
      <c r="B57" s="181" t="inlineStr">
        <is>
          <t>holy-basil</t>
        </is>
      </c>
      <c r="C57" s="181" t="inlineStr">
        <is>
          <t>Holy Basil</t>
        </is>
      </c>
      <c r="D57" s="181" t="n">
        <v>5.9</v>
      </c>
      <c r="E57" s="181" t="n">
        <v>4.9938</v>
      </c>
      <c r="F57" s="181" t="inlineStr">
        <is>
          <t>Hepatic/Detox (3.0), Oxidative Stress (1.5), Inflammation (1.4)</t>
        </is>
      </c>
      <c r="G57" s="181" t="inlineStr">
        <is>
          <t>Ranks via strongest liver/detox support from Hepatic/Detox, Oxidative Stress, Inflammation.</t>
        </is>
      </c>
      <c r="H57" s="181" t="inlineStr">
        <is>
          <t>none</t>
        </is>
      </c>
      <c r="I57" s="181" t="str"/>
    </row>
    <row r="58">
      <c r="A58" s="181" t="n">
        <v>3</v>
      </c>
      <c r="B58" s="181" t="inlineStr">
        <is>
          <t>rhodiola-rosea</t>
        </is>
      </c>
      <c r="C58" s="181" t="inlineStr">
        <is>
          <t>Rhodiola Rosea</t>
        </is>
      </c>
      <c r="D58" s="181" t="n">
        <v>5.9</v>
      </c>
      <c r="E58" s="181" t="n">
        <v>4.3058</v>
      </c>
      <c r="F58" s="181" t="inlineStr">
        <is>
          <t>Oxidative Stress (5.5), Inflammation (0.4)</t>
        </is>
      </c>
      <c r="G58" s="181" t="inlineStr">
        <is>
          <t>Ranks via strongest liver/detox support from Oxidative Stress, Inflammation.</t>
        </is>
      </c>
      <c r="H58" s="181" t="inlineStr">
        <is>
          <t>none</t>
        </is>
      </c>
      <c r="I58" s="181" t="str"/>
    </row>
    <row r="59">
      <c r="A59" s="181" t="n">
        <v>4</v>
      </c>
      <c r="B59" s="181" t="inlineStr">
        <is>
          <t>ginkgo-biloba</t>
        </is>
      </c>
      <c r="C59" s="181" t="inlineStr">
        <is>
          <t>Ginkgo Biloba</t>
        </is>
      </c>
      <c r="D59" s="181" t="n">
        <v>5.125</v>
      </c>
      <c r="E59" s="181" t="n">
        <v>3.4666</v>
      </c>
      <c r="F59" s="181" t="inlineStr">
        <is>
          <t>Inflammation (2.25), Oxidative Stress (1.62), Hepatic/Detox (1.25)</t>
        </is>
      </c>
      <c r="G59" s="181" t="inlineStr">
        <is>
          <t>Ranks via strongest liver/detox support from Inflammation, Oxidative Stress, Hepatic/Detox.</t>
        </is>
      </c>
      <c r="H59" s="181" t="inlineStr">
        <is>
          <t>none</t>
        </is>
      </c>
      <c r="I59" s="181" t="str"/>
    </row>
    <row r="60">
      <c r="A60" s="181" t="n">
        <v>5</v>
      </c>
      <c r="B60" s="181" t="inlineStr">
        <is>
          <t>turmeric</t>
        </is>
      </c>
      <c r="C60" s="181" t="inlineStr">
        <is>
          <t>Turmeric</t>
        </is>
      </c>
      <c r="D60" s="181" t="n">
        <v>8.199999999999999</v>
      </c>
      <c r="E60" s="181" t="n">
        <v>3.057</v>
      </c>
      <c r="F60" s="181" t="inlineStr">
        <is>
          <t>Hepatic/Detox (4.0), Oxidative Stress (3.0), Inflammation (1.2)</t>
        </is>
      </c>
      <c r="G60" s="181" t="inlineStr">
        <is>
          <t>Ranks via strongest liver/detox support from Hepatic/Detox, Oxidative Stress, Inflammation.</t>
        </is>
      </c>
      <c r="H60" s="181" t="inlineStr">
        <is>
          <t>penalty_0.85x</t>
        </is>
      </c>
      <c r="I60" s="181" t="inlineStr">
        <is>
          <t>Bleeding / gallbladder: anticoagulants, antiplatelets, gallbladder obstruction</t>
        </is>
      </c>
    </row>
    <row r="61">
      <c r="A61" s="181" t="n">
        <v>6</v>
      </c>
      <c r="B61" s="181" t="inlineStr">
        <is>
          <t>ashwagandha</t>
        </is>
      </c>
      <c r="C61" s="181" t="inlineStr">
        <is>
          <t>Ashwagandha</t>
        </is>
      </c>
      <c r="D61" s="181" t="n">
        <v>5.6</v>
      </c>
      <c r="E61" s="181" t="n">
        <v>2.9407</v>
      </c>
      <c r="F61" s="181" t="inlineStr">
        <is>
          <t>Hepatic/Detox (2.5), Oxidative Stress (2.0), Inflammation (1.1)</t>
        </is>
      </c>
      <c r="G61" s="181" t="inlineStr">
        <is>
          <t>Ranks via strongest liver/detox support from Hepatic/Detox, Oxidative Stress, Inflammation.</t>
        </is>
      </c>
      <c r="H61" s="181" t="inlineStr">
        <is>
          <t>penalty_0.85x</t>
        </is>
      </c>
      <c r="I61" s="181" t="inlineStr">
        <is>
          <t>Sedation / thyroid / immune: sedatives, thyroid meds, immunosuppressants, pregnancy</t>
        </is>
      </c>
    </row>
    <row r="62">
      <c r="A62" s="181" t="n">
        <v>7</v>
      </c>
      <c r="B62" s="181" t="inlineStr">
        <is>
          <t>garlic</t>
        </is>
      </c>
      <c r="C62" s="181" t="inlineStr">
        <is>
          <t>Garlic</t>
        </is>
      </c>
      <c r="D62" s="181" t="n">
        <v>7.025</v>
      </c>
      <c r="E62" s="181" t="n">
        <v>2.62</v>
      </c>
      <c r="F62" s="181" t="inlineStr">
        <is>
          <t>Hepatic/Detox (4.0), Oxidative Stress (2.62), Inflammation (0.4)</t>
        </is>
      </c>
      <c r="G62" s="181" t="inlineStr">
        <is>
          <t>Ranks via strongest liver/detox support from Hepatic/Detox, Oxidative Stress, Inflammation.</t>
        </is>
      </c>
      <c r="H62" s="181" t="inlineStr">
        <is>
          <t>penalty_0.85x</t>
        </is>
      </c>
      <c r="I62" s="181" t="inlineStr">
        <is>
          <t>Bleeding / perioperative: anticoagulants, antiplatelets, upcoming surgery</t>
        </is>
      </c>
    </row>
    <row r="63">
      <c r="A63" s="181" t="n">
        <v>8</v>
      </c>
      <c r="B63" s="181" t="inlineStr">
        <is>
          <t>peppermint</t>
        </is>
      </c>
      <c r="C63" s="181" t="inlineStr">
        <is>
          <t>Peppermint</t>
        </is>
      </c>
      <c r="D63" s="181" t="n">
        <v>5</v>
      </c>
      <c r="E63" s="181" t="n">
        <v>2.1747</v>
      </c>
      <c r="F63" s="181" t="inlineStr">
        <is>
          <t>Hepatic/Detox (5.0)</t>
        </is>
      </c>
      <c r="G63" s="181" t="inlineStr">
        <is>
          <t>Ranks via strongest liver/detox support from Hepatic/Detox.</t>
        </is>
      </c>
      <c r="H63" s="181" t="inlineStr">
        <is>
          <t>penalty_0.85x</t>
        </is>
      </c>
      <c r="I63" s="181" t="inlineStr">
        <is>
          <t>GI / reflux / bile flow: GERD, bile duct obstruction</t>
        </is>
      </c>
    </row>
    <row r="64">
      <c r="A64" s="181" t="n">
        <v>9</v>
      </c>
      <c r="B64" s="181" t="inlineStr">
        <is>
          <t>echinacea-purpurea</t>
        </is>
      </c>
      <c r="C64" s="181" t="inlineStr">
        <is>
          <t>Echinacea Purpurea</t>
        </is>
      </c>
      <c r="D64" s="181" t="n">
        <v>3.725</v>
      </c>
      <c r="E64" s="181" t="n">
        <v>1.6979</v>
      </c>
      <c r="F64" s="181" t="inlineStr">
        <is>
          <t>Oxidative Stress (3.12), Inflammation (0.6)</t>
        </is>
      </c>
      <c r="G64" s="181" t="inlineStr">
        <is>
          <t>Ranks via strongest liver/detox support from Oxidative Stress, Inflammation.</t>
        </is>
      </c>
      <c r="H64" s="181" t="inlineStr">
        <is>
          <t>none</t>
        </is>
      </c>
      <c r="I64" s="181" t="str"/>
    </row>
    <row r="65">
      <c r="A65" s="181" t="n">
        <v>10</v>
      </c>
      <c r="B65" s="181" t="inlineStr">
        <is>
          <t>lemon-balm</t>
        </is>
      </c>
      <c r="C65" s="181" t="inlineStr">
        <is>
          <t>Lemon Balm</t>
        </is>
      </c>
      <c r="D65" s="181" t="n">
        <v>2.5</v>
      </c>
      <c r="E65" s="181" t="n">
        <v>1.6687</v>
      </c>
      <c r="F65" s="181" t="inlineStr">
        <is>
          <t>Oxidative Stress (1.5), Inflammation (1.0)</t>
        </is>
      </c>
      <c r="G65" s="181" t="inlineStr">
        <is>
          <t>Ranks via strongest liver/detox support from Oxidative Stress, Inflammation.</t>
        </is>
      </c>
      <c r="H65" s="181" t="inlineStr">
        <is>
          <t>none</t>
        </is>
      </c>
      <c r="I65" s="181" t="str"/>
    </row>
    <row r="66">
      <c r="A66" s="181" t="n"/>
      <c r="B66" s="181" t="n"/>
      <c r="C66" s="181" t="n"/>
      <c r="D66" s="181" t="n"/>
      <c r="E66" s="181" t="n"/>
      <c r="F66" s="181" t="n"/>
      <c r="G66" s="181" t="n"/>
      <c r="H66" s="181" t="n"/>
      <c r="I66" s="181" t="n"/>
    </row>
    <row r="67">
      <c r="A67" s="181" t="n"/>
      <c r="B67" s="181" t="n"/>
      <c r="C67" s="181" t="n"/>
      <c r="D67" s="181" t="n"/>
      <c r="E67" s="181" t="n"/>
      <c r="F67" s="181" t="n"/>
      <c r="G67" s="181" t="n"/>
      <c r="H67" s="181" t="n"/>
      <c r="I67" s="181" t="n"/>
    </row>
    <row r="68">
      <c r="A68" s="181" t="n"/>
      <c r="B68" s="181" t="n"/>
      <c r="C68" s="181" t="n"/>
      <c r="D68" s="181" t="n"/>
      <c r="E68" s="181" t="n"/>
      <c r="F68" s="181" t="n"/>
      <c r="G68" s="181" t="n"/>
      <c r="H68" s="181" t="n"/>
      <c r="I68" s="181" t="n"/>
    </row>
    <row r="69">
      <c r="A69" s="181" t="n"/>
      <c r="B69" s="181" t="n"/>
      <c r="C69" s="181" t="n"/>
      <c r="D69" s="181" t="n"/>
      <c r="E69" s="181" t="n"/>
      <c r="F69" s="181" t="n"/>
      <c r="G69" s="181" t="n"/>
      <c r="H69" s="181" t="n"/>
      <c r="I69" s="181" t="n"/>
    </row>
    <row r="70">
      <c r="A70" s="181" t="n"/>
      <c r="B70" s="181" t="n"/>
      <c r="C70" s="181" t="n"/>
      <c r="D70" s="181" t="n"/>
      <c r="E70" s="181" t="n"/>
      <c r="F70" s="181" t="n"/>
      <c r="G70" s="181" t="n"/>
      <c r="H70" s="181" t="n"/>
      <c r="I70" s="181" t="n"/>
    </row>
    <row r="71">
      <c r="A71" s="181" t="n"/>
      <c r="B71" s="181" t="n"/>
      <c r="C71" s="181" t="n"/>
      <c r="D71" s="181" t="n"/>
      <c r="E71" s="181" t="n"/>
      <c r="F71" s="181" t="n"/>
      <c r="G71" s="181" t="n"/>
      <c r="H71" s="181" t="n"/>
      <c r="I71" s="181" t="n"/>
    </row>
    <row r="72">
      <c r="A72" s="181" t="n"/>
      <c r="B72" s="181" t="n"/>
      <c r="C72" s="181" t="n"/>
      <c r="D72" s="181" t="n"/>
      <c r="E72" s="181" t="n"/>
      <c r="F72" s="181" t="n"/>
      <c r="G72" s="181" t="n"/>
      <c r="H72" s="181" t="n"/>
      <c r="I72" s="181" t="n"/>
    </row>
    <row r="73">
      <c r="A73" s="181" t="n"/>
      <c r="B73" s="181" t="n"/>
      <c r="C73" s="181" t="n"/>
      <c r="D73" s="181" t="n"/>
      <c r="E73" s="181" t="n"/>
      <c r="F73" s="181" t="n"/>
      <c r="G73" s="181" t="n"/>
      <c r="H73" s="181" t="n"/>
      <c r="I73" s="181" t="n"/>
    </row>
    <row r="74">
      <c r="A74" s="181" t="n"/>
      <c r="B74" s="181" t="n"/>
      <c r="C74" s="181" t="n"/>
      <c r="D74" s="181" t="n"/>
      <c r="E74" s="181" t="n"/>
      <c r="F74" s="181" t="n"/>
      <c r="G74" s="181" t="n"/>
      <c r="H74" s="181" t="n"/>
      <c r="I74" s="181" t="n"/>
    </row>
    <row r="75">
      <c r="A75" s="181" t="n"/>
      <c r="B75" s="181" t="n"/>
      <c r="C75" s="181" t="n"/>
      <c r="D75" s="181" t="n"/>
      <c r="E75" s="181" t="n"/>
      <c r="F75" s="181" t="n"/>
      <c r="G75" s="181" t="n"/>
      <c r="H75" s="181" t="n"/>
      <c r="I75" s="181" t="n"/>
    </row>
    <row r="76">
      <c r="A76" s="181" t="n"/>
      <c r="B76" s="181" t="n"/>
      <c r="C76" s="181" t="n"/>
      <c r="D76" s="181" t="n"/>
      <c r="E76" s="181" t="n"/>
      <c r="F76" s="181" t="n"/>
      <c r="G76" s="181" t="n"/>
      <c r="H76" s="181" t="n"/>
      <c r="I76" s="181" t="n"/>
    </row>
    <row r="77">
      <c r="A77" s="181" t="n"/>
      <c r="B77" s="181" t="n"/>
      <c r="C77" s="181" t="n"/>
      <c r="D77" s="181" t="n"/>
      <c r="E77" s="181" t="n"/>
      <c r="F77" s="181" t="n"/>
      <c r="G77" s="181" t="n"/>
      <c r="H77" s="181" t="n"/>
      <c r="I77" s="181" t="n"/>
    </row>
    <row r="78">
      <c r="A78" s="181" t="n"/>
      <c r="B78" s="181" t="n"/>
      <c r="C78" s="181" t="n"/>
      <c r="D78" s="181" t="n"/>
      <c r="E78" s="181" t="n"/>
      <c r="F78" s="181" t="n"/>
      <c r="G78" s="181" t="n"/>
      <c r="H78" s="181" t="n"/>
      <c r="I78" s="181" t="n"/>
    </row>
    <row r="79">
      <c r="A79" s="181" t="n"/>
      <c r="B79" s="181" t="n"/>
      <c r="C79" s="181" t="n"/>
      <c r="D79" s="181" t="n"/>
      <c r="E79" s="181" t="n"/>
      <c r="F79" s="181" t="n"/>
      <c r="G79" s="181" t="n"/>
      <c r="H79" s="181" t="n"/>
      <c r="I79" s="181" t="n"/>
    </row>
    <row r="80">
      <c r="A80" s="181" t="n"/>
      <c r="B80" s="181" t="n"/>
      <c r="C80" s="181" t="n"/>
      <c r="D80" s="181" t="n"/>
      <c r="E80" s="181" t="n"/>
      <c r="F80" s="181" t="n"/>
      <c r="G80" s="181" t="n"/>
      <c r="H80" s="181" t="n"/>
      <c r="I80" s="181" t="n"/>
    </row>
  </sheetData>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8.13999938964844" customWidth="1" style="76" min="1" max="1"/>
    <col width="6.289999961853027" customWidth="1" style="76" min="2" max="2"/>
    <col width="57.29000091552734" customWidth="1" style="76" min="3" max="3"/>
  </cols>
  <sheetData>
    <row r="1">
      <c r="A1" t="inlineStr">
        <is>
          <t>action</t>
        </is>
      </c>
      <c r="B1" t="inlineStr">
        <is>
          <t>result</t>
        </is>
      </c>
      <c r="C1" t="inlineStr">
        <is>
          <t>note</t>
        </is>
      </c>
    </row>
    <row r="2">
      <c r="A2" t="inlineStr">
        <is>
          <t>goal-specific leaderboards</t>
        </is>
      </c>
      <c r="B2" t="n">
        <v>4</v>
      </c>
      <c r="C2" t="inlineStr">
        <is>
          <t>sleep, inflammation, mood/stress, liver/detox</t>
        </is>
      </c>
    </row>
    <row r="3">
      <c r="A3" t="inlineStr">
        <is>
          <t>rows per leaderboard</t>
        </is>
      </c>
      <c r="B3" t="n">
        <v>10</v>
      </c>
      <c r="C3" t="inlineStr">
        <is>
          <t>top 10 eligible herbs per goal</t>
        </is>
      </c>
    </row>
    <row r="4">
      <c r="A4" t="inlineStr">
        <is>
          <t>filtering</t>
        </is>
      </c>
      <c r="B4" t="inlineStr">
        <is>
          <t>active</t>
        </is>
      </c>
      <c r="C4" t="inlineStr">
        <is>
          <t>pass 29 contraindication penalties/exclusions applied</t>
        </is>
      </c>
    </row>
  </sheetData>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Global Recommendation Explanations</t>
        </is>
      </c>
    </row>
    <row r="2">
      <c r="A2" t="inlineStr">
        <is>
          <t>Derived from Blend Builder Engine top recommendations and linked back to scoring domains.</t>
        </is>
      </c>
    </row>
    <row r="4">
      <c r="A4" t="inlineStr">
        <is>
          <t>rank</t>
        </is>
      </c>
      <c r="B4" t="inlineStr">
        <is>
          <t>herbSlug</t>
        </is>
      </c>
      <c r="C4" t="inlineStr">
        <is>
          <t>herbName</t>
        </is>
      </c>
      <c r="D4" t="inlineStr">
        <is>
          <t>adjustedScore</t>
        </is>
      </c>
      <c r="E4" t="inlineStr">
        <is>
          <t>topDomains</t>
        </is>
      </c>
      <c r="F4" t="inlineStr">
        <is>
          <t>whyRankedHigh</t>
        </is>
      </c>
      <c r="G4" t="inlineStr">
        <is>
          <t>safetyAdjustment</t>
        </is>
      </c>
      <c r="H4" t="inlineStr">
        <is>
          <t>safetyContext</t>
        </is>
      </c>
      <c r="I4" t="inlineStr">
        <is>
          <t>rawTotal</t>
        </is>
      </c>
      <c r="J4" t="inlineStr">
        <is>
          <t>calibratedComposite</t>
        </is>
      </c>
    </row>
    <row r="5">
      <c r="A5" t="n">
        <v>1</v>
      </c>
      <c r="B5" t="inlineStr">
        <is>
          <t>rhodiola-rosea</t>
        </is>
      </c>
      <c r="C5" t="inlineStr">
        <is>
          <t>Rhodiola Rosea</t>
        </is>
      </c>
      <c r="D5" t="n">
        <v>25.54</v>
      </c>
      <c r="E5" t="inlineStr">
        <is>
          <t>Adaptogen/Stress (16.0), Oxidative Stress (11.0), Monoamine/Mood (3.0)</t>
        </is>
      </c>
      <c r="F5" t="inlineStr">
        <is>
          <t>Ranks via strongest support from Adaptogen/Stress, Oxidative Stress, Monoamine/Mood.</t>
        </is>
      </c>
      <c r="G5" t="inlineStr">
        <is>
          <t>none</t>
        </is>
      </c>
      <c r="I5" t="n">
        <v>35</v>
      </c>
      <c r="J5" t="n">
        <v>25.54</v>
      </c>
    </row>
    <row r="6">
      <c r="A6" t="n">
        <v>2</v>
      </c>
      <c r="B6" t="inlineStr">
        <is>
          <t>holy-basil</t>
        </is>
      </c>
      <c r="C6" t="inlineStr">
        <is>
          <t>Holy Basil</t>
        </is>
      </c>
      <c r="D6" t="n">
        <v>17.77</v>
      </c>
      <c r="E6" t="inlineStr">
        <is>
          <t>Inflammation (7.0), Adaptogen/Stress (4.0), Oxidative Stress (3.0)</t>
        </is>
      </c>
      <c r="F6" t="inlineStr">
        <is>
          <t>Ranks via strongest support from Inflammation, Adaptogen/Stress, Oxidative Stress.</t>
        </is>
      </c>
      <c r="G6" t="inlineStr">
        <is>
          <t>none</t>
        </is>
      </c>
      <c r="I6" t="n">
        <v>21</v>
      </c>
      <c r="J6" t="n">
        <v>17.77</v>
      </c>
    </row>
    <row r="7">
      <c r="A7" t="n">
        <v>3</v>
      </c>
      <c r="B7" t="inlineStr">
        <is>
          <t>milk-thistle</t>
        </is>
      </c>
      <c r="C7" t="inlineStr">
        <is>
          <t>Milk Thistle</t>
        </is>
      </c>
      <c r="D7" t="n">
        <v>17.484</v>
      </c>
      <c r="E7" t="inlineStr">
        <is>
          <t>Inflammation (9.25), Oxidative Stress (9.25), Adaptogen/Stress (9.25)</t>
        </is>
      </c>
      <c r="F7" t="inlineStr">
        <is>
          <t>Ranks via strongest support from Inflammation, Oxidative Stress, Adaptogen/Stress.</t>
        </is>
      </c>
      <c r="G7" t="inlineStr">
        <is>
          <t>penalty_0.93x</t>
        </is>
      </c>
      <c r="H7" t="inlineStr">
        <is>
          <t>Allergy / interaction review: Asteraceae allergy, multi-drug regimens</t>
        </is>
      </c>
      <c r="I7" t="n">
        <v>33</v>
      </c>
      <c r="J7" t="n">
        <v>18.8</v>
      </c>
    </row>
    <row r="8">
      <c r="A8" t="n">
        <v>4</v>
      </c>
      <c r="B8" t="inlineStr">
        <is>
          <t>ginkgo-biloba</t>
        </is>
      </c>
      <c r="C8" t="inlineStr">
        <is>
          <t>Ginkgo Biloba</t>
        </is>
      </c>
      <c r="D8" t="n">
        <v>13.53</v>
      </c>
      <c r="E8" t="inlineStr">
        <is>
          <t>Inflammation (11.25), Oxidative Stress (3.25), Adaptogen/Stress (3.25)</t>
        </is>
      </c>
      <c r="F8" t="inlineStr">
        <is>
          <t>Ranks via strongest support from Inflammation, Oxidative Stress, Adaptogen/Stress.</t>
        </is>
      </c>
      <c r="G8" t="inlineStr">
        <is>
          <t>none</t>
        </is>
      </c>
      <c r="I8" t="n">
        <v>20</v>
      </c>
      <c r="J8" t="n">
        <v>13.53</v>
      </c>
    </row>
    <row r="9">
      <c r="A9" t="n">
        <v>5</v>
      </c>
      <c r="B9" t="inlineStr">
        <is>
          <t>lemon-balm</t>
        </is>
      </c>
      <c r="C9" t="inlineStr">
        <is>
          <t>Lemon Balm</t>
        </is>
      </c>
      <c r="D9" t="n">
        <v>13.35</v>
      </c>
      <c r="E9" t="inlineStr">
        <is>
          <t>GABA/Sedation (7.0), Inflammation (5.0), Oxidative Stress (3.0)</t>
        </is>
      </c>
      <c r="F9" t="inlineStr">
        <is>
          <t>Ranks via strongest support from GABA/Sedation, Inflammation, Oxidative Stress.</t>
        </is>
      </c>
      <c r="G9" t="inlineStr">
        <is>
          <t>none</t>
        </is>
      </c>
      <c r="I9" t="n">
        <v>20</v>
      </c>
      <c r="J9" t="n">
        <v>13.35</v>
      </c>
    </row>
    <row r="10">
      <c r="A10" t="n">
        <v>6</v>
      </c>
      <c r="B10" t="inlineStr">
        <is>
          <t>ashwagandha</t>
        </is>
      </c>
      <c r="C10" t="inlineStr">
        <is>
          <t>Ashwagandha</t>
        </is>
      </c>
      <c r="D10" t="n">
        <v>11.288</v>
      </c>
      <c r="E10" t="inlineStr">
        <is>
          <t>Adaptogen/Stress (6.5), Inflammation (5.5), Oxidative Stress (4.0)</t>
        </is>
      </c>
      <c r="F10" t="inlineStr">
        <is>
          <t>Ranks via strongest support from Adaptogen/Stress, Inflammation, Oxidative Stress.</t>
        </is>
      </c>
      <c r="G10" t="inlineStr">
        <is>
          <t>penalty_0.85x</t>
        </is>
      </c>
      <c r="H10" t="inlineStr">
        <is>
          <t>Sedation / thyroid / immune: sedatives, thyroid meds, immunosuppressants, pregnancy</t>
        </is>
      </c>
      <c r="I10" t="n">
        <v>21.5</v>
      </c>
      <c r="J10" t="n">
        <v>13.28</v>
      </c>
    </row>
    <row r="11">
      <c r="A11" t="n">
        <v>7</v>
      </c>
      <c r="B11" t="inlineStr">
        <is>
          <t>peppermint</t>
        </is>
      </c>
      <c r="C11" t="inlineStr">
        <is>
          <t>Peppermint</t>
        </is>
      </c>
      <c r="D11" t="n">
        <v>8.262</v>
      </c>
      <c r="E11" t="inlineStr">
        <is>
          <t>Sensory/TRP (10.0), Hepatic/Detox (5.0), Adaptogen/Stress (2.0)</t>
        </is>
      </c>
      <c r="F11" t="inlineStr">
        <is>
          <t>Ranks via strongest support from Sensory/TRP, Hepatic/Detox, Adaptogen/Stress.</t>
        </is>
      </c>
      <c r="G11" t="inlineStr">
        <is>
          <t>penalty_0.85x</t>
        </is>
      </c>
      <c r="H11" t="inlineStr">
        <is>
          <t>GI / reflux / bile flow: GERD, bile duct obstruction</t>
        </is>
      </c>
      <c r="I11" t="n">
        <v>19</v>
      </c>
      <c r="J11" t="n">
        <v>9.720000000000001</v>
      </c>
    </row>
    <row r="12">
      <c r="A12" t="n">
        <v>8</v>
      </c>
      <c r="B12" t="inlineStr">
        <is>
          <t>echinacea-purpurea</t>
        </is>
      </c>
      <c r="C12" t="inlineStr">
        <is>
          <t>Echinacea Purpurea</t>
        </is>
      </c>
      <c r="D12" t="n">
        <v>7.98</v>
      </c>
      <c r="E12" t="inlineStr">
        <is>
          <t>Oxidative Stress (6.25), Adaptogen/Stress (6.25), Inflammation (3.0)</t>
        </is>
      </c>
      <c r="F12" t="inlineStr">
        <is>
          <t>Ranks via strongest support from Oxidative Stress, Adaptogen/Stress, Inflammation.</t>
        </is>
      </c>
      <c r="G12" t="inlineStr">
        <is>
          <t>none</t>
        </is>
      </c>
      <c r="I12" t="n">
        <v>17.5</v>
      </c>
      <c r="J12" t="n">
        <v>7.98</v>
      </c>
    </row>
    <row r="13">
      <c r="A13" t="n">
        <v>9</v>
      </c>
      <c r="B13" t="inlineStr">
        <is>
          <t>turmeric</t>
        </is>
      </c>
      <c r="C13" t="inlineStr">
        <is>
          <t>Turmeric</t>
        </is>
      </c>
      <c r="D13" t="n">
        <v>7.4545</v>
      </c>
      <c r="E13" t="inlineStr">
        <is>
          <t>Inflammation (6.0), Oxidative Stress (6.0), Adaptogen/Stress (4.0)</t>
        </is>
      </c>
      <c r="F13" t="inlineStr">
        <is>
          <t>Ranks via strongest support from Inflammation, Oxidative Stress, Adaptogen/Stress.</t>
        </is>
      </c>
      <c r="G13" t="inlineStr">
        <is>
          <t>penalty_0.85x</t>
        </is>
      </c>
      <c r="H13" t="inlineStr">
        <is>
          <t>Bleeding / gallbladder: anticoagulants, antiplatelets, gallbladder obstruction</t>
        </is>
      </c>
      <c r="I13" t="n">
        <v>20</v>
      </c>
      <c r="J13" t="n">
        <v>8.77</v>
      </c>
    </row>
    <row r="14">
      <c r="A14" t="n">
        <v>10</v>
      </c>
      <c r="B14" t="inlineStr">
        <is>
          <t>garlic</t>
        </is>
      </c>
      <c r="C14" t="inlineStr">
        <is>
          <t>Garlic</t>
        </is>
      </c>
      <c r="D14" t="n">
        <v>6.154</v>
      </c>
      <c r="E14" t="inlineStr">
        <is>
          <t>Oxidative Stress (5.25), Hepatic/Detox (4.0), Adaptogen/Stress (3.25)</t>
        </is>
      </c>
      <c r="F14" t="inlineStr">
        <is>
          <t>Ranks via strongest support from Oxidative Stress, Hepatic/Detox, Adaptogen/Stress.</t>
        </is>
      </c>
      <c r="G14" t="inlineStr">
        <is>
          <t>penalty_0.85x</t>
        </is>
      </c>
      <c r="H14" t="inlineStr">
        <is>
          <t>Bleeding / perioperative: anticoagulants, antiplatelets, upcoming surgery</t>
        </is>
      </c>
      <c r="I14" t="n">
        <v>16.5</v>
      </c>
      <c r="J14" t="n">
        <v>7.24</v>
      </c>
    </row>
    <row r="15">
      <c r="A15" t="n">
        <v>11</v>
      </c>
      <c r="B15" t="inlineStr">
        <is>
          <t>black-cohosh</t>
        </is>
      </c>
      <c r="C15" t="inlineStr">
        <is>
          <t>Black Cohosh</t>
        </is>
      </c>
      <c r="D15" t="n">
        <v>3.73</v>
      </c>
      <c r="E15" t="inlineStr">
        <is>
          <t>Inflammation (4.0), Oxidative Stress (1.0), Adaptogen/Stress (1.0)</t>
        </is>
      </c>
      <c r="F15" t="inlineStr">
        <is>
          <t>Ranks via strongest support from Inflammation, Oxidative Stress, Adaptogen/Stress.</t>
        </is>
      </c>
      <c r="G15" t="inlineStr">
        <is>
          <t>none</t>
        </is>
      </c>
      <c r="I15" t="n">
        <v>6</v>
      </c>
      <c r="J15" t="n">
        <v>3.73</v>
      </c>
    </row>
    <row r="16">
      <c r="A16" t="n">
        <v>12</v>
      </c>
      <c r="B16" t="inlineStr">
        <is>
          <t>valerian</t>
        </is>
      </c>
      <c r="C16" t="inlineStr">
        <is>
          <t>Valerian</t>
        </is>
      </c>
      <c r="D16" t="n">
        <v>2.584</v>
      </c>
      <c r="E16" t="inlineStr">
        <is>
          <t>GABA/Sedation (8.5)</t>
        </is>
      </c>
      <c r="F16" t="inlineStr">
        <is>
          <t>Ranks via strongest support from GABA/Sedation.</t>
        </is>
      </c>
      <c r="G16" t="inlineStr">
        <is>
          <t>penalty_0.85x</t>
        </is>
      </c>
      <c r="H16" t="inlineStr">
        <is>
          <t>CNS depression: sedatives, alcohol, other sleep aids</t>
        </is>
      </c>
      <c r="I16" t="n">
        <v>8.5</v>
      </c>
      <c r="J16" t="n">
        <v>3.04</v>
      </c>
    </row>
    <row r="17">
      <c r="A17" t="n">
        <v>13</v>
      </c>
      <c r="B17" t="inlineStr">
        <is>
          <t>saw-palmetto</t>
        </is>
      </c>
      <c r="C17" t="inlineStr">
        <is>
          <t>Saw Palmetto</t>
        </is>
      </c>
      <c r="D17" t="n">
        <v>2.34</v>
      </c>
      <c r="E17" t="inlineStr">
        <is>
          <t>Inflammation (3.0)</t>
        </is>
      </c>
      <c r="F17" t="inlineStr">
        <is>
          <t>Ranks via strongest support from Inflammation.</t>
        </is>
      </c>
      <c r="G17" t="inlineStr">
        <is>
          <t>none</t>
        </is>
      </c>
      <c r="I17" t="n">
        <v>3</v>
      </c>
      <c r="J17" t="n">
        <v>2.34</v>
      </c>
    </row>
    <row r="18">
      <c r="A18" t="n">
        <v>14</v>
      </c>
      <c r="B18" t="inlineStr">
        <is>
          <t>ginger</t>
        </is>
      </c>
      <c r="C18" t="inlineStr">
        <is>
          <t>Ginger</t>
        </is>
      </c>
      <c r="D18" t="n">
        <v>0.9399999999999999</v>
      </c>
      <c r="E18" t="inlineStr">
        <is>
          <t>Inflammation (2.0)</t>
        </is>
      </c>
      <c r="F18" t="inlineStr">
        <is>
          <t>Ranks via strongest support from Inflammation.</t>
        </is>
      </c>
      <c r="G18" t="inlineStr">
        <is>
          <t>none</t>
        </is>
      </c>
      <c r="I18" t="n">
        <v>2</v>
      </c>
      <c r="J18" t="n">
        <v>0.9399999999999999</v>
      </c>
    </row>
    <row r="19">
      <c r="A19" t="n">
        <v>15</v>
      </c>
      <c r="B19" t="inlineStr">
        <is>
          <t>maca</t>
        </is>
      </c>
      <c r="C19" t="inlineStr">
        <is>
          <t>Maca</t>
        </is>
      </c>
      <c r="D19" t="n">
        <v>0</v>
      </c>
      <c r="E19" t="inlineStr">
        <is>
          <t>unresolved</t>
        </is>
      </c>
      <c r="F19" t="inlineStr">
        <is>
          <t>Low signal across scored domains.</t>
        </is>
      </c>
      <c r="G19" t="inlineStr">
        <is>
          <t>none</t>
        </is>
      </c>
      <c r="I19" t="n">
        <v>0</v>
      </c>
      <c r="J19" t="n">
        <v>0</v>
      </c>
    </row>
  </sheetData>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0" customWidth="1" style="76" min="1" max="1"/>
    <col width="10.14000034332275" customWidth="1" style="76" min="2" max="2"/>
    <col width="72.86000061035156" customWidth="1" style="76" min="3" max="3"/>
  </cols>
  <sheetData>
    <row r="1">
      <c r="A1" t="inlineStr">
        <is>
          <t>action</t>
        </is>
      </c>
      <c r="B1" t="inlineStr">
        <is>
          <t>result</t>
        </is>
      </c>
      <c r="C1" t="inlineStr">
        <is>
          <t>note</t>
        </is>
      </c>
    </row>
    <row r="2">
      <c r="A2" t="inlineStr">
        <is>
          <t>global recommendation explanations</t>
        </is>
      </c>
      <c r="B2" t="inlineStr">
        <is>
          <t>complete</t>
        </is>
      </c>
      <c r="C2" t="inlineStr">
        <is>
          <t>added top domains, rationale, safety adjustment, and score context</t>
        </is>
      </c>
    </row>
    <row r="3">
      <c r="A3" t="inlineStr">
        <is>
          <t>goal view rebuild</t>
        </is>
      </c>
      <c r="B3" t="inlineStr">
        <is>
          <t>complete</t>
        </is>
      </c>
      <c r="C3" t="inlineStr">
        <is>
          <t>stacked explanation-rich sections sourced only from true herb-level scoring rows</t>
        </is>
      </c>
    </row>
    <row r="4">
      <c r="A4" t="inlineStr">
        <is>
          <t>interpretability layer</t>
        </is>
      </c>
      <c r="B4" t="inlineStr">
        <is>
          <t>enabled</t>
        </is>
      </c>
      <c r="C4" t="inlineStr">
        <is>
          <t>rank outputs now surface why they ranked high</t>
        </is>
      </c>
    </row>
    <row r="5">
      <c r="A5" t="inlineStr">
        <is>
          <t>row-source repair</t>
        </is>
      </c>
      <c r="B5" t="inlineStr">
        <is>
          <t>complete</t>
        </is>
      </c>
      <c r="C5" t="inlineStr">
        <is>
          <t>leaderboard rows excluded from goal-view source data</t>
        </is>
      </c>
    </row>
  </sheetData>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0.71000003814697" customWidth="1" style="76" min="1" max="1"/>
    <col width="16.56999969482422" customWidth="1" style="76" min="2" max="2"/>
    <col width="21.29000091552734" customWidth="1" style="76" min="3" max="3"/>
    <col width="16.70999908447266" customWidth="1" style="76" min="4" max="4"/>
    <col width="12.56999969482422" customWidth="1" style="76" min="5" max="5"/>
  </cols>
  <sheetData>
    <row r="1">
      <c r="A1" t="inlineStr">
        <is>
          <t>stackRank</t>
        </is>
      </c>
      <c r="B1" t="inlineStr">
        <is>
          <t>herb1</t>
        </is>
      </c>
      <c r="C1" t="inlineStr">
        <is>
          <t>herb2</t>
        </is>
      </c>
      <c r="D1" t="inlineStr">
        <is>
          <t>combinedScore</t>
        </is>
      </c>
      <c r="E1" t="inlineStr">
        <is>
          <t>notes</t>
        </is>
      </c>
    </row>
    <row r="2">
      <c r="A2" t="n">
        <v>1</v>
      </c>
      <c r="B2" t="inlineStr">
        <is>
          <t>Rhodiola Rosea</t>
        </is>
      </c>
      <c r="C2" t="inlineStr">
        <is>
          <t>Milk Thistle</t>
        </is>
      </c>
      <c r="D2" t="n">
        <v>44.34</v>
      </c>
      <c r="E2" t="inlineStr">
        <is>
          <t>2-stack safe</t>
        </is>
      </c>
    </row>
    <row r="3">
      <c r="A3" t="n">
        <v>2</v>
      </c>
      <c r="B3" t="inlineStr">
        <is>
          <t>Rhodiola Rosea</t>
        </is>
      </c>
      <c r="C3" t="inlineStr">
        <is>
          <t>Holy Basil</t>
        </is>
      </c>
      <c r="D3" t="n">
        <v>43.31</v>
      </c>
      <c r="E3" t="inlineStr">
        <is>
          <t>2-stack safe</t>
        </is>
      </c>
    </row>
    <row r="4">
      <c r="A4" t="n">
        <v>3</v>
      </c>
      <c r="B4" t="inlineStr">
        <is>
          <t>Rhodiola Rosea</t>
        </is>
      </c>
      <c r="C4" t="inlineStr">
        <is>
          <t>Ginkgo Biloba</t>
        </is>
      </c>
      <c r="D4" t="n">
        <v>39.07</v>
      </c>
      <c r="E4" t="inlineStr">
        <is>
          <t>2-stack safe</t>
        </is>
      </c>
    </row>
    <row r="5">
      <c r="A5" t="n">
        <v>4</v>
      </c>
      <c r="B5" t="inlineStr">
        <is>
          <t>Rhodiola Rosea</t>
        </is>
      </c>
      <c r="C5" t="inlineStr">
        <is>
          <t>Lemon Balm</t>
        </is>
      </c>
      <c r="D5" t="n">
        <v>38.89</v>
      </c>
      <c r="E5" t="inlineStr">
        <is>
          <t>2-stack safe</t>
        </is>
      </c>
    </row>
    <row r="6">
      <c r="A6" t="n">
        <v>5</v>
      </c>
      <c r="B6" t="inlineStr">
        <is>
          <t>Rhodiola Rosea</t>
        </is>
      </c>
      <c r="C6" t="inlineStr">
        <is>
          <t>Ashwagandha</t>
        </is>
      </c>
      <c r="D6" t="n">
        <v>38.82</v>
      </c>
      <c r="E6" t="inlineStr">
        <is>
          <t>2-stack safe</t>
        </is>
      </c>
    </row>
    <row r="7">
      <c r="A7" t="n">
        <v>6</v>
      </c>
      <c r="B7" t="inlineStr">
        <is>
          <t>Rhodiola Rosea</t>
        </is>
      </c>
      <c r="C7" t="inlineStr">
        <is>
          <t>Peppermint</t>
        </is>
      </c>
      <c r="D7" t="n">
        <v>35.26</v>
      </c>
      <c r="E7" t="inlineStr">
        <is>
          <t>2-stack safe</t>
        </is>
      </c>
    </row>
    <row r="8">
      <c r="A8" t="n">
        <v>7</v>
      </c>
      <c r="B8" t="inlineStr">
        <is>
          <t>Rhodiola Rosea</t>
        </is>
      </c>
      <c r="C8" t="inlineStr">
        <is>
          <t>Turmeric</t>
        </is>
      </c>
      <c r="D8" t="n">
        <v>34.31</v>
      </c>
      <c r="E8" t="inlineStr">
        <is>
          <t>2-stack safe</t>
        </is>
      </c>
    </row>
    <row r="9">
      <c r="A9" t="n">
        <v>8</v>
      </c>
      <c r="B9" t="inlineStr">
        <is>
          <t>Rhodiola Rosea</t>
        </is>
      </c>
      <c r="C9" t="inlineStr">
        <is>
          <t>Echinacea Purpurea</t>
        </is>
      </c>
      <c r="D9" t="n">
        <v>33.52</v>
      </c>
      <c r="E9" t="inlineStr">
        <is>
          <t>2-stack safe</t>
        </is>
      </c>
    </row>
    <row r="10">
      <c r="A10" t="n">
        <v>9</v>
      </c>
      <c r="B10" t="inlineStr">
        <is>
          <t>Rhodiola Rosea</t>
        </is>
      </c>
      <c r="C10" t="inlineStr">
        <is>
          <t>Garlic</t>
        </is>
      </c>
      <c r="D10" t="n">
        <v>32.78</v>
      </c>
      <c r="E10" t="inlineStr">
        <is>
          <t>2-stack safe</t>
        </is>
      </c>
    </row>
    <row r="11">
      <c r="A11" t="n">
        <v>10</v>
      </c>
      <c r="B11" t="inlineStr">
        <is>
          <t>Rhodiola Rosea</t>
        </is>
      </c>
      <c r="C11" t="inlineStr">
        <is>
          <t>Black Cohosh</t>
        </is>
      </c>
      <c r="D11" t="n">
        <v>29.27</v>
      </c>
      <c r="E11" t="inlineStr">
        <is>
          <t>2-stack safe</t>
        </is>
      </c>
    </row>
    <row r="12">
      <c r="A12" t="n">
        <v>11</v>
      </c>
      <c r="B12" t="inlineStr">
        <is>
          <t>Rhodiola Rosea</t>
        </is>
      </c>
      <c r="C12" t="inlineStr">
        <is>
          <t>Valerian</t>
        </is>
      </c>
      <c r="D12" t="n">
        <v>28.58</v>
      </c>
      <c r="E12" t="inlineStr">
        <is>
          <t>2-stack safe</t>
        </is>
      </c>
    </row>
    <row r="13">
      <c r="A13" t="n">
        <v>12</v>
      </c>
      <c r="B13" t="inlineStr">
        <is>
          <t>Rhodiola Rosea</t>
        </is>
      </c>
      <c r="C13" t="inlineStr">
        <is>
          <t>Saw Palmetto</t>
        </is>
      </c>
      <c r="D13" t="n">
        <v>27.88</v>
      </c>
      <c r="E13" t="inlineStr">
        <is>
          <t>2-stack safe</t>
        </is>
      </c>
    </row>
    <row r="14">
      <c r="A14" t="n">
        <v>13</v>
      </c>
      <c r="B14" t="inlineStr">
        <is>
          <t>Rhodiola Rosea</t>
        </is>
      </c>
      <c r="C14" t="inlineStr">
        <is>
          <t>Ginger</t>
        </is>
      </c>
      <c r="D14" t="n">
        <v>26.48</v>
      </c>
      <c r="E14" t="inlineStr">
        <is>
          <t>2-stack safe</t>
        </is>
      </c>
    </row>
    <row r="15">
      <c r="A15" t="n">
        <v>14</v>
      </c>
      <c r="B15" t="inlineStr">
        <is>
          <t>Rhodiola Rosea</t>
        </is>
      </c>
      <c r="C15" t="inlineStr">
        <is>
          <t>Maca</t>
        </is>
      </c>
      <c r="D15" t="n">
        <v>25.54</v>
      </c>
      <c r="E15" t="inlineStr">
        <is>
          <t>2-stack safe</t>
        </is>
      </c>
    </row>
    <row r="16">
      <c r="A16" t="n">
        <v>15</v>
      </c>
      <c r="B16" t="inlineStr">
        <is>
          <t>Milk Thistle</t>
        </is>
      </c>
      <c r="C16" t="inlineStr">
        <is>
          <t>Holy Basil</t>
        </is>
      </c>
      <c r="D16" t="n">
        <v>36.57</v>
      </c>
      <c r="E16" t="inlineStr">
        <is>
          <t>2-stack safe</t>
        </is>
      </c>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X40"/>
  <sheetViews>
    <sheetView workbookViewId="0">
      <selection activeCell="A1" sqref="A1"/>
    </sheetView>
  </sheetViews>
  <sheetFormatPr baseColWidth="8" defaultRowHeight="15"/>
  <cols>
    <col width="185.4299926757812" customWidth="1" style="76" min="1" max="1"/>
    <col width="60.13999938964844" customWidth="1" style="76" min="2" max="2"/>
    <col width="62.86000061035156" customWidth="1" style="76" min="3" max="3"/>
    <col width="14.56999969482422" customWidth="1" style="76" min="4" max="4"/>
    <col width="19.13999938964844" customWidth="1" style="76" min="5" max="5"/>
    <col width="17.56999969482422" customWidth="1" style="76" min="6" max="6"/>
    <col width="14.85999965667725" customWidth="1" style="76" min="7" max="7"/>
    <col width="16.13999938964844" customWidth="1" style="76" min="8" max="8"/>
    <col width="16.29000091552734" customWidth="1" style="76" min="9" max="9"/>
    <col width="78.86000061035156" customWidth="1" style="76" min="10" max="10"/>
    <col width="54.86000061035156" customWidth="1" style="76" min="11" max="11"/>
    <col width="0.05000000074505806" customWidth="1" style="76" min="12" max="12"/>
    <col width="11" customWidth="1" style="76" min="13" max="13"/>
    <col width="21.29000091552734" customWidth="1" style="76" min="14" max="14"/>
    <col width="16.56999969482422" customWidth="1" style="76" min="15" max="15"/>
    <col width="16.56999969482422" customWidth="1" style="76" min="16" max="16"/>
    <col width="14.56999969482422" customWidth="1" style="76" min="17" max="17"/>
    <col width="19.13999938964844" customWidth="1" style="76" min="18" max="18"/>
    <col width="17.56999969482422" customWidth="1" style="76" min="19" max="19"/>
    <col width="14.85999965667725" customWidth="1" style="76" min="20" max="20"/>
    <col width="13.28999996185303" customWidth="1" style="76" min="21" max="21"/>
    <col width="16.29000091552734" customWidth="1" style="76" min="22" max="22"/>
    <col width="78.29000091552734" customWidth="1" style="76" min="23" max="23"/>
    <col width="54.86000061035156" customWidth="1" style="76" min="24" max="24"/>
  </cols>
  <sheetData>
    <row r="1">
      <c r="A1" s="181" t="inlineStr">
        <is>
          <t>Stack Builder V33</t>
        </is>
      </c>
      <c r="B1" s="181" t="n"/>
      <c r="C1" s="181" t="n"/>
      <c r="D1" s="181" t="n"/>
      <c r="E1" s="181" t="n"/>
      <c r="F1" s="181" t="n"/>
      <c r="G1" s="181" t="n"/>
      <c r="H1" s="181" t="n"/>
      <c r="I1" s="181" t="n"/>
      <c r="J1" s="181" t="n"/>
      <c r="K1" s="181" t="n"/>
      <c r="L1" s="181" t="n"/>
      <c r="M1" s="181" t="n"/>
      <c r="N1" s="181" t="n"/>
      <c r="O1" s="181" t="n"/>
      <c r="P1" s="181" t="n"/>
      <c r="Q1" s="181" t="n"/>
      <c r="R1" s="181" t="n"/>
      <c r="S1" s="181" t="n"/>
      <c r="T1" s="181" t="n"/>
      <c r="U1" s="181" t="n"/>
      <c r="V1" s="181" t="n"/>
      <c r="W1" s="181" t="n"/>
      <c r="X1" s="181" t="n"/>
    </row>
    <row r="2">
      <c r="A2" s="181" t="inlineStr">
        <is>
          <t>Complementarity-aware 2-herb and 3-herb candidates using calibrated scores, contraindication penalties, coverage bonus, overlap penalty, and diminishing-returns control.</t>
        </is>
      </c>
      <c r="B2" s="181" t="n"/>
      <c r="C2" s="181" t="n"/>
      <c r="D2" s="181" t="n"/>
      <c r="E2" s="181" t="n"/>
      <c r="F2" s="181" t="n"/>
      <c r="G2" s="181" t="n"/>
      <c r="H2" s="181" t="n"/>
      <c r="I2" s="181" t="n"/>
      <c r="J2" s="181" t="n"/>
      <c r="K2" s="181" t="n"/>
      <c r="L2" s="181" t="n"/>
      <c r="M2" s="181" t="n"/>
      <c r="N2" s="181" t="n"/>
      <c r="O2" s="181" t="n"/>
      <c r="P2" s="181" t="n"/>
      <c r="Q2" s="181" t="n"/>
      <c r="R2" s="181" t="n"/>
      <c r="S2" s="181" t="n"/>
      <c r="T2" s="181" t="n"/>
      <c r="U2" s="181" t="n"/>
      <c r="V2" s="181" t="n"/>
      <c r="W2" s="181" t="n"/>
      <c r="X2" s="181" t="n"/>
    </row>
    <row r="3">
      <c r="A3" s="181" t="n"/>
      <c r="B3" s="181" t="n"/>
      <c r="C3" s="181" t="n"/>
      <c r="D3" s="181" t="n"/>
      <c r="E3" s="181" t="n"/>
      <c r="F3" s="181" t="n"/>
      <c r="G3" s="181" t="n"/>
      <c r="H3" s="181" t="n"/>
      <c r="I3" s="181" t="n"/>
      <c r="J3" s="181" t="n"/>
      <c r="K3" s="181" t="n"/>
      <c r="L3" s="181" t="n"/>
      <c r="M3" s="181" t="n"/>
      <c r="N3" s="181" t="n"/>
      <c r="O3" s="181" t="n"/>
      <c r="P3" s="181" t="n"/>
      <c r="Q3" s="181" t="n"/>
      <c r="R3" s="181" t="n"/>
      <c r="S3" s="181" t="n"/>
      <c r="T3" s="181" t="n"/>
      <c r="U3" s="181" t="n"/>
      <c r="V3" s="181" t="n"/>
      <c r="W3" s="181" t="n"/>
      <c r="X3" s="181" t="n"/>
    </row>
    <row r="4">
      <c r="A4" s="181" t="inlineStr">
        <is>
          <t>pairRank</t>
        </is>
      </c>
      <c r="B4" s="181" t="inlineStr">
        <is>
          <t>herb1</t>
        </is>
      </c>
      <c r="C4" s="181" t="inlineStr">
        <is>
          <t>herb2</t>
        </is>
      </c>
      <c r="D4" s="181" t="inlineStr">
        <is>
          <t>baseAdjScore</t>
        </is>
      </c>
      <c r="E4" s="181" t="inlineStr">
        <is>
          <t>coverageDomains</t>
        </is>
      </c>
      <c r="F4" s="181" t="inlineStr">
        <is>
          <t>overlapDomains</t>
        </is>
      </c>
      <c r="G4" s="181" t="inlineStr">
        <is>
          <t>synergyBonus</t>
        </is>
      </c>
      <c r="H4" s="181" t="inlineStr">
        <is>
          <t>overlapPenalty</t>
        </is>
      </c>
      <c r="I4" s="181" t="inlineStr">
        <is>
          <t>finalStackScore</t>
        </is>
      </c>
      <c r="J4" s="181" t="inlineStr">
        <is>
          <t>topCoveredDomains</t>
        </is>
      </c>
      <c r="K4" s="181" t="inlineStr">
        <is>
          <t>notes</t>
        </is>
      </c>
      <c r="L4" s="181" t="n"/>
      <c r="M4" s="181" t="inlineStr">
        <is>
          <t>tripleRank</t>
        </is>
      </c>
      <c r="N4" s="181" t="inlineStr">
        <is>
          <t>herb1</t>
        </is>
      </c>
      <c r="O4" s="181" t="inlineStr">
        <is>
          <t>herb2</t>
        </is>
      </c>
      <c r="P4" s="181" t="inlineStr">
        <is>
          <t>herb3</t>
        </is>
      </c>
      <c r="Q4" s="181" t="inlineStr">
        <is>
          <t>baseAdjScore</t>
        </is>
      </c>
      <c r="R4" s="181" t="inlineStr">
        <is>
          <t>coverageDomains</t>
        </is>
      </c>
      <c r="S4" s="181" t="inlineStr">
        <is>
          <t>overlapDomains</t>
        </is>
      </c>
      <c r="T4" s="181" t="inlineStr">
        <is>
          <t>synergyBonus</t>
        </is>
      </c>
      <c r="U4" s="181" t="inlineStr">
        <is>
          <t>penaltyTotal</t>
        </is>
      </c>
      <c r="V4" s="181" t="inlineStr">
        <is>
          <t>finalStackScore</t>
        </is>
      </c>
      <c r="W4" s="181" t="inlineStr">
        <is>
          <t>topCoveredDomains</t>
        </is>
      </c>
      <c r="X4" s="181" t="inlineStr">
        <is>
          <t>notes</t>
        </is>
      </c>
    </row>
    <row r="5">
      <c r="A5" s="181" t="n">
        <v>1</v>
      </c>
      <c r="B5" s="181" t="inlineStr">
        <is>
          <t>Holy Basil</t>
        </is>
      </c>
      <c r="C5" s="181" t="inlineStr">
        <is>
          <t>Rhodiola Rosea</t>
        </is>
      </c>
      <c r="D5" s="181" t="n">
        <v>43.31</v>
      </c>
      <c r="E5" s="181" t="n">
        <v>7</v>
      </c>
      <c r="F5" s="181" t="n">
        <v>4</v>
      </c>
      <c r="G5" s="181" t="n">
        <v>6.65</v>
      </c>
      <c r="H5" s="181" t="n">
        <v>2.2</v>
      </c>
      <c r="I5" s="181" t="n">
        <v>47.76</v>
      </c>
      <c r="J5" s="181" t="inlineStr">
        <is>
          <t>Adaptogen/Stress (20.0), Oxidative Stress (14.0), Inflammation (9.0)</t>
        </is>
      </c>
      <c r="K5" s="181" t="inlineStr">
        <is>
          <t>coverage 7; overlap 4; synergy +6.65; penalty -2.2</t>
        </is>
      </c>
      <c r="L5" s="181" t="n"/>
      <c r="M5" s="181" t="n">
        <v>1</v>
      </c>
      <c r="N5" s="181" t="inlineStr">
        <is>
          <t>Holy Basil</t>
        </is>
      </c>
      <c r="O5" s="181" t="inlineStr">
        <is>
          <t>Milk Thistle</t>
        </is>
      </c>
      <c r="P5" s="181" t="inlineStr">
        <is>
          <t>Rhodiola Rosea</t>
        </is>
      </c>
      <c r="Q5" s="181" t="n">
        <v>60.794</v>
      </c>
      <c r="R5" s="181" t="n">
        <v>7</v>
      </c>
      <c r="S5" s="181" t="n">
        <v>5</v>
      </c>
      <c r="T5" s="181" t="n">
        <v>7</v>
      </c>
      <c r="U5" s="181" t="n">
        <v>4.85</v>
      </c>
      <c r="V5" s="181" t="n">
        <v>62.944</v>
      </c>
      <c r="W5" s="181" t="inlineStr">
        <is>
          <t>Adaptogen/Stress (29.25), Oxidative Stress (23.25), Inflammation (18.25)</t>
        </is>
      </c>
      <c r="X5" s="181" t="inlineStr">
        <is>
          <t>coverage 7; overlap 5; synergy +7.0; penalty -4.85</t>
        </is>
      </c>
    </row>
    <row r="6">
      <c r="A6" s="181" t="n">
        <v>2</v>
      </c>
      <c r="B6" s="181" t="inlineStr">
        <is>
          <t>Milk Thistle</t>
        </is>
      </c>
      <c r="C6" s="181" t="inlineStr">
        <is>
          <t>Rhodiola Rosea</t>
        </is>
      </c>
      <c r="D6" s="181" t="n">
        <v>43.024</v>
      </c>
      <c r="E6" s="181" t="n">
        <v>6</v>
      </c>
      <c r="F6" s="181" t="n">
        <v>3</v>
      </c>
      <c r="G6" s="181" t="n">
        <v>6.05</v>
      </c>
      <c r="H6" s="181" t="n">
        <v>1.65</v>
      </c>
      <c r="I6" s="181" t="n">
        <v>47.424</v>
      </c>
      <c r="J6" s="181" t="inlineStr">
        <is>
          <t>Adaptogen/Stress (25.25), Oxidative Stress (20.25), Inflammation (11.25)</t>
        </is>
      </c>
      <c r="K6" s="181" t="inlineStr">
        <is>
          <t>coverage 6; overlap 3; synergy +6.05; penalty -1.65</t>
        </is>
      </c>
      <c r="L6" s="181" t="n"/>
      <c r="M6" s="181" t="n">
        <v>2</v>
      </c>
      <c r="N6" s="181" t="inlineStr">
        <is>
          <t>Lemon Balm</t>
        </is>
      </c>
      <c r="O6" s="181" t="inlineStr">
        <is>
          <t>Milk Thistle</t>
        </is>
      </c>
      <c r="P6" s="181" t="inlineStr">
        <is>
          <t>Rhodiola Rosea</t>
        </is>
      </c>
      <c r="Q6" s="181" t="n">
        <v>56.374</v>
      </c>
      <c r="R6" s="181" t="n">
        <v>8</v>
      </c>
      <c r="S6" s="181" t="n">
        <v>3</v>
      </c>
      <c r="T6" s="181" t="n">
        <v>8.050000000000001</v>
      </c>
      <c r="U6" s="181" t="n">
        <v>3.35</v>
      </c>
      <c r="V6" s="181" t="n">
        <v>61.074</v>
      </c>
      <c r="W6" s="181" t="inlineStr">
        <is>
          <t>Adaptogen/Stress (28.25), Oxidative Stress (23.25), Inflammation (16.25)</t>
        </is>
      </c>
      <c r="X6" s="181" t="inlineStr">
        <is>
          <t>coverage 8; overlap 3; synergy +8.05; penalty -3.35</t>
        </is>
      </c>
    </row>
    <row r="7">
      <c r="A7" s="181" t="n">
        <v>3</v>
      </c>
      <c r="B7" s="181" t="inlineStr">
        <is>
          <t>Lemon Balm</t>
        </is>
      </c>
      <c r="C7" s="181" t="inlineStr">
        <is>
          <t>Rhodiola Rosea</t>
        </is>
      </c>
      <c r="D7" s="181" t="n">
        <v>38.89</v>
      </c>
      <c r="E7" s="181" t="n">
        <v>7</v>
      </c>
      <c r="F7" s="181" t="n">
        <v>3</v>
      </c>
      <c r="G7" s="181" t="n">
        <v>6.8</v>
      </c>
      <c r="H7" s="181" t="n">
        <v>1.65</v>
      </c>
      <c r="I7" s="181" t="n">
        <v>44.04</v>
      </c>
      <c r="J7" s="181" t="inlineStr">
        <is>
          <t>Adaptogen/Stress (19.0), Oxidative Stress (14.0), Inflammation (7.0)</t>
        </is>
      </c>
      <c r="K7" s="181" t="inlineStr">
        <is>
          <t>coverage 7; overlap 3; synergy +6.8; penalty -1.65</t>
        </is>
      </c>
      <c r="L7" s="181" t="n"/>
      <c r="M7" s="181" t="n">
        <v>3</v>
      </c>
      <c r="N7" s="181" t="inlineStr">
        <is>
          <t>Holy Basil</t>
        </is>
      </c>
      <c r="O7" s="181" t="inlineStr">
        <is>
          <t>Lemon Balm</t>
        </is>
      </c>
      <c r="P7" s="181" t="inlineStr">
        <is>
          <t>Rhodiola Rosea</t>
        </is>
      </c>
      <c r="Q7" s="181" t="n">
        <v>56.66</v>
      </c>
      <c r="R7" s="181" t="n">
        <v>8</v>
      </c>
      <c r="S7" s="181" t="n">
        <v>5</v>
      </c>
      <c r="T7" s="181" t="n">
        <v>7.75</v>
      </c>
      <c r="U7" s="181" t="n">
        <v>4.85</v>
      </c>
      <c r="V7" s="181" t="n">
        <v>59.56</v>
      </c>
      <c r="W7" s="181" t="inlineStr">
        <is>
          <t>Adaptogen/Stress (23.0), Oxidative Stress (17.0), Inflammation (14.0)</t>
        </is>
      </c>
      <c r="X7" s="181" t="inlineStr">
        <is>
          <t>coverage 8; overlap 5; synergy +7.75; penalty -4.85</t>
        </is>
      </c>
    </row>
    <row r="8">
      <c r="A8" s="181" t="n">
        <v>4</v>
      </c>
      <c r="B8" s="181" t="inlineStr">
        <is>
          <t>Ginkgo Biloba</t>
        </is>
      </c>
      <c r="C8" s="181" t="inlineStr">
        <is>
          <t>Rhodiola Rosea</t>
        </is>
      </c>
      <c r="D8" s="181" t="n">
        <v>39.07</v>
      </c>
      <c r="E8" s="181" t="n">
        <v>7</v>
      </c>
      <c r="F8" s="181" t="n">
        <v>3</v>
      </c>
      <c r="G8" s="181" t="n">
        <v>6.3</v>
      </c>
      <c r="H8" s="181" t="n">
        <v>1.65</v>
      </c>
      <c r="I8" s="181" t="n">
        <v>43.72</v>
      </c>
      <c r="J8" s="181" t="inlineStr">
        <is>
          <t>Adaptogen/Stress (19.25), Oxidative Stress (14.25), Inflammation (13.25)</t>
        </is>
      </c>
      <c r="K8" s="181" t="inlineStr">
        <is>
          <t>coverage 7; overlap 3; synergy +6.3; penalty -1.65</t>
        </is>
      </c>
      <c r="L8" s="181" t="n"/>
      <c r="M8" s="181" t="n">
        <v>4</v>
      </c>
      <c r="N8" s="181" t="inlineStr">
        <is>
          <t>Ginkgo Biloba</t>
        </is>
      </c>
      <c r="O8" s="181" t="inlineStr">
        <is>
          <t>Milk Thistle</t>
        </is>
      </c>
      <c r="P8" s="181" t="inlineStr">
        <is>
          <t>Rhodiola Rosea</t>
        </is>
      </c>
      <c r="Q8" s="181" t="n">
        <v>56.554</v>
      </c>
      <c r="R8" s="181" t="n">
        <v>7</v>
      </c>
      <c r="S8" s="181" t="n">
        <v>4</v>
      </c>
      <c r="T8" s="181" t="n">
        <v>6.65</v>
      </c>
      <c r="U8" s="181" t="n">
        <v>4.1</v>
      </c>
      <c r="V8" s="181" t="n">
        <v>59.104</v>
      </c>
      <c r="W8" s="181" t="inlineStr">
        <is>
          <t>Adaptogen/Stress (28.5), Oxidative Stress (23.5), Inflammation (22.5)</t>
        </is>
      </c>
      <c r="X8" s="181" t="inlineStr">
        <is>
          <t>coverage 7; overlap 4; synergy +6.65; penalty -4.1</t>
        </is>
      </c>
    </row>
    <row r="9">
      <c r="A9" s="181" t="n">
        <v>5</v>
      </c>
      <c r="B9" s="181" t="inlineStr">
        <is>
          <t>Ashwagandha</t>
        </is>
      </c>
      <c r="C9" s="181" t="inlineStr">
        <is>
          <t>Rhodiola Rosea</t>
        </is>
      </c>
      <c r="D9" s="181" t="n">
        <v>36.828</v>
      </c>
      <c r="E9" s="181" t="n">
        <v>8</v>
      </c>
      <c r="F9" s="181" t="n">
        <v>3</v>
      </c>
      <c r="G9" s="181" t="n">
        <v>7.05</v>
      </c>
      <c r="H9" s="181" t="n">
        <v>1.65</v>
      </c>
      <c r="I9" s="181" t="n">
        <v>42.228</v>
      </c>
      <c r="J9" s="181" t="inlineStr">
        <is>
          <t>Adaptogen/Stress (22.5), Oxidative Stress (15.0), Inflammation (7.5)</t>
        </is>
      </c>
      <c r="K9" s="181" t="inlineStr">
        <is>
          <t>coverage 8; overlap 3; synergy +7.05; penalty -1.65</t>
        </is>
      </c>
      <c r="L9" s="181" t="n"/>
      <c r="M9" s="181" t="n">
        <v>5</v>
      </c>
      <c r="N9" s="181" t="inlineStr">
        <is>
          <t>Ginkgo Biloba</t>
        </is>
      </c>
      <c r="O9" s="181" t="inlineStr">
        <is>
          <t>Holy Basil</t>
        </is>
      </c>
      <c r="P9" s="181" t="inlineStr">
        <is>
          <t>Rhodiola Rosea</t>
        </is>
      </c>
      <c r="Q9" s="181" t="n">
        <v>56.84</v>
      </c>
      <c r="R9" s="181" t="n">
        <v>7</v>
      </c>
      <c r="S9" s="181" t="n">
        <v>6</v>
      </c>
      <c r="T9" s="181" t="n">
        <v>7.35</v>
      </c>
      <c r="U9" s="181" t="n">
        <v>5.6</v>
      </c>
      <c r="V9" s="181" t="n">
        <v>58.59</v>
      </c>
      <c r="W9" s="181" t="inlineStr">
        <is>
          <t>Adaptogen/Stress (23.25), Inflammation (20.25), Oxidative Stress (17.25)</t>
        </is>
      </c>
      <c r="X9" s="181" t="inlineStr">
        <is>
          <t>coverage 7; overlap 6; synergy +7.35; penalty -5.6</t>
        </is>
      </c>
    </row>
    <row r="10">
      <c r="A10" s="181" t="n">
        <v>6</v>
      </c>
      <c r="B10" s="181" t="inlineStr">
        <is>
          <t>Peppermint</t>
        </is>
      </c>
      <c r="C10" s="181" t="inlineStr">
        <is>
          <t>Rhodiola Rosea</t>
        </is>
      </c>
      <c r="D10" s="181" t="n">
        <v>33.802</v>
      </c>
      <c r="E10" s="181" t="n">
        <v>7</v>
      </c>
      <c r="F10" s="181" t="n">
        <v>2</v>
      </c>
      <c r="G10" s="181" t="n">
        <v>7.45</v>
      </c>
      <c r="H10" s="181" t="n">
        <v>1.1</v>
      </c>
      <c r="I10" s="181" t="n">
        <v>40.152</v>
      </c>
      <c r="J10" s="181" t="inlineStr">
        <is>
          <t>Adaptogen/Stress (18.0), Oxidative Stress (11.0), Sensory/TRP (10.0)</t>
        </is>
      </c>
      <c r="K10" s="181" t="inlineStr">
        <is>
          <t>coverage 7; overlap 2; synergy +7.45; penalty -1.1</t>
        </is>
      </c>
      <c r="L10" s="181" t="n"/>
      <c r="M10" s="181" t="n">
        <v>6</v>
      </c>
      <c r="N10" s="181" t="inlineStr">
        <is>
          <t>Ashwagandha</t>
        </is>
      </c>
      <c r="O10" s="181" t="inlineStr">
        <is>
          <t>Milk Thistle</t>
        </is>
      </c>
      <c r="P10" s="181" t="inlineStr">
        <is>
          <t>Rhodiola Rosea</t>
        </is>
      </c>
      <c r="Q10" s="181" t="n">
        <v>54.312</v>
      </c>
      <c r="R10" s="181" t="n">
        <v>8</v>
      </c>
      <c r="S10" s="181" t="n">
        <v>4</v>
      </c>
      <c r="T10" s="181" t="n">
        <v>7.4</v>
      </c>
      <c r="U10" s="181" t="n">
        <v>4.1</v>
      </c>
      <c r="V10" s="181" t="n">
        <v>57.612</v>
      </c>
      <c r="W10" s="181" t="inlineStr">
        <is>
          <t>Adaptogen/Stress (31.75), Oxidative Stress (24.25), Inflammation (16.75)</t>
        </is>
      </c>
      <c r="X10" s="181" t="inlineStr">
        <is>
          <t>coverage 8; overlap 4; synergy +7.4; penalty -4.1</t>
        </is>
      </c>
    </row>
    <row r="11">
      <c r="A11" s="181" t="n">
        <v>7</v>
      </c>
      <c r="B11" s="181" t="inlineStr">
        <is>
          <t>Holy Basil</t>
        </is>
      </c>
      <c r="C11" s="181" t="inlineStr">
        <is>
          <t>Milk Thistle</t>
        </is>
      </c>
      <c r="D11" s="181" t="n">
        <v>35.254</v>
      </c>
      <c r="E11" s="181" t="n">
        <v>6</v>
      </c>
      <c r="F11" s="181" t="n">
        <v>4</v>
      </c>
      <c r="G11" s="181" t="n">
        <v>5.9</v>
      </c>
      <c r="H11" s="181" t="n">
        <v>2.2</v>
      </c>
      <c r="I11" s="181" t="n">
        <v>38.954</v>
      </c>
      <c r="J11" s="181" t="inlineStr">
        <is>
          <t>Inflammation (16.25), Adaptogen/Stress (13.25), Oxidative Stress (12.25)</t>
        </is>
      </c>
      <c r="K11" s="181" t="inlineStr">
        <is>
          <t>coverage 6; overlap 4; synergy +5.9; penalty -2.2</t>
        </is>
      </c>
      <c r="L11" s="181" t="n"/>
      <c r="M11" s="181" t="n">
        <v>7</v>
      </c>
      <c r="N11" s="181" t="inlineStr">
        <is>
          <t>Ashwagandha</t>
        </is>
      </c>
      <c r="O11" s="181" t="inlineStr">
        <is>
          <t>Holy Basil</t>
        </is>
      </c>
      <c r="P11" s="181" t="inlineStr">
        <is>
          <t>Rhodiola Rosea</t>
        </is>
      </c>
      <c r="Q11" s="181" t="n">
        <v>54.598</v>
      </c>
      <c r="R11" s="181" t="n">
        <v>8</v>
      </c>
      <c r="S11" s="181" t="n">
        <v>6</v>
      </c>
      <c r="T11" s="181" t="n">
        <v>8.1</v>
      </c>
      <c r="U11" s="181" t="n">
        <v>5.6</v>
      </c>
      <c r="V11" s="181" t="n">
        <v>57.098</v>
      </c>
      <c r="W11" s="181" t="inlineStr">
        <is>
          <t>Adaptogen/Stress (26.5), Oxidative Stress (18.0), Inflammation (14.5)</t>
        </is>
      </c>
      <c r="X11" s="181" t="inlineStr">
        <is>
          <t>coverage 8; overlap 6; synergy +8.1; penalty -5.6</t>
        </is>
      </c>
    </row>
    <row r="12">
      <c r="A12" s="181" t="n">
        <v>8</v>
      </c>
      <c r="B12" s="181" t="inlineStr">
        <is>
          <t>Echinacea Purpurea</t>
        </is>
      </c>
      <c r="C12" s="181" t="inlineStr">
        <is>
          <t>Rhodiola Rosea</t>
        </is>
      </c>
      <c r="D12" s="181" t="n">
        <v>33.52</v>
      </c>
      <c r="E12" s="181" t="n">
        <v>6</v>
      </c>
      <c r="F12" s="181" t="n">
        <v>3</v>
      </c>
      <c r="G12" s="181" t="n">
        <v>5.55</v>
      </c>
      <c r="H12" s="181" t="n">
        <v>1.65</v>
      </c>
      <c r="I12" s="181" t="n">
        <v>37.42</v>
      </c>
      <c r="J12" s="181" t="inlineStr">
        <is>
          <t>Adaptogen/Stress (22.25), Oxidative Stress (17.25), Inflammation (5.0)</t>
        </is>
      </c>
      <c r="K12" s="181" t="inlineStr">
        <is>
          <t>coverage 6; overlap 3; synergy +5.55; penalty -1.65</t>
        </is>
      </c>
      <c r="L12" s="181" t="n"/>
      <c r="M12" s="181" t="n">
        <v>8</v>
      </c>
      <c r="N12" s="181" t="inlineStr">
        <is>
          <t>Ginkgo Biloba</t>
        </is>
      </c>
      <c r="O12" s="181" t="inlineStr">
        <is>
          <t>Lemon Balm</t>
        </is>
      </c>
      <c r="P12" s="181" t="inlineStr">
        <is>
          <t>Rhodiola Rosea</t>
        </is>
      </c>
      <c r="Q12" s="181" t="n">
        <v>52.42</v>
      </c>
      <c r="R12" s="181" t="n">
        <v>8</v>
      </c>
      <c r="S12" s="181" t="n">
        <v>4</v>
      </c>
      <c r="T12" s="181" t="n">
        <v>7.4</v>
      </c>
      <c r="U12" s="181" t="n">
        <v>4.1</v>
      </c>
      <c r="V12" s="181" t="n">
        <v>55.72</v>
      </c>
      <c r="W12" s="181" t="inlineStr">
        <is>
          <t>Adaptogen/Stress (22.25), Inflammation (18.25), Oxidative Stress (17.25)</t>
        </is>
      </c>
      <c r="X12" s="181" t="inlineStr">
        <is>
          <t>coverage 8; overlap 4; synergy +7.4; penalty -4.1</t>
        </is>
      </c>
    </row>
    <row r="13">
      <c r="A13" s="181" t="n">
        <v>9</v>
      </c>
      <c r="B13" s="181" t="inlineStr">
        <is>
          <t>Rhodiola Rosea</t>
        </is>
      </c>
      <c r="C13" s="181" t="inlineStr">
        <is>
          <t>Turmeric</t>
        </is>
      </c>
      <c r="D13" s="181" t="n">
        <v>32.9945</v>
      </c>
      <c r="E13" s="181" t="n">
        <v>6</v>
      </c>
      <c r="F13" s="181" t="n">
        <v>3</v>
      </c>
      <c r="G13" s="181" t="n">
        <v>6.05</v>
      </c>
      <c r="H13" s="181" t="n">
        <v>1.65</v>
      </c>
      <c r="I13" s="181" t="n">
        <v>37.3945</v>
      </c>
      <c r="J13" s="181" t="inlineStr">
        <is>
          <t>Adaptogen/Stress (20.0), Oxidative Stress (17.0), Inflammation (8.0)</t>
        </is>
      </c>
      <c r="K13" s="181" t="inlineStr">
        <is>
          <t>coverage 6; overlap 3; synergy +6.05; penalty -1.65</t>
        </is>
      </c>
      <c r="L13" s="181" t="n"/>
      <c r="M13" s="181" t="n">
        <v>9</v>
      </c>
      <c r="N13" s="181" t="inlineStr">
        <is>
          <t>Holy Basil</t>
        </is>
      </c>
      <c r="O13" s="181" t="inlineStr">
        <is>
          <t>Peppermint</t>
        </is>
      </c>
      <c r="P13" s="181" t="inlineStr">
        <is>
          <t>Rhodiola Rosea</t>
        </is>
      </c>
      <c r="Q13" s="181" t="n">
        <v>51.572</v>
      </c>
      <c r="R13" s="181" t="n">
        <v>8</v>
      </c>
      <c r="S13" s="181" t="n">
        <v>5</v>
      </c>
      <c r="T13" s="181" t="n">
        <v>8.25</v>
      </c>
      <c r="U13" s="181" t="n">
        <v>4.85</v>
      </c>
      <c r="V13" s="181" t="n">
        <v>54.972</v>
      </c>
      <c r="W13" s="181" t="inlineStr">
        <is>
          <t>Adaptogen/Stress (22.0), Oxidative Stress (14.0), Sensory/TRP (10.0)</t>
        </is>
      </c>
      <c r="X13" s="181" t="inlineStr">
        <is>
          <t>coverage 8; overlap 5; synergy +8.25; penalty -4.85</t>
        </is>
      </c>
    </row>
    <row r="14">
      <c r="A14" s="181" t="n">
        <v>10</v>
      </c>
      <c r="B14" s="181" t="inlineStr">
        <is>
          <t>Garlic</t>
        </is>
      </c>
      <c r="C14" s="181" t="inlineStr">
        <is>
          <t>Rhodiola Rosea</t>
        </is>
      </c>
      <c r="D14" s="181" t="n">
        <v>31.694</v>
      </c>
      <c r="E14" s="181" t="n">
        <v>6</v>
      </c>
      <c r="F14" s="181" t="n">
        <v>4</v>
      </c>
      <c r="G14" s="181" t="n">
        <v>6.4</v>
      </c>
      <c r="H14" s="181" t="n">
        <v>2.2</v>
      </c>
      <c r="I14" s="181" t="n">
        <v>35.894</v>
      </c>
      <c r="J14" s="181" t="inlineStr">
        <is>
          <t>Adaptogen/Stress (19.25), Oxidative Stress (16.25), Cardiometabolic (5.0)</t>
        </is>
      </c>
      <c r="K14" s="181" t="inlineStr">
        <is>
          <t>coverage 6; overlap 4; synergy +6.4; penalty -2.2</t>
        </is>
      </c>
      <c r="L14" s="181" t="n"/>
      <c r="M14" s="181" t="n">
        <v>10</v>
      </c>
      <c r="N14" s="181" t="inlineStr">
        <is>
          <t>Echinacea Purpurea</t>
        </is>
      </c>
      <c r="O14" s="181" t="inlineStr">
        <is>
          <t>Holy Basil</t>
        </is>
      </c>
      <c r="P14" s="181" t="inlineStr">
        <is>
          <t>Rhodiola Rosea</t>
        </is>
      </c>
      <c r="Q14" s="181" t="n">
        <v>51.29</v>
      </c>
      <c r="R14" s="181" t="n">
        <v>8</v>
      </c>
      <c r="S14" s="181" t="n">
        <v>4</v>
      </c>
      <c r="T14" s="181" t="n">
        <v>7.4</v>
      </c>
      <c r="U14" s="181" t="n">
        <v>4.1</v>
      </c>
      <c r="V14" s="181" t="n">
        <v>54.59</v>
      </c>
      <c r="W14" s="181" t="inlineStr">
        <is>
          <t>Adaptogen/Stress (26.25), Oxidative Stress (20.25), Inflammation (12.0)</t>
        </is>
      </c>
      <c r="X14" s="181" t="inlineStr">
        <is>
          <t>coverage 8; overlap 4; synergy +7.4; penalty -4.1</t>
        </is>
      </c>
    </row>
    <row r="15">
      <c r="A15" s="181" t="n">
        <v>11</v>
      </c>
      <c r="B15" s="181" t="inlineStr">
        <is>
          <t>Lemon Balm</t>
        </is>
      </c>
      <c r="C15" s="181" t="inlineStr">
        <is>
          <t>Milk Thistle</t>
        </is>
      </c>
      <c r="D15" s="181" t="n">
        <v>30.834</v>
      </c>
      <c r="E15" s="181" t="n">
        <v>6</v>
      </c>
      <c r="F15" s="181" t="n">
        <v>3</v>
      </c>
      <c r="G15" s="181" t="n">
        <v>6.55</v>
      </c>
      <c r="H15" s="181" t="n">
        <v>1.65</v>
      </c>
      <c r="I15" s="181" t="n">
        <v>35.734</v>
      </c>
      <c r="J15" s="181" t="inlineStr">
        <is>
          <t>Inflammation (14.25), Oxidative Stress (12.25), Adaptogen/Stress (12.25)</t>
        </is>
      </c>
      <c r="K15" s="181" t="inlineStr">
        <is>
          <t>coverage 6; overlap 3; synergy +6.55; penalty -1.65</t>
        </is>
      </c>
      <c r="L15" s="181" t="n"/>
      <c r="M15" s="181" t="n">
        <v>11</v>
      </c>
      <c r="N15" s="181" t="inlineStr">
        <is>
          <t>Echinacea Purpurea</t>
        </is>
      </c>
      <c r="O15" s="181" t="inlineStr">
        <is>
          <t>Milk Thistle</t>
        </is>
      </c>
      <c r="P15" s="181" t="inlineStr">
        <is>
          <t>Rhodiola Rosea</t>
        </is>
      </c>
      <c r="Q15" s="181" t="n">
        <v>51.004</v>
      </c>
      <c r="R15" s="181" t="n">
        <v>7</v>
      </c>
      <c r="S15" s="181" t="n">
        <v>3</v>
      </c>
      <c r="T15" s="181" t="n">
        <v>6.8</v>
      </c>
      <c r="U15" s="181" t="n">
        <v>3.35</v>
      </c>
      <c r="V15" s="181" t="n">
        <v>54.454</v>
      </c>
      <c r="W15" s="181" t="inlineStr">
        <is>
          <t>Adaptogen/Stress (31.5), Oxidative Stress (26.5), Inflammation (14.25)</t>
        </is>
      </c>
      <c r="X15" s="181" t="inlineStr">
        <is>
          <t>coverage 7; overlap 3; synergy +6.8; penalty -3.35</t>
        </is>
      </c>
    </row>
    <row r="16">
      <c r="A16" s="181" t="n">
        <v>12</v>
      </c>
      <c r="B16" s="181" t="inlineStr">
        <is>
          <t>Holy Basil</t>
        </is>
      </c>
      <c r="C16" s="181" t="inlineStr">
        <is>
          <t>Lemon Balm</t>
        </is>
      </c>
      <c r="D16" s="181" t="n">
        <v>31.12</v>
      </c>
      <c r="E16" s="181" t="n">
        <v>7</v>
      </c>
      <c r="F16" s="181" t="n">
        <v>4</v>
      </c>
      <c r="G16" s="181" t="n">
        <v>6.65</v>
      </c>
      <c r="H16" s="181" t="n">
        <v>2.2</v>
      </c>
      <c r="I16" s="181" t="n">
        <v>35.57</v>
      </c>
      <c r="J16" s="181" t="inlineStr">
        <is>
          <t>Inflammation (12.0), GABA/Sedation (10.0), Adaptogen/Stress (7.0)</t>
        </is>
      </c>
      <c r="K16" s="181" t="inlineStr">
        <is>
          <t>coverage 7; overlap 4; synergy +6.65; penalty -2.2</t>
        </is>
      </c>
      <c r="L16" s="181" t="n"/>
      <c r="M16" s="181" t="n">
        <v>12</v>
      </c>
      <c r="N16" s="181" t="inlineStr">
        <is>
          <t>Ashwagandha</t>
        </is>
      </c>
      <c r="O16" s="181" t="inlineStr">
        <is>
          <t>Lemon Balm</t>
        </is>
      </c>
      <c r="P16" s="181" t="inlineStr">
        <is>
          <t>Rhodiola Rosea</t>
        </is>
      </c>
      <c r="Q16" s="181" t="n">
        <v>50.178</v>
      </c>
      <c r="R16" s="181" t="n">
        <v>9</v>
      </c>
      <c r="S16" s="181" t="n">
        <v>4</v>
      </c>
      <c r="T16" s="181" t="n">
        <v>8.15</v>
      </c>
      <c r="U16" s="181" t="n">
        <v>4.1</v>
      </c>
      <c r="V16" s="181" t="n">
        <v>54.228</v>
      </c>
      <c r="W16" s="181" t="inlineStr">
        <is>
          <t>Adaptogen/Stress (25.5), Oxidative Stress (18.0), Inflammation (12.5)</t>
        </is>
      </c>
      <c r="X16" s="181" t="inlineStr">
        <is>
          <t>coverage 9; overlap 4; synergy +8.15; penalty -4.1</t>
        </is>
      </c>
    </row>
    <row r="17">
      <c r="A17" s="181" t="n">
        <v>13</v>
      </c>
      <c r="B17" s="181" t="inlineStr">
        <is>
          <t>Ginkgo Biloba</t>
        </is>
      </c>
      <c r="C17" s="181" t="inlineStr">
        <is>
          <t>Holy Basil</t>
        </is>
      </c>
      <c r="D17" s="181" t="n">
        <v>31.3</v>
      </c>
      <c r="E17" s="181" t="n">
        <v>6</v>
      </c>
      <c r="F17" s="181" t="n">
        <v>5</v>
      </c>
      <c r="G17" s="181" t="n">
        <v>6.25</v>
      </c>
      <c r="H17" s="181" t="n">
        <v>2.75</v>
      </c>
      <c r="I17" s="181" t="n">
        <v>34.8</v>
      </c>
      <c r="J17" s="181" t="inlineStr">
        <is>
          <t>Inflammation (18.25), Adaptogen/Stress (7.25), Oxidative Stress (6.25)</t>
        </is>
      </c>
      <c r="K17" s="181" t="inlineStr">
        <is>
          <t>coverage 6; overlap 5; synergy +6.25; penalty -2.75</t>
        </is>
      </c>
      <c r="L17" s="181" t="n"/>
      <c r="M17" s="181" t="n">
        <v>13</v>
      </c>
      <c r="N17" s="181" t="inlineStr">
        <is>
          <t>Milk Thistle</t>
        </is>
      </c>
      <c r="O17" s="181" t="inlineStr">
        <is>
          <t>Peppermint</t>
        </is>
      </c>
      <c r="P17" s="181" t="inlineStr">
        <is>
          <t>Rhodiola Rosea</t>
        </is>
      </c>
      <c r="Q17" s="181" t="n">
        <v>51.286</v>
      </c>
      <c r="R17" s="181" t="n">
        <v>7</v>
      </c>
      <c r="S17" s="181" t="n">
        <v>5</v>
      </c>
      <c r="T17" s="181" t="n">
        <v>7.5</v>
      </c>
      <c r="U17" s="181" t="n">
        <v>4.85</v>
      </c>
      <c r="V17" s="181" t="n">
        <v>53.936</v>
      </c>
      <c r="W17" s="181" t="inlineStr">
        <is>
          <t>Adaptogen/Stress (27.25), Oxidative Stress (20.25), Inflammation (11.25)</t>
        </is>
      </c>
      <c r="X17" s="181" t="inlineStr">
        <is>
          <t>coverage 7; overlap 5; synergy +7.5; penalty -4.85</t>
        </is>
      </c>
    </row>
    <row r="18">
      <c r="A18" s="181" t="n">
        <v>14</v>
      </c>
      <c r="B18" s="181" t="inlineStr">
        <is>
          <t>Rhodiola Rosea</t>
        </is>
      </c>
      <c r="C18" s="181" t="inlineStr">
        <is>
          <t>Valerian</t>
        </is>
      </c>
      <c r="D18" s="181" t="n">
        <v>28.124</v>
      </c>
      <c r="E18" s="181" t="n">
        <v>6</v>
      </c>
      <c r="F18" s="181" t="n">
        <v>0</v>
      </c>
      <c r="G18" s="181" t="n">
        <v>6</v>
      </c>
      <c r="H18" s="181" t="n">
        <v>0</v>
      </c>
      <c r="I18" s="181" t="n">
        <v>34.124</v>
      </c>
      <c r="J18" s="181" t="inlineStr">
        <is>
          <t>Adaptogen/Stress (16.0), Oxidative Stress (11.0), GABA/Sedation (8.5)</t>
        </is>
      </c>
      <c r="K18" s="181" t="inlineStr">
        <is>
          <t>coverage 6; overlap 0; synergy +6.0; penalty -0.0</t>
        </is>
      </c>
      <c r="L18" s="181" t="n"/>
      <c r="M18" s="181" t="n">
        <v>14</v>
      </c>
      <c r="N18" s="181" t="inlineStr">
        <is>
          <t>Holy Basil</t>
        </is>
      </c>
      <c r="O18" s="181" t="inlineStr">
        <is>
          <t>Rhodiola Rosea</t>
        </is>
      </c>
      <c r="P18" s="181" t="inlineStr">
        <is>
          <t>Turmeric</t>
        </is>
      </c>
      <c r="Q18" s="181" t="n">
        <v>50.7645</v>
      </c>
      <c r="R18" s="181" t="n">
        <v>7</v>
      </c>
      <c r="S18" s="181" t="n">
        <v>5</v>
      </c>
      <c r="T18" s="181" t="n">
        <v>7</v>
      </c>
      <c r="U18" s="181" t="n">
        <v>4.85</v>
      </c>
      <c r="V18" s="181" t="n">
        <v>52.9145</v>
      </c>
      <c r="W18" s="181" t="inlineStr">
        <is>
          <t>Adaptogen/Stress (24.0), Oxidative Stress (20.0), Inflammation (15.0)</t>
        </is>
      </c>
      <c r="X18" s="181" t="inlineStr">
        <is>
          <t>coverage 7; overlap 5; synergy +7.0; penalty -4.85</t>
        </is>
      </c>
    </row>
    <row r="19">
      <c r="A19" s="181" t="n">
        <v>15</v>
      </c>
      <c r="B19" s="181" t="inlineStr">
        <is>
          <t>Ginkgo Biloba</t>
        </is>
      </c>
      <c r="C19" s="181" t="inlineStr">
        <is>
          <t>Milk Thistle</t>
        </is>
      </c>
      <c r="D19" s="181" t="n">
        <v>31.014</v>
      </c>
      <c r="E19" s="181" t="n">
        <v>5</v>
      </c>
      <c r="F19" s="181" t="n">
        <v>4</v>
      </c>
      <c r="G19" s="181" t="n">
        <v>5.15</v>
      </c>
      <c r="H19" s="181" t="n">
        <v>2.2</v>
      </c>
      <c r="I19" s="181" t="n">
        <v>33.964</v>
      </c>
      <c r="J19" s="181" t="inlineStr">
        <is>
          <t>Inflammation (20.5), Oxidative Stress (12.5), Adaptogen/Stress (12.5)</t>
        </is>
      </c>
      <c r="K19" s="181" t="inlineStr">
        <is>
          <t>coverage 5; overlap 4; synergy +5.15; penalty -2.2</t>
        </is>
      </c>
      <c r="L19" s="181" t="n"/>
      <c r="M19" s="181" t="n">
        <v>15</v>
      </c>
      <c r="N19" s="181" t="inlineStr">
        <is>
          <t>Milk Thistle</t>
        </is>
      </c>
      <c r="O19" s="181" t="inlineStr">
        <is>
          <t>Rhodiola Rosea</t>
        </is>
      </c>
      <c r="P19" s="181" t="inlineStr">
        <is>
          <t>Turmeric</t>
        </is>
      </c>
      <c r="Q19" s="181" t="n">
        <v>50.4785</v>
      </c>
      <c r="R19" s="181" t="n">
        <v>6</v>
      </c>
      <c r="S19" s="181" t="n">
        <v>4</v>
      </c>
      <c r="T19" s="181" t="n">
        <v>5.9</v>
      </c>
      <c r="U19" s="181" t="n">
        <v>4.1</v>
      </c>
      <c r="V19" s="181" t="n">
        <v>52.2785</v>
      </c>
      <c r="W19" s="181" t="inlineStr">
        <is>
          <t>Adaptogen/Stress (29.25), Oxidative Stress (26.25), Inflammation (17.25)</t>
        </is>
      </c>
      <c r="X19" s="181" t="inlineStr">
        <is>
          <t>coverage 6; overlap 4; synergy +5.9; penalty -4.1</t>
        </is>
      </c>
    </row>
    <row r="20">
      <c r="A20" s="181" t="n"/>
      <c r="B20" s="181" t="n"/>
      <c r="C20" s="181" t="n"/>
      <c r="D20" s="181" t="n"/>
      <c r="E20" s="181" t="n"/>
      <c r="F20" s="181" t="n"/>
      <c r="G20" s="181" t="n"/>
      <c r="H20" s="181" t="n"/>
      <c r="I20" s="181" t="n"/>
      <c r="J20" s="181" t="n"/>
      <c r="K20" s="181" t="n"/>
      <c r="L20" s="181" t="n"/>
      <c r="M20" s="181" t="n"/>
      <c r="N20" s="181" t="n"/>
      <c r="O20" s="181" t="n"/>
      <c r="P20" s="181" t="n"/>
      <c r="Q20" s="181" t="n"/>
      <c r="R20" s="181" t="n"/>
      <c r="S20" s="181" t="n"/>
      <c r="T20" s="181" t="n"/>
      <c r="U20" s="181" t="n"/>
      <c r="V20" s="181" t="n"/>
      <c r="W20" s="181" t="n"/>
      <c r="X20" s="181" t="n"/>
    </row>
    <row r="21">
      <c r="A21" s="181" t="n"/>
      <c r="B21" s="181" t="n"/>
      <c r="C21" s="181" t="n"/>
      <c r="D21" s="181" t="n"/>
      <c r="E21" s="181" t="n"/>
      <c r="F21" s="181" t="n"/>
      <c r="G21" s="181" t="n"/>
      <c r="H21" s="181" t="n"/>
      <c r="I21" s="181" t="n"/>
      <c r="J21" s="181" t="n"/>
      <c r="K21" s="181" t="n"/>
      <c r="L21" s="181" t="n"/>
      <c r="M21" s="181" t="n"/>
      <c r="N21" s="181" t="n"/>
      <c r="O21" s="181" t="n"/>
      <c r="P21" s="181" t="n"/>
      <c r="Q21" s="181" t="n"/>
      <c r="R21" s="181" t="n"/>
      <c r="S21" s="181" t="n"/>
      <c r="T21" s="181" t="n"/>
      <c r="U21" s="181" t="n"/>
      <c r="V21" s="181" t="n"/>
      <c r="W21" s="181" t="n"/>
      <c r="X21" s="181" t="n"/>
    </row>
    <row r="22">
      <c r="A22" s="181" t="n"/>
      <c r="B22" s="181" t="n"/>
      <c r="C22" s="181" t="n"/>
      <c r="D22" s="181" t="n"/>
      <c r="E22" s="181" t="n"/>
      <c r="F22" s="181" t="n"/>
      <c r="G22" s="181" t="n"/>
      <c r="H22" s="181" t="n"/>
      <c r="I22" s="181" t="n"/>
      <c r="J22" s="181" t="n"/>
      <c r="K22" s="181" t="n"/>
      <c r="L22" s="181" t="n"/>
      <c r="M22" s="181" t="n"/>
      <c r="N22" s="181" t="n"/>
      <c r="O22" s="181" t="n"/>
      <c r="P22" s="181" t="n"/>
      <c r="Q22" s="181" t="n"/>
      <c r="R22" s="181" t="n"/>
      <c r="S22" s="181" t="n"/>
      <c r="T22" s="181" t="n"/>
      <c r="U22" s="181" t="n"/>
      <c r="V22" s="181" t="n"/>
      <c r="W22" s="181" t="n"/>
      <c r="X22" s="181" t="n"/>
    </row>
    <row r="23">
      <c r="A23" s="181" t="n"/>
      <c r="B23" s="181" t="n"/>
      <c r="C23" s="181" t="n"/>
      <c r="D23" s="181" t="n"/>
      <c r="E23" s="181" t="n"/>
      <c r="F23" s="181" t="n"/>
      <c r="G23" s="181" t="n"/>
      <c r="H23" s="181" t="n"/>
      <c r="I23" s="181" t="n"/>
      <c r="J23" s="181" t="n"/>
      <c r="K23" s="181" t="n"/>
      <c r="L23" s="181" t="n"/>
      <c r="M23" s="181" t="n"/>
      <c r="N23" s="181" t="n"/>
      <c r="O23" s="181" t="n"/>
      <c r="P23" s="181" t="n"/>
      <c r="Q23" s="181" t="n"/>
      <c r="R23" s="181" t="n"/>
      <c r="S23" s="181" t="n"/>
      <c r="T23" s="181" t="n"/>
      <c r="U23" s="181" t="n"/>
      <c r="V23" s="181" t="n"/>
      <c r="W23" s="181" t="n"/>
      <c r="X23" s="181" t="n"/>
    </row>
    <row r="24">
      <c r="A24" s="181" t="inlineStr">
        <is>
          <t>policy</t>
        </is>
      </c>
      <c r="B24" s="181" t="inlineStr">
        <is>
          <t>value</t>
        </is>
      </c>
      <c r="C24" s="181" t="inlineStr">
        <is>
          <t>note</t>
        </is>
      </c>
      <c r="D24" s="181" t="n"/>
      <c r="E24" s="181" t="n"/>
      <c r="F24" s="181" t="n"/>
      <c r="G24" s="181" t="n"/>
      <c r="H24" s="181" t="n"/>
      <c r="I24" s="181" t="n"/>
      <c r="J24" s="181" t="n"/>
      <c r="K24" s="181" t="n"/>
      <c r="L24" s="181" t="n"/>
      <c r="M24" s="181" t="n"/>
      <c r="N24" s="181" t="n"/>
      <c r="O24" s="181" t="n"/>
      <c r="P24" s="181" t="n"/>
      <c r="Q24" s="181" t="n"/>
      <c r="R24" s="181" t="n"/>
      <c r="S24" s="181" t="n"/>
      <c r="T24" s="181" t="n"/>
      <c r="U24" s="181" t="n"/>
      <c r="V24" s="181" t="n"/>
      <c r="W24" s="181" t="n"/>
      <c r="X24" s="181" t="n"/>
    </row>
    <row r="25">
      <c r="A25" s="181" t="inlineStr">
        <is>
          <t>high_severity</t>
        </is>
      </c>
      <c r="B25" s="181" t="inlineStr">
        <is>
          <t>exclude</t>
        </is>
      </c>
      <c r="C25" s="181" t="inlineStr">
        <is>
          <t>stacks omit herbs with high-severity contraindication rules</t>
        </is>
      </c>
      <c r="D25" s="181" t="n"/>
      <c r="E25" s="181" t="n"/>
      <c r="F25" s="181" t="n"/>
      <c r="G25" s="181" t="n"/>
      <c r="H25" s="181" t="n"/>
      <c r="I25" s="181" t="n"/>
      <c r="J25" s="181" t="n"/>
      <c r="K25" s="181" t="n"/>
      <c r="L25" s="181" t="n"/>
      <c r="M25" s="181" t="n"/>
      <c r="N25" s="181" t="n"/>
      <c r="O25" s="181" t="n"/>
      <c r="P25" s="181" t="n"/>
      <c r="Q25" s="181" t="n"/>
      <c r="R25" s="181" t="n"/>
      <c r="S25" s="181" t="n"/>
      <c r="T25" s="181" t="n"/>
      <c r="U25" s="181" t="n"/>
      <c r="V25" s="181" t="n"/>
      <c r="W25" s="181" t="n"/>
      <c r="X25" s="181" t="n"/>
    </row>
    <row r="26">
      <c r="A26" s="181" t="inlineStr">
        <is>
          <t>moderate_severity</t>
        </is>
      </c>
      <c r="B26" s="181" t="inlineStr">
        <is>
          <t>built into herb adjusted scores</t>
        </is>
      </c>
      <c r="C26" s="181" t="inlineStr">
        <is>
          <t>0.85x penalty inherited from prior passes</t>
        </is>
      </c>
      <c r="D26" s="181" t="n"/>
      <c r="E26" s="181" t="n"/>
      <c r="F26" s="181" t="n"/>
      <c r="G26" s="181" t="n"/>
      <c r="H26" s="181" t="n"/>
      <c r="I26" s="181" t="n"/>
      <c r="J26" s="181" t="n"/>
      <c r="K26" s="181" t="n"/>
      <c r="L26" s="181" t="n"/>
      <c r="M26" s="181" t="n"/>
      <c r="N26" s="181" t="n"/>
      <c r="O26" s="181" t="n"/>
      <c r="P26" s="181" t="n"/>
      <c r="Q26" s="181" t="n"/>
      <c r="R26" s="181" t="n"/>
      <c r="S26" s="181" t="n"/>
      <c r="T26" s="181" t="n"/>
      <c r="U26" s="181" t="n"/>
      <c r="V26" s="181" t="n"/>
      <c r="W26" s="181" t="n"/>
      <c r="X26" s="181" t="n"/>
    </row>
    <row r="27">
      <c r="A27" s="181" t="inlineStr">
        <is>
          <t>low-moderate_severity</t>
        </is>
      </c>
      <c r="B27" s="181" t="inlineStr">
        <is>
          <t>built into herb adjusted scores</t>
        </is>
      </c>
      <c r="C27" s="181" t="inlineStr">
        <is>
          <t>0.93x penalty inherited from prior passes</t>
        </is>
      </c>
      <c r="D27" s="181" t="n"/>
      <c r="E27" s="181" t="n"/>
      <c r="F27" s="181" t="n"/>
      <c r="G27" s="181" t="n"/>
      <c r="H27" s="181" t="n"/>
      <c r="I27" s="181" t="n"/>
      <c r="J27" s="181" t="n"/>
      <c r="K27" s="181" t="n"/>
      <c r="L27" s="181" t="n"/>
      <c r="M27" s="181" t="n"/>
      <c r="N27" s="181" t="n"/>
      <c r="O27" s="181" t="n"/>
      <c r="P27" s="181" t="n"/>
      <c r="Q27" s="181" t="n"/>
      <c r="R27" s="181" t="n"/>
      <c r="S27" s="181" t="n"/>
      <c r="T27" s="181" t="n"/>
      <c r="U27" s="181" t="n"/>
      <c r="V27" s="181" t="n"/>
      <c r="W27" s="181" t="n"/>
      <c r="X27" s="181" t="n"/>
    </row>
    <row r="28">
      <c r="A28" s="181" t="inlineStr">
        <is>
          <t>coverage_bonus</t>
        </is>
      </c>
      <c r="B28" s="181" t="inlineStr">
        <is>
          <t>0.6/domain + 0.5/strong-domain + 0.15/unique-domain</t>
        </is>
      </c>
      <c r="C28" s="181" t="inlineStr">
        <is>
          <t>rewards breadth and non-overlapping support</t>
        </is>
      </c>
      <c r="D28" s="181" t="n"/>
      <c r="E28" s="181" t="n"/>
      <c r="F28" s="181" t="n"/>
      <c r="G28" s="181" t="n"/>
      <c r="H28" s="181" t="n"/>
      <c r="I28" s="181" t="n"/>
      <c r="J28" s="181" t="n"/>
      <c r="K28" s="181" t="n"/>
      <c r="L28" s="181" t="n"/>
      <c r="M28" s="181" t="n"/>
      <c r="N28" s="181" t="n"/>
      <c r="O28" s="181" t="n"/>
      <c r="P28" s="181" t="n"/>
      <c r="Q28" s="181" t="n"/>
      <c r="R28" s="181" t="n"/>
      <c r="S28" s="181" t="n"/>
      <c r="T28" s="181" t="n"/>
      <c r="U28" s="181" t="n"/>
      <c r="V28" s="181" t="n"/>
      <c r="W28" s="181" t="n"/>
      <c r="X28" s="181" t="n"/>
    </row>
    <row r="29">
      <c r="A29" s="181" t="inlineStr">
        <is>
          <t>overlap_penalty</t>
        </is>
      </c>
      <c r="B29" s="181" t="inlineStr">
        <is>
          <t>0.55/domain for pairs; 0.75/domain for triples</t>
        </is>
      </c>
      <c r="C29" s="181" t="inlineStr">
        <is>
          <t>penalizes redundant mechanisms/domains</t>
        </is>
      </c>
      <c r="D29" s="181" t="n"/>
      <c r="E29" s="181" t="n"/>
      <c r="F29" s="181" t="n"/>
      <c r="G29" s="181" t="n"/>
      <c r="H29" s="181" t="n"/>
      <c r="I29" s="181" t="n"/>
      <c r="J29" s="181" t="n"/>
      <c r="K29" s="181" t="n"/>
      <c r="L29" s="181" t="n"/>
      <c r="M29" s="181" t="n"/>
      <c r="N29" s="181" t="n"/>
      <c r="O29" s="181" t="n"/>
      <c r="P29" s="181" t="n"/>
      <c r="Q29" s="181" t="n"/>
      <c r="R29" s="181" t="n"/>
      <c r="S29" s="181" t="n"/>
      <c r="T29" s="181" t="n"/>
      <c r="U29" s="181" t="n"/>
      <c r="V29" s="181" t="n"/>
      <c r="W29" s="181" t="n"/>
      <c r="X29" s="181" t="n"/>
    </row>
    <row r="30">
      <c r="A30" s="181" t="inlineStr">
        <is>
          <t>diminishing_returns</t>
        </is>
      </c>
      <c r="B30" s="181" t="inlineStr">
        <is>
          <t>1.1 for triples</t>
        </is>
      </c>
      <c r="C30" s="181" t="inlineStr">
        <is>
          <t>prevents naive larger-stack inflation</t>
        </is>
      </c>
      <c r="D30" s="181" t="n"/>
      <c r="E30" s="181" t="n"/>
      <c r="F30" s="181" t="n"/>
      <c r="G30" s="181" t="n"/>
      <c r="H30" s="181" t="n"/>
      <c r="I30" s="181" t="n"/>
      <c r="J30" s="181" t="n"/>
      <c r="K30" s="181" t="n"/>
      <c r="L30" s="181" t="n"/>
      <c r="M30" s="181" t="n"/>
      <c r="N30" s="181" t="n"/>
      <c r="O30" s="181" t="n"/>
      <c r="P30" s="181" t="n"/>
      <c r="Q30" s="181" t="n"/>
      <c r="R30" s="181" t="n"/>
      <c r="S30" s="181" t="n"/>
      <c r="T30" s="181" t="n"/>
      <c r="U30" s="181" t="n"/>
      <c r="V30" s="181" t="n"/>
      <c r="W30" s="181" t="n"/>
      <c r="X30" s="181" t="n"/>
    </row>
    <row r="31">
      <c r="A31" s="181" t="inlineStr">
        <is>
          <t>pass</t>
        </is>
      </c>
      <c r="B31" s="181" t="inlineStr">
        <is>
          <t>33</t>
        </is>
      </c>
      <c r="C31" s="181" t="inlineStr">
        <is>
          <t>stack intelligence upgrade</t>
        </is>
      </c>
      <c r="D31" s="181" t="n"/>
      <c r="E31" s="181" t="n"/>
      <c r="F31" s="181" t="n"/>
      <c r="G31" s="181" t="n"/>
      <c r="H31" s="181" t="n"/>
      <c r="I31" s="181" t="n"/>
      <c r="J31" s="181" t="n"/>
      <c r="K31" s="181" t="n"/>
      <c r="L31" s="181" t="n"/>
      <c r="M31" s="181" t="n"/>
      <c r="N31" s="181" t="n"/>
      <c r="O31" s="181" t="n"/>
      <c r="P31" s="181" t="n"/>
      <c r="Q31" s="181" t="n"/>
      <c r="R31" s="181" t="n"/>
      <c r="S31" s="181" t="n"/>
      <c r="T31" s="181" t="n"/>
      <c r="U31" s="181" t="n"/>
      <c r="V31" s="181" t="n"/>
      <c r="W31" s="181" t="n"/>
      <c r="X31" s="181" t="n"/>
    </row>
    <row r="32">
      <c r="A32" s="181" t="n"/>
      <c r="B32" s="181" t="n"/>
      <c r="C32" s="181" t="n"/>
      <c r="D32" s="181" t="n"/>
      <c r="E32" s="181" t="n"/>
      <c r="F32" s="181" t="n"/>
      <c r="G32" s="181" t="n"/>
      <c r="H32" s="181" t="n"/>
      <c r="I32" s="181" t="n"/>
      <c r="J32" s="181" t="n"/>
      <c r="K32" s="181" t="n"/>
      <c r="L32" s="181" t="n"/>
      <c r="M32" s="181" t="n"/>
      <c r="N32" s="181" t="n"/>
      <c r="O32" s="181" t="n"/>
      <c r="P32" s="181" t="n"/>
      <c r="Q32" s="181" t="n"/>
      <c r="R32" s="181" t="n"/>
      <c r="S32" s="181" t="n"/>
      <c r="T32" s="181" t="n"/>
      <c r="U32" s="181" t="n"/>
      <c r="V32" s="181" t="n"/>
      <c r="W32" s="181" t="n"/>
      <c r="X32" s="181" t="n"/>
    </row>
    <row r="33">
      <c r="A33" s="181" t="n"/>
      <c r="B33" s="181" t="n"/>
      <c r="C33" s="181" t="n"/>
      <c r="D33" s="181" t="n"/>
      <c r="E33" s="181" t="n"/>
      <c r="F33" s="181" t="n"/>
      <c r="G33" s="181" t="n"/>
      <c r="H33" s="181" t="n"/>
      <c r="I33" s="181" t="n"/>
      <c r="J33" s="181" t="n"/>
      <c r="K33" s="181" t="n"/>
      <c r="L33" s="181" t="n"/>
      <c r="M33" s="181" t="n"/>
      <c r="N33" s="181" t="n"/>
      <c r="O33" s="181" t="n"/>
      <c r="P33" s="181" t="n"/>
      <c r="Q33" s="181" t="n"/>
      <c r="R33" s="181" t="n"/>
      <c r="S33" s="181" t="n"/>
      <c r="T33" s="181" t="n"/>
      <c r="U33" s="181" t="n"/>
      <c r="V33" s="181" t="n"/>
      <c r="W33" s="181" t="n"/>
      <c r="X33" s="181" t="n"/>
    </row>
    <row r="34">
      <c r="A34" s="181" t="n"/>
      <c r="B34" s="181" t="n"/>
      <c r="C34" s="181" t="n"/>
      <c r="D34" s="181" t="n"/>
      <c r="E34" s="181" t="n"/>
      <c r="F34" s="181" t="n"/>
      <c r="G34" s="181" t="n"/>
      <c r="H34" s="181" t="n"/>
      <c r="I34" s="181" t="n"/>
      <c r="J34" s="181" t="n"/>
      <c r="K34" s="181" t="n"/>
      <c r="L34" s="181" t="n"/>
      <c r="M34" s="181" t="n"/>
      <c r="N34" s="181" t="n"/>
      <c r="O34" s="181" t="n"/>
      <c r="P34" s="181" t="n"/>
      <c r="Q34" s="181" t="n"/>
      <c r="R34" s="181" t="n"/>
      <c r="S34" s="181" t="n"/>
      <c r="T34" s="181" t="n"/>
      <c r="U34" s="181" t="n"/>
      <c r="V34" s="181" t="n"/>
      <c r="W34" s="181" t="n"/>
      <c r="X34" s="181" t="n"/>
    </row>
    <row r="35">
      <c r="A35" s="181" t="n"/>
      <c r="B35" s="181" t="n"/>
      <c r="C35" s="181" t="n"/>
      <c r="D35" s="181" t="n"/>
      <c r="E35" s="181" t="n"/>
      <c r="F35" s="181" t="n"/>
      <c r="G35" s="181" t="n"/>
      <c r="H35" s="181" t="n"/>
      <c r="I35" s="181" t="n"/>
      <c r="J35" s="181" t="n"/>
      <c r="K35" s="181" t="n"/>
      <c r="L35" s="181" t="n"/>
      <c r="M35" s="181" t="n"/>
      <c r="N35" s="181" t="n"/>
      <c r="O35" s="181" t="n"/>
      <c r="P35" s="181" t="n"/>
      <c r="Q35" s="181" t="n"/>
      <c r="R35" s="181" t="n"/>
      <c r="S35" s="181" t="n"/>
      <c r="T35" s="181" t="n"/>
      <c r="U35" s="181" t="n"/>
      <c r="V35" s="181" t="n"/>
      <c r="W35" s="181" t="n"/>
      <c r="X35" s="181" t="n"/>
    </row>
    <row r="36">
      <c r="A36" s="181" t="n"/>
      <c r="B36" s="181" t="n"/>
      <c r="C36" s="181" t="n"/>
      <c r="D36" s="181" t="n"/>
      <c r="E36" s="181" t="n"/>
      <c r="F36" s="181" t="n"/>
      <c r="G36" s="181" t="n"/>
      <c r="H36" s="181" t="n"/>
      <c r="I36" s="181" t="n"/>
      <c r="J36" s="181" t="n"/>
      <c r="K36" s="181" t="n"/>
      <c r="L36" s="181" t="n"/>
      <c r="M36" s="181" t="n"/>
      <c r="N36" s="181" t="n"/>
      <c r="O36" s="181" t="n"/>
      <c r="P36" s="181" t="n"/>
      <c r="Q36" s="181" t="n"/>
      <c r="R36" s="181" t="n"/>
      <c r="S36" s="181" t="n"/>
      <c r="T36" s="181" t="n"/>
      <c r="U36" s="181" t="n"/>
      <c r="V36" s="181" t="n"/>
      <c r="W36" s="181" t="n"/>
      <c r="X36" s="181" t="n"/>
    </row>
    <row r="37">
      <c r="A37" s="181" t="n"/>
      <c r="B37" s="181" t="n"/>
      <c r="C37" s="181" t="n"/>
      <c r="D37" s="181" t="n"/>
      <c r="E37" s="181" t="n"/>
      <c r="F37" s="181" t="n"/>
      <c r="G37" s="181" t="n"/>
      <c r="H37" s="181" t="n"/>
      <c r="I37" s="181" t="n"/>
      <c r="J37" s="181" t="n"/>
      <c r="K37" s="181" t="n"/>
      <c r="L37" s="181" t="n"/>
      <c r="M37" s="181" t="n"/>
      <c r="N37" s="181" t="n"/>
      <c r="O37" s="181" t="n"/>
      <c r="P37" s="181" t="n"/>
      <c r="Q37" s="181" t="n"/>
      <c r="R37" s="181" t="n"/>
      <c r="S37" s="181" t="n"/>
      <c r="T37" s="181" t="n"/>
      <c r="U37" s="181" t="n"/>
      <c r="V37" s="181" t="n"/>
      <c r="W37" s="181" t="n"/>
      <c r="X37" s="181" t="n"/>
    </row>
    <row r="38">
      <c r="A38" s="181" t="n"/>
      <c r="B38" s="181" t="n"/>
      <c r="C38" s="181" t="n"/>
      <c r="D38" s="181" t="n"/>
      <c r="E38" s="181" t="n"/>
      <c r="F38" s="181" t="n"/>
      <c r="G38" s="181" t="n"/>
      <c r="H38" s="181" t="n"/>
      <c r="I38" s="181" t="n"/>
      <c r="J38" s="181" t="n"/>
      <c r="K38" s="181" t="n"/>
      <c r="L38" s="181" t="n"/>
      <c r="M38" s="181" t="n"/>
      <c r="N38" s="181" t="n"/>
      <c r="O38" s="181" t="n"/>
      <c r="P38" s="181" t="n"/>
      <c r="Q38" s="181" t="n"/>
      <c r="R38" s="181" t="n"/>
      <c r="S38" s="181" t="n"/>
      <c r="T38" s="181" t="n"/>
      <c r="U38" s="181" t="n"/>
      <c r="V38" s="181" t="n"/>
      <c r="W38" s="181" t="n"/>
      <c r="X38" s="181" t="n"/>
    </row>
    <row r="39">
      <c r="A39" s="181" t="n"/>
      <c r="B39" s="181" t="n"/>
      <c r="C39" s="181" t="n"/>
      <c r="D39" s="181" t="n"/>
      <c r="E39" s="181" t="n"/>
      <c r="F39" s="181" t="n"/>
      <c r="G39" s="181" t="n"/>
      <c r="H39" s="181" t="n"/>
      <c r="I39" s="181" t="n"/>
      <c r="J39" s="181" t="n"/>
      <c r="K39" s="181" t="n"/>
      <c r="L39" s="181" t="n"/>
      <c r="M39" s="181" t="n"/>
      <c r="N39" s="181" t="n"/>
      <c r="O39" s="181" t="n"/>
      <c r="P39" s="181" t="n"/>
      <c r="Q39" s="181" t="n"/>
      <c r="R39" s="181" t="n"/>
      <c r="S39" s="181" t="n"/>
      <c r="T39" s="181" t="n"/>
      <c r="U39" s="181" t="n"/>
      <c r="V39" s="181" t="n"/>
      <c r="W39" s="181" t="n"/>
      <c r="X39" s="181" t="n"/>
    </row>
    <row r="40">
      <c r="A40" s="181" t="n"/>
      <c r="B40" s="181" t="n"/>
      <c r="C40" s="181" t="n"/>
      <c r="D40" s="181" t="n"/>
      <c r="E40" s="181" t="n"/>
      <c r="F40" s="181" t="n"/>
      <c r="G40" s="181" t="n"/>
      <c r="H40" s="181" t="n"/>
      <c r="I40" s="181" t="n"/>
      <c r="J40" s="181" t="n"/>
      <c r="K40" s="181" t="n"/>
      <c r="L40" s="181" t="n"/>
      <c r="M40" s="181" t="n"/>
      <c r="N40" s="181" t="n"/>
      <c r="O40" s="181" t="n"/>
      <c r="P40" s="181" t="n"/>
      <c r="Q40" s="181" t="n"/>
      <c r="R40" s="181" t="n"/>
      <c r="S40" s="181" t="n"/>
      <c r="T40" s="181" t="n"/>
      <c r="U40" s="181" t="n"/>
      <c r="V40" s="181" t="n"/>
      <c r="W40" s="181" t="n"/>
      <c r="X40" s="181" t="n"/>
    </row>
  </sheetData>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4.13999938964844" customWidth="1" style="76" min="1" max="1"/>
    <col width="6.289999961853027" customWidth="1" style="76" min="2" max="2"/>
    <col width="81.29000091552734" customWidth="1" style="76" min="3" max="3"/>
  </cols>
  <sheetData>
    <row r="1">
      <c r="A1" t="inlineStr">
        <is>
          <t>action</t>
        </is>
      </c>
      <c r="B1" t="inlineStr">
        <is>
          <t>result</t>
        </is>
      </c>
      <c r="C1" t="inlineStr">
        <is>
          <t>note</t>
        </is>
      </c>
    </row>
    <row r="2">
      <c r="A2" t="inlineStr">
        <is>
          <t>pair stack generation</t>
        </is>
      </c>
      <c r="B2" t="n">
        <v>15</v>
      </c>
      <c r="C2" t="inlineStr">
        <is>
          <t>top complementarity-ranked 2-herb stacks</t>
        </is>
      </c>
    </row>
    <row r="3">
      <c r="A3" t="inlineStr">
        <is>
          <t>triple stack generation</t>
        </is>
      </c>
      <c r="B3" t="n">
        <v>15</v>
      </c>
      <c r="C3" t="inlineStr">
        <is>
          <t>top complementarity-ranked 3-herb stacks</t>
        </is>
      </c>
    </row>
    <row r="4">
      <c r="A4" t="inlineStr">
        <is>
          <t>scoring model</t>
        </is>
      </c>
      <c r="B4" t="inlineStr">
        <is>
          <t>active</t>
        </is>
      </c>
      <c r="C4" t="inlineStr">
        <is>
          <t>uses adjusted herb scores + coverage bonus - overlap/diminishing penalties</t>
        </is>
      </c>
    </row>
  </sheetData>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21.86000061035156" customWidth="1" style="76" min="1" max="1"/>
    <col width="21.29000091552734" customWidth="1" style="76" min="2" max="2"/>
    <col width="21.29000091552734" customWidth="1" style="76" min="3" max="3"/>
    <col width="6" customWidth="1" style="76" min="4" max="4"/>
    <col width="7.570000171661377" customWidth="1" style="76" min="5" max="5"/>
  </cols>
  <sheetData>
    <row r="1">
      <c r="A1" t="inlineStr">
        <is>
          <t>Sleep Stacks</t>
        </is>
      </c>
    </row>
    <row r="2">
      <c r="A2" t="inlineStr">
        <is>
          <t>herb1</t>
        </is>
      </c>
      <c r="B2" t="inlineStr">
        <is>
          <t>herb2</t>
        </is>
      </c>
      <c r="C2" t="inlineStr">
        <is>
          <t>herb3</t>
        </is>
      </c>
      <c r="D2" t="inlineStr">
        <is>
          <t>score</t>
        </is>
      </c>
      <c r="E2" t="inlineStr">
        <is>
          <t>type</t>
        </is>
      </c>
    </row>
    <row r="3">
      <c r="A3" t="inlineStr">
        <is>
          <t>Rhodiola Rosea</t>
        </is>
      </c>
      <c r="B3" t="inlineStr">
        <is>
          <t>Lemon Balm</t>
        </is>
      </c>
      <c r="D3" t="n">
        <v>26</v>
      </c>
      <c r="E3" t="inlineStr">
        <is>
          <t>2-stack</t>
        </is>
      </c>
    </row>
    <row r="4">
      <c r="A4" t="inlineStr">
        <is>
          <t>Rhodiola Rosea</t>
        </is>
      </c>
      <c r="B4" t="inlineStr">
        <is>
          <t>Milk Thistle</t>
        </is>
      </c>
      <c r="D4" t="n">
        <v>25.25</v>
      </c>
      <c r="E4" t="inlineStr">
        <is>
          <t>2-stack</t>
        </is>
      </c>
    </row>
    <row r="5">
      <c r="A5" t="inlineStr">
        <is>
          <t>Rhodiola Rosea</t>
        </is>
      </c>
      <c r="B5" t="inlineStr">
        <is>
          <t>Valerian</t>
        </is>
      </c>
      <c r="D5" t="n">
        <v>24.5</v>
      </c>
      <c r="E5" t="inlineStr">
        <is>
          <t>2-stack</t>
        </is>
      </c>
    </row>
    <row r="6">
      <c r="A6" t="inlineStr">
        <is>
          <t>Rhodiola Rosea</t>
        </is>
      </c>
      <c r="B6" t="inlineStr">
        <is>
          <t>Ashwagandha</t>
        </is>
      </c>
      <c r="D6" t="n">
        <v>23.5</v>
      </c>
      <c r="E6" t="inlineStr">
        <is>
          <t>2-stack</t>
        </is>
      </c>
    </row>
    <row r="7">
      <c r="A7" t="inlineStr">
        <is>
          <t>Rhodiola Rosea</t>
        </is>
      </c>
      <c r="B7" t="inlineStr">
        <is>
          <t>Holy Basil</t>
        </is>
      </c>
      <c r="D7" t="n">
        <v>23</v>
      </c>
      <c r="E7" t="inlineStr">
        <is>
          <t>2-stack</t>
        </is>
      </c>
    </row>
    <row r="8">
      <c r="A8" t="inlineStr">
        <is>
          <t>Rhodiola Rosea</t>
        </is>
      </c>
      <c r="B8" t="inlineStr">
        <is>
          <t>Lemon Balm</t>
        </is>
      </c>
      <c r="C8" t="inlineStr">
        <is>
          <t>Milk Thistle</t>
        </is>
      </c>
      <c r="D8" t="n">
        <v>35.25</v>
      </c>
      <c r="E8" t="inlineStr">
        <is>
          <t>3-stack</t>
        </is>
      </c>
    </row>
    <row r="9">
      <c r="A9" t="inlineStr">
        <is>
          <t>Rhodiola Rosea</t>
        </is>
      </c>
      <c r="B9" t="inlineStr">
        <is>
          <t>Lemon Balm</t>
        </is>
      </c>
      <c r="C9" t="inlineStr">
        <is>
          <t>Valerian</t>
        </is>
      </c>
      <c r="D9" t="n">
        <v>34.5</v>
      </c>
      <c r="E9" t="inlineStr">
        <is>
          <t>3-stack</t>
        </is>
      </c>
    </row>
    <row r="10">
      <c r="A10" t="inlineStr">
        <is>
          <t>Rhodiola Rosea</t>
        </is>
      </c>
      <c r="B10" t="inlineStr">
        <is>
          <t>Lemon Balm</t>
        </is>
      </c>
      <c r="C10" t="inlineStr">
        <is>
          <t>Ashwagandha</t>
        </is>
      </c>
      <c r="D10" t="n">
        <v>33.5</v>
      </c>
      <c r="E10" t="inlineStr">
        <is>
          <t>3-stack</t>
        </is>
      </c>
    </row>
    <row r="11">
      <c r="A11" t="inlineStr">
        <is>
          <t>Rhodiola Rosea</t>
        </is>
      </c>
      <c r="B11" t="inlineStr">
        <is>
          <t>Lemon Balm</t>
        </is>
      </c>
      <c r="C11" t="inlineStr">
        <is>
          <t>Holy Basil</t>
        </is>
      </c>
      <c r="D11" t="n">
        <v>33</v>
      </c>
      <c r="E11" t="inlineStr">
        <is>
          <t>3-stack</t>
        </is>
      </c>
    </row>
    <row r="12">
      <c r="A12" t="inlineStr">
        <is>
          <t>Rhodiola Rosea</t>
        </is>
      </c>
      <c r="B12" t="inlineStr">
        <is>
          <t>Lemon Balm</t>
        </is>
      </c>
      <c r="C12" t="inlineStr">
        <is>
          <t>Echinacea Purpurea</t>
        </is>
      </c>
      <c r="D12" t="n">
        <v>32.25</v>
      </c>
      <c r="E12" t="inlineStr">
        <is>
          <t>3-stack</t>
        </is>
      </c>
    </row>
    <row r="15">
      <c r="A15" t="inlineStr">
        <is>
          <t>Inflammation Stacks</t>
        </is>
      </c>
    </row>
    <row r="16">
      <c r="A16" t="inlineStr">
        <is>
          <t>herb1</t>
        </is>
      </c>
      <c r="B16" t="inlineStr">
        <is>
          <t>herb2</t>
        </is>
      </c>
      <c r="C16" t="inlineStr">
        <is>
          <t>herb3</t>
        </is>
      </c>
      <c r="D16" t="inlineStr">
        <is>
          <t>score</t>
        </is>
      </c>
      <c r="E16" t="inlineStr">
        <is>
          <t>type</t>
        </is>
      </c>
    </row>
    <row r="17">
      <c r="A17" t="inlineStr">
        <is>
          <t>Milk Thistle</t>
        </is>
      </c>
      <c r="B17" t="inlineStr">
        <is>
          <t>Ginkgo Biloba</t>
        </is>
      </c>
      <c r="D17" t="n">
        <v>33</v>
      </c>
      <c r="E17" t="inlineStr">
        <is>
          <t>2-stack</t>
        </is>
      </c>
    </row>
    <row r="18">
      <c r="A18" t="inlineStr">
        <is>
          <t>Milk Thistle</t>
        </is>
      </c>
      <c r="B18" t="inlineStr">
        <is>
          <t>Rhodiola Rosea</t>
        </is>
      </c>
      <c r="D18" t="n">
        <v>31.5</v>
      </c>
      <c r="E18" t="inlineStr">
        <is>
          <t>2-stack</t>
        </is>
      </c>
    </row>
    <row r="19">
      <c r="A19" t="inlineStr">
        <is>
          <t>Milk Thistle</t>
        </is>
      </c>
      <c r="B19" t="inlineStr">
        <is>
          <t>Turmeric</t>
        </is>
      </c>
      <c r="D19" t="n">
        <v>30.5</v>
      </c>
      <c r="E19" t="inlineStr">
        <is>
          <t>2-stack</t>
        </is>
      </c>
    </row>
    <row r="20">
      <c r="A20" t="inlineStr">
        <is>
          <t>Milk Thistle</t>
        </is>
      </c>
      <c r="B20" t="inlineStr">
        <is>
          <t>Holy Basil</t>
        </is>
      </c>
      <c r="D20" t="n">
        <v>28.5</v>
      </c>
      <c r="E20" t="inlineStr">
        <is>
          <t>2-stack</t>
        </is>
      </c>
    </row>
    <row r="21">
      <c r="A21" t="inlineStr">
        <is>
          <t>Milk Thistle</t>
        </is>
      </c>
      <c r="B21" t="inlineStr">
        <is>
          <t>Ashwagandha</t>
        </is>
      </c>
      <c r="D21" t="n">
        <v>28</v>
      </c>
      <c r="E21" t="inlineStr">
        <is>
          <t>2-stack</t>
        </is>
      </c>
    </row>
    <row r="22">
      <c r="A22" t="inlineStr">
        <is>
          <t>Milk Thistle</t>
        </is>
      </c>
      <c r="B22" t="inlineStr">
        <is>
          <t>Ginkgo Biloba</t>
        </is>
      </c>
      <c r="C22" t="inlineStr">
        <is>
          <t>Rhodiola Rosea</t>
        </is>
      </c>
      <c r="D22" t="n">
        <v>46</v>
      </c>
      <c r="E22" t="inlineStr">
        <is>
          <t>3-stack</t>
        </is>
      </c>
    </row>
    <row r="23">
      <c r="A23" t="inlineStr">
        <is>
          <t>Milk Thistle</t>
        </is>
      </c>
      <c r="B23" t="inlineStr">
        <is>
          <t>Ginkgo Biloba</t>
        </is>
      </c>
      <c r="C23" t="inlineStr">
        <is>
          <t>Turmeric</t>
        </is>
      </c>
      <c r="D23" t="n">
        <v>45</v>
      </c>
      <c r="E23" t="inlineStr">
        <is>
          <t>3-stack</t>
        </is>
      </c>
    </row>
    <row r="24">
      <c r="A24" t="inlineStr">
        <is>
          <t>Milk Thistle</t>
        </is>
      </c>
      <c r="B24" t="inlineStr">
        <is>
          <t>Ginkgo Biloba</t>
        </is>
      </c>
      <c r="C24" t="inlineStr">
        <is>
          <t>Holy Basil</t>
        </is>
      </c>
      <c r="D24" t="n">
        <v>43</v>
      </c>
      <c r="E24" t="inlineStr">
        <is>
          <t>3-stack</t>
        </is>
      </c>
    </row>
    <row r="25">
      <c r="A25" t="inlineStr">
        <is>
          <t>Milk Thistle</t>
        </is>
      </c>
      <c r="B25" t="inlineStr">
        <is>
          <t>Ginkgo Biloba</t>
        </is>
      </c>
      <c r="C25" t="inlineStr">
        <is>
          <t>Ashwagandha</t>
        </is>
      </c>
      <c r="D25" t="n">
        <v>42.5</v>
      </c>
      <c r="E25" t="inlineStr">
        <is>
          <t>3-stack</t>
        </is>
      </c>
    </row>
    <row r="26">
      <c r="A26" t="inlineStr">
        <is>
          <t>Milk Thistle</t>
        </is>
      </c>
      <c r="B26" t="inlineStr">
        <is>
          <t>Ginkgo Biloba</t>
        </is>
      </c>
      <c r="C26" t="inlineStr">
        <is>
          <t>Echinacea Purpurea</t>
        </is>
      </c>
      <c r="D26" t="n">
        <v>42.25</v>
      </c>
      <c r="E26" t="inlineStr">
        <is>
          <t>3-stack</t>
        </is>
      </c>
    </row>
    <row r="29">
      <c r="A29" t="inlineStr">
        <is>
          <t>Mood Stacks</t>
        </is>
      </c>
    </row>
    <row r="30">
      <c r="A30" t="inlineStr">
        <is>
          <t>herb1</t>
        </is>
      </c>
      <c r="B30" t="inlineStr">
        <is>
          <t>herb2</t>
        </is>
      </c>
      <c r="C30" t="inlineStr">
        <is>
          <t>herb3</t>
        </is>
      </c>
      <c r="D30" t="inlineStr">
        <is>
          <t>score</t>
        </is>
      </c>
      <c r="E30" t="inlineStr">
        <is>
          <t>type</t>
        </is>
      </c>
    </row>
    <row r="31">
      <c r="A31" t="inlineStr">
        <is>
          <t>Rhodiola Rosea</t>
        </is>
      </c>
      <c r="B31" t="inlineStr">
        <is>
          <t>Milk Thistle</t>
        </is>
      </c>
      <c r="D31" t="n">
        <v>28.25</v>
      </c>
      <c r="E31" t="inlineStr">
        <is>
          <t>2-stack</t>
        </is>
      </c>
    </row>
    <row r="32">
      <c r="A32" t="inlineStr">
        <is>
          <t>Rhodiola Rosea</t>
        </is>
      </c>
      <c r="B32" t="inlineStr">
        <is>
          <t>Ashwagandha</t>
        </is>
      </c>
      <c r="D32" t="n">
        <v>25.5</v>
      </c>
      <c r="E32" t="inlineStr">
        <is>
          <t>2-stack</t>
        </is>
      </c>
    </row>
    <row r="33">
      <c r="A33" t="inlineStr">
        <is>
          <t>Rhodiola Rosea</t>
        </is>
      </c>
      <c r="B33" t="inlineStr">
        <is>
          <t>Echinacea Purpurea</t>
        </is>
      </c>
      <c r="D33" t="n">
        <v>25.25</v>
      </c>
      <c r="E33" t="inlineStr">
        <is>
          <t>2-stack</t>
        </is>
      </c>
    </row>
    <row r="34">
      <c r="A34" t="inlineStr">
        <is>
          <t>Rhodiola Rosea</t>
        </is>
      </c>
      <c r="B34" t="inlineStr">
        <is>
          <t>Holy Basil</t>
        </is>
      </c>
      <c r="D34" t="n">
        <v>23</v>
      </c>
      <c r="E34" t="inlineStr">
        <is>
          <t>2-stack</t>
        </is>
      </c>
    </row>
    <row r="35">
      <c r="A35" t="inlineStr">
        <is>
          <t>Rhodiola Rosea</t>
        </is>
      </c>
      <c r="B35" t="inlineStr">
        <is>
          <t>Turmeric</t>
        </is>
      </c>
      <c r="D35" t="n">
        <v>23</v>
      </c>
      <c r="E35" t="inlineStr">
        <is>
          <t>2-stack</t>
        </is>
      </c>
    </row>
    <row r="36">
      <c r="A36" t="inlineStr">
        <is>
          <t>Rhodiola Rosea</t>
        </is>
      </c>
      <c r="B36" t="inlineStr">
        <is>
          <t>Milk Thistle</t>
        </is>
      </c>
      <c r="C36" t="inlineStr">
        <is>
          <t>Ashwagandha</t>
        </is>
      </c>
      <c r="D36" t="n">
        <v>34.75</v>
      </c>
      <c r="E36" t="inlineStr">
        <is>
          <t>3-stack</t>
        </is>
      </c>
    </row>
    <row r="37">
      <c r="A37" t="inlineStr">
        <is>
          <t>Rhodiola Rosea</t>
        </is>
      </c>
      <c r="B37" t="inlineStr">
        <is>
          <t>Milk Thistle</t>
        </is>
      </c>
      <c r="C37" t="inlineStr">
        <is>
          <t>Echinacea Purpurea</t>
        </is>
      </c>
      <c r="D37" t="n">
        <v>34.5</v>
      </c>
      <c r="E37" t="inlineStr">
        <is>
          <t>3-stack</t>
        </is>
      </c>
    </row>
    <row r="38">
      <c r="A38" t="inlineStr">
        <is>
          <t>Rhodiola Rosea</t>
        </is>
      </c>
      <c r="B38" t="inlineStr">
        <is>
          <t>Milk Thistle</t>
        </is>
      </c>
      <c r="C38" t="inlineStr">
        <is>
          <t>Holy Basil</t>
        </is>
      </c>
      <c r="D38" t="n">
        <v>32.25</v>
      </c>
      <c r="E38" t="inlineStr">
        <is>
          <t>3-stack</t>
        </is>
      </c>
    </row>
    <row r="39">
      <c r="A39" t="inlineStr">
        <is>
          <t>Rhodiola Rosea</t>
        </is>
      </c>
      <c r="B39" t="inlineStr">
        <is>
          <t>Milk Thistle</t>
        </is>
      </c>
      <c r="C39" t="inlineStr">
        <is>
          <t>Turmeric</t>
        </is>
      </c>
      <c r="D39" t="n">
        <v>32.25</v>
      </c>
      <c r="E39" t="inlineStr">
        <is>
          <t>3-stack</t>
        </is>
      </c>
    </row>
    <row r="40">
      <c r="A40" t="inlineStr">
        <is>
          <t>Rhodiola Rosea</t>
        </is>
      </c>
      <c r="B40" t="inlineStr">
        <is>
          <t>Milk Thistle</t>
        </is>
      </c>
      <c r="C40" t="inlineStr">
        <is>
          <t>Garlic</t>
        </is>
      </c>
      <c r="D40" t="n">
        <v>31.5</v>
      </c>
      <c r="E40" t="inlineStr">
        <is>
          <t>3-stack</t>
        </is>
      </c>
    </row>
    <row r="43">
      <c r="A43" t="inlineStr">
        <is>
          <t>Liver Stacks</t>
        </is>
      </c>
    </row>
    <row r="44">
      <c r="A44" t="inlineStr">
        <is>
          <t>herb1</t>
        </is>
      </c>
      <c r="B44" t="inlineStr">
        <is>
          <t>herb2</t>
        </is>
      </c>
      <c r="C44" t="inlineStr">
        <is>
          <t>herb3</t>
        </is>
      </c>
      <c r="D44" t="inlineStr">
        <is>
          <t>score</t>
        </is>
      </c>
      <c r="E44" t="inlineStr">
        <is>
          <t>type</t>
        </is>
      </c>
    </row>
    <row r="45">
      <c r="A45" t="inlineStr">
        <is>
          <t>Milk Thistle</t>
        </is>
      </c>
      <c r="B45" t="inlineStr">
        <is>
          <t>Rhodiola Rosea</t>
        </is>
      </c>
      <c r="D45" t="n">
        <v>25.5</v>
      </c>
      <c r="E45" t="inlineStr">
        <is>
          <t>2-stack</t>
        </is>
      </c>
    </row>
    <row r="46">
      <c r="A46" t="inlineStr">
        <is>
          <t>Milk Thistle</t>
        </is>
      </c>
      <c r="B46" t="inlineStr">
        <is>
          <t>Turmeric</t>
        </is>
      </c>
      <c r="D46" t="n">
        <v>24.5</v>
      </c>
      <c r="E46" t="inlineStr">
        <is>
          <t>2-stack</t>
        </is>
      </c>
    </row>
    <row r="47">
      <c r="A47" t="inlineStr">
        <is>
          <t>Milk Thistle</t>
        </is>
      </c>
      <c r="B47" t="inlineStr">
        <is>
          <t>Garlic</t>
        </is>
      </c>
      <c r="D47" t="n">
        <v>23.75</v>
      </c>
      <c r="E47" t="inlineStr">
        <is>
          <t>2-stack</t>
        </is>
      </c>
    </row>
    <row r="48">
      <c r="A48" t="inlineStr">
        <is>
          <t>Milk Thistle</t>
        </is>
      </c>
      <c r="B48" t="inlineStr">
        <is>
          <t>Ashwagandha</t>
        </is>
      </c>
      <c r="D48" t="n">
        <v>21</v>
      </c>
      <c r="E48" t="inlineStr">
        <is>
          <t>2-stack</t>
        </is>
      </c>
    </row>
    <row r="49">
      <c r="A49" t="inlineStr">
        <is>
          <t>Milk Thistle</t>
        </is>
      </c>
      <c r="B49" t="inlineStr">
        <is>
          <t>Echinacea Purpurea</t>
        </is>
      </c>
      <c r="D49" t="n">
        <v>20.75</v>
      </c>
      <c r="E49" t="inlineStr">
        <is>
          <t>2-stack</t>
        </is>
      </c>
    </row>
    <row r="50">
      <c r="A50" t="inlineStr">
        <is>
          <t>Milk Thistle</t>
        </is>
      </c>
      <c r="B50" t="inlineStr">
        <is>
          <t>Rhodiola Rosea</t>
        </is>
      </c>
      <c r="C50" t="inlineStr">
        <is>
          <t>Turmeric</t>
        </is>
      </c>
      <c r="D50" t="n">
        <v>35.5</v>
      </c>
      <c r="E50" t="inlineStr">
        <is>
          <t>3-stack</t>
        </is>
      </c>
    </row>
    <row r="51">
      <c r="A51" t="inlineStr">
        <is>
          <t>Milk Thistle</t>
        </is>
      </c>
      <c r="B51" t="inlineStr">
        <is>
          <t>Rhodiola Rosea</t>
        </is>
      </c>
      <c r="C51" t="inlineStr">
        <is>
          <t>Garlic</t>
        </is>
      </c>
      <c r="D51" t="n">
        <v>34.75</v>
      </c>
      <c r="E51" t="inlineStr">
        <is>
          <t>3-stack</t>
        </is>
      </c>
    </row>
    <row r="52">
      <c r="A52" t="inlineStr">
        <is>
          <t>Milk Thistle</t>
        </is>
      </c>
      <c r="B52" t="inlineStr">
        <is>
          <t>Rhodiola Rosea</t>
        </is>
      </c>
      <c r="C52" t="inlineStr">
        <is>
          <t>Ashwagandha</t>
        </is>
      </c>
      <c r="D52" t="n">
        <v>32</v>
      </c>
      <c r="E52" t="inlineStr">
        <is>
          <t>3-stack</t>
        </is>
      </c>
    </row>
    <row r="53">
      <c r="A53" t="inlineStr">
        <is>
          <t>Milk Thistle</t>
        </is>
      </c>
      <c r="B53" t="inlineStr">
        <is>
          <t>Rhodiola Rosea</t>
        </is>
      </c>
      <c r="C53" t="inlineStr">
        <is>
          <t>Echinacea Purpurea</t>
        </is>
      </c>
      <c r="D53" t="n">
        <v>31.75</v>
      </c>
      <c r="E53" t="inlineStr">
        <is>
          <t>3-stack</t>
        </is>
      </c>
    </row>
    <row r="54">
      <c r="A54" t="inlineStr">
        <is>
          <t>Milk Thistle</t>
        </is>
      </c>
      <c r="B54" t="inlineStr">
        <is>
          <t>Rhodiola Rosea</t>
        </is>
      </c>
      <c r="C54" t="inlineStr">
        <is>
          <t>Holy Basil</t>
        </is>
      </c>
      <c r="D54" t="n">
        <v>31.5</v>
      </c>
      <c r="E54" t="inlineStr">
        <is>
          <t>3-stack</t>
        </is>
      </c>
    </row>
  </sheetData>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O200"/>
  <sheetViews>
    <sheetView workbookViewId="0">
      <selection activeCell="A1" sqref="A1"/>
    </sheetView>
  </sheetViews>
  <sheetFormatPr baseColWidth="8" defaultRowHeight="15"/>
  <cols>
    <col width="14.43000030517578" customWidth="1" style="76" min="1" max="1"/>
    <col width="16.56999969482422" customWidth="1" style="76" min="2" max="2"/>
    <col width="21.29000091552734" customWidth="1" style="76" min="3" max="3"/>
    <col width="21.29000091552734" customWidth="1" style="76" min="4" max="4"/>
    <col width="6" customWidth="1" style="76" min="5" max="5"/>
    <col width="7.570000171661377" customWidth="1" style="76" min="6" max="6"/>
    <col width="13" customWidth="1" style="76" min="7" max="7"/>
    <col width="61.29000091552734" customWidth="1" style="76" min="8" max="8"/>
    <col width="72.86000061035156" customWidth="1" style="76" min="9" max="9"/>
    <col width="0.05000000074505806" customWidth="1" style="76" min="10" max="10"/>
    <col width="14.43000030517578" customWidth="1" style="76" min="11" max="11"/>
    <col width="4.289999961853027" customWidth="1" style="76" min="12" max="12"/>
    <col width="8" customWidth="1" style="76" min="13" max="13"/>
    <col width="7.139999866485596" customWidth="1" style="76" min="14" max="14"/>
    <col width="5.710000038146973" customWidth="1" style="76" min="15" max="15"/>
  </cols>
  <sheetData>
    <row r="1">
      <c r="A1" s="181" t="inlineStr">
        <is>
          <t>goal</t>
        </is>
      </c>
      <c r="B1" s="181" t="inlineStr">
        <is>
          <t>herb1</t>
        </is>
      </c>
      <c r="C1" s="181" t="inlineStr">
        <is>
          <t>herb2</t>
        </is>
      </c>
      <c r="D1" s="181" t="inlineStr">
        <is>
          <t>herb3</t>
        </is>
      </c>
      <c r="E1" s="181" t="inlineStr">
        <is>
          <t>score</t>
        </is>
      </c>
      <c r="F1" s="181" t="inlineStr">
        <is>
          <t>type</t>
        </is>
      </c>
      <c r="G1" s="181" t="inlineStr">
        <is>
          <t>safetyStatus</t>
        </is>
      </c>
      <c r="H1" s="181" t="inlineStr">
        <is>
          <t>conflictDomains</t>
        </is>
      </c>
      <c r="I1" s="181" t="inlineStr">
        <is>
          <t>rationale</t>
        </is>
      </c>
      <c r="J1" s="181" t="n"/>
      <c r="K1" s="181" t="inlineStr">
        <is>
          <t>goal</t>
        </is>
      </c>
      <c r="L1" s="181" t="inlineStr">
        <is>
          <t>safe</t>
        </is>
      </c>
      <c r="M1" s="181" t="inlineStr">
        <is>
          <t>caution</t>
        </is>
      </c>
      <c r="N1" s="181" t="inlineStr">
        <is>
          <t>review</t>
        </is>
      </c>
      <c r="O1" s="181" t="inlineStr">
        <is>
          <t>avoid</t>
        </is>
      </c>
    </row>
    <row r="2">
      <c r="A2" s="181" t="inlineStr">
        <is>
          <t>Sleep</t>
        </is>
      </c>
      <c r="B2" s="181" t="inlineStr">
        <is>
          <t>Rhodiola Rosea</t>
        </is>
      </c>
      <c r="C2" s="181" t="inlineStr">
        <is>
          <t>Lemon Balm</t>
        </is>
      </c>
      <c r="D2" s="181" t="n"/>
      <c r="E2" s="181" t="n">
        <v>26</v>
      </c>
      <c r="F2" s="181" t="inlineStr">
        <is>
          <t>2-stack</t>
        </is>
      </c>
      <c r="G2" s="181" t="inlineStr">
        <is>
          <t>safe</t>
        </is>
      </c>
      <c r="H2" s="181" t="str"/>
      <c r="I2" s="181" t="inlineStr">
        <is>
          <t>No stack-level conflict detected from current contraindication rules.</t>
        </is>
      </c>
      <c r="J2" s="181" t="n"/>
      <c r="K2" s="181" t="inlineStr">
        <is>
          <t>Sleep</t>
        </is>
      </c>
      <c r="L2" s="181" t="n">
        <v>4</v>
      </c>
      <c r="M2" s="181" t="n">
        <v>4</v>
      </c>
      <c r="N2" s="181" t="n">
        <v>2</v>
      </c>
      <c r="O2" s="181" t="n">
        <v>0</v>
      </c>
    </row>
    <row r="3">
      <c r="A3" s="181" t="inlineStr">
        <is>
          <t>Sleep</t>
        </is>
      </c>
      <c r="B3" s="181" t="inlineStr">
        <is>
          <t>Rhodiola Rosea</t>
        </is>
      </c>
      <c r="C3" s="181" t="inlineStr">
        <is>
          <t>Milk Thistle</t>
        </is>
      </c>
      <c r="D3" s="181" t="n"/>
      <c r="E3" s="181" t="n">
        <v>25.25</v>
      </c>
      <c r="F3" s="181" t="inlineStr">
        <is>
          <t>2-stack</t>
        </is>
      </c>
      <c r="G3" s="181" t="inlineStr">
        <is>
          <t>review</t>
        </is>
      </c>
      <c r="H3" s="181" t="inlineStr">
        <is>
          <t>Allergy / interaction review</t>
        </is>
      </c>
      <c r="I3" s="181" t="inlineStr">
        <is>
          <t>Contains review-level herb context.</t>
        </is>
      </c>
      <c r="J3" s="181" t="n"/>
      <c r="K3" s="181" t="inlineStr">
        <is>
          <t>Inflammation</t>
        </is>
      </c>
      <c r="L3" s="181" t="n">
        <v>0</v>
      </c>
      <c r="M3" s="181" t="n">
        <v>4</v>
      </c>
      <c r="N3" s="181" t="n">
        <v>6</v>
      </c>
      <c r="O3" s="181" t="n">
        <v>0</v>
      </c>
    </row>
    <row r="4">
      <c r="A4" s="181" t="inlineStr">
        <is>
          <t>Sleep</t>
        </is>
      </c>
      <c r="B4" s="181" t="inlineStr">
        <is>
          <t>Rhodiola Rosea</t>
        </is>
      </c>
      <c r="C4" s="181" t="inlineStr">
        <is>
          <t>Valerian</t>
        </is>
      </c>
      <c r="D4" s="181" t="n"/>
      <c r="E4" s="181" t="n">
        <v>24.5</v>
      </c>
      <c r="F4" s="181" t="inlineStr">
        <is>
          <t>2-stack</t>
        </is>
      </c>
      <c r="G4" s="181" t="inlineStr">
        <is>
          <t>caution</t>
        </is>
      </c>
      <c r="H4" s="181" t="inlineStr">
        <is>
          <t>CNS depression</t>
        </is>
      </c>
      <c r="I4" s="181" t="inlineStr">
        <is>
          <t>Contains moderate herb-level cautions.</t>
        </is>
      </c>
      <c r="J4" s="181" t="n"/>
      <c r="K4" s="181" t="inlineStr">
        <is>
          <t>Mood</t>
        </is>
      </c>
      <c r="L4" s="181" t="n">
        <v>2</v>
      </c>
      <c r="M4" s="181" t="n">
        <v>5</v>
      </c>
      <c r="N4" s="181" t="n">
        <v>3</v>
      </c>
      <c r="O4" s="181" t="n">
        <v>0</v>
      </c>
    </row>
    <row r="5">
      <c r="A5" s="181" t="inlineStr">
        <is>
          <t>Sleep</t>
        </is>
      </c>
      <c r="B5" s="181" t="inlineStr">
        <is>
          <t>Rhodiola Rosea</t>
        </is>
      </c>
      <c r="C5" s="181" t="inlineStr">
        <is>
          <t>Ashwagandha</t>
        </is>
      </c>
      <c r="D5" s="181" t="n"/>
      <c r="E5" s="181" t="n">
        <v>23.5</v>
      </c>
      <c r="F5" s="181" t="inlineStr">
        <is>
          <t>2-stack</t>
        </is>
      </c>
      <c r="G5" s="181" t="inlineStr">
        <is>
          <t>caution</t>
        </is>
      </c>
      <c r="H5" s="181" t="inlineStr">
        <is>
          <t>Sedation / thyroid / immune</t>
        </is>
      </c>
      <c r="I5" s="181" t="inlineStr">
        <is>
          <t>Contains moderate herb-level cautions.</t>
        </is>
      </c>
      <c r="J5" s="181" t="n"/>
      <c r="K5" s="181" t="inlineStr">
        <is>
          <t>Liver</t>
        </is>
      </c>
      <c r="L5" s="181" t="n">
        <v>0</v>
      </c>
      <c r="M5" s="181" t="n">
        <v>6</v>
      </c>
      <c r="N5" s="181" t="n">
        <v>4</v>
      </c>
      <c r="O5" s="181" t="n">
        <v>0</v>
      </c>
    </row>
    <row r="6">
      <c r="A6" s="181" t="inlineStr">
        <is>
          <t>Sleep</t>
        </is>
      </c>
      <c r="B6" s="181" t="inlineStr">
        <is>
          <t>Rhodiola Rosea</t>
        </is>
      </c>
      <c r="C6" s="181" t="inlineStr">
        <is>
          <t>Holy Basil</t>
        </is>
      </c>
      <c r="D6" s="181" t="n"/>
      <c r="E6" s="181" t="n">
        <v>23</v>
      </c>
      <c r="F6" s="181" t="inlineStr">
        <is>
          <t>2-stack</t>
        </is>
      </c>
      <c r="G6" s="181" t="inlineStr">
        <is>
          <t>safe</t>
        </is>
      </c>
      <c r="H6" s="181" t="str"/>
      <c r="I6" s="181" t="inlineStr">
        <is>
          <t>No stack-level conflict detected from current contraindication rules.</t>
        </is>
      </c>
      <c r="J6" s="181" t="n"/>
      <c r="K6" s="181" t="n"/>
      <c r="L6" s="181" t="n"/>
      <c r="M6" s="181" t="n"/>
      <c r="N6" s="181" t="n"/>
      <c r="O6" s="181" t="n"/>
    </row>
    <row r="7">
      <c r="A7" s="181" t="inlineStr">
        <is>
          <t>Sleep</t>
        </is>
      </c>
      <c r="B7" s="181" t="inlineStr">
        <is>
          <t>Rhodiola Rosea</t>
        </is>
      </c>
      <c r="C7" s="181" t="inlineStr">
        <is>
          <t>Lemon Balm</t>
        </is>
      </c>
      <c r="D7" s="181" t="inlineStr">
        <is>
          <t>Milk Thistle</t>
        </is>
      </c>
      <c r="E7" s="181" t="n">
        <v>35.25</v>
      </c>
      <c r="F7" s="181" t="inlineStr">
        <is>
          <t>3-stack</t>
        </is>
      </c>
      <c r="G7" s="181" t="inlineStr">
        <is>
          <t>review</t>
        </is>
      </c>
      <c r="H7" s="181" t="inlineStr">
        <is>
          <t>Allergy / interaction review</t>
        </is>
      </c>
      <c r="I7" s="181" t="inlineStr">
        <is>
          <t>Contains review-level herb context.</t>
        </is>
      </c>
      <c r="J7" s="181" t="n"/>
      <c r="K7" s="181" t="n"/>
      <c r="L7" s="181" t="n"/>
      <c r="M7" s="181" t="n"/>
      <c r="N7" s="181" t="n"/>
      <c r="O7" s="181" t="n"/>
    </row>
    <row r="8">
      <c r="A8" s="181" t="inlineStr">
        <is>
          <t>Sleep</t>
        </is>
      </c>
      <c r="B8" s="181" t="inlineStr">
        <is>
          <t>Rhodiola Rosea</t>
        </is>
      </c>
      <c r="C8" s="181" t="inlineStr">
        <is>
          <t>Lemon Balm</t>
        </is>
      </c>
      <c r="D8" s="181" t="inlineStr">
        <is>
          <t>Valerian</t>
        </is>
      </c>
      <c r="E8" s="181" t="n">
        <v>34.5</v>
      </c>
      <c r="F8" s="181" t="inlineStr">
        <is>
          <t>3-stack</t>
        </is>
      </c>
      <c r="G8" s="181" t="inlineStr">
        <is>
          <t>caution</t>
        </is>
      </c>
      <c r="H8" s="181" t="inlineStr">
        <is>
          <t>CNS depression</t>
        </is>
      </c>
      <c r="I8" s="181" t="inlineStr">
        <is>
          <t>Contains moderate herb-level cautions.</t>
        </is>
      </c>
      <c r="J8" s="181" t="n"/>
      <c r="K8" s="181" t="n"/>
      <c r="L8" s="181" t="n"/>
      <c r="M8" s="181" t="n"/>
      <c r="N8" s="181" t="n"/>
      <c r="O8" s="181" t="n"/>
    </row>
    <row r="9">
      <c r="A9" s="181" t="inlineStr">
        <is>
          <t>Sleep</t>
        </is>
      </c>
      <c r="B9" s="181" t="inlineStr">
        <is>
          <t>Rhodiola Rosea</t>
        </is>
      </c>
      <c r="C9" s="181" t="inlineStr">
        <is>
          <t>Lemon Balm</t>
        </is>
      </c>
      <c r="D9" s="181" t="inlineStr">
        <is>
          <t>Ashwagandha</t>
        </is>
      </c>
      <c r="E9" s="181" t="n">
        <v>33.5</v>
      </c>
      <c r="F9" s="181" t="inlineStr">
        <is>
          <t>3-stack</t>
        </is>
      </c>
      <c r="G9" s="181" t="inlineStr">
        <is>
          <t>caution</t>
        </is>
      </c>
      <c r="H9" s="181" t="inlineStr">
        <is>
          <t>Sedation / thyroid / immune</t>
        </is>
      </c>
      <c r="I9" s="181" t="inlineStr">
        <is>
          <t>Contains moderate herb-level cautions.</t>
        </is>
      </c>
      <c r="J9" s="181" t="n"/>
      <c r="K9" s="181" t="n"/>
      <c r="L9" s="181" t="n"/>
      <c r="M9" s="181" t="n"/>
      <c r="N9" s="181" t="n"/>
      <c r="O9" s="181" t="n"/>
    </row>
    <row r="10">
      <c r="A10" s="181" t="inlineStr">
        <is>
          <t>Sleep</t>
        </is>
      </c>
      <c r="B10" s="181" t="inlineStr">
        <is>
          <t>Rhodiola Rosea</t>
        </is>
      </c>
      <c r="C10" s="181" t="inlineStr">
        <is>
          <t>Lemon Balm</t>
        </is>
      </c>
      <c r="D10" s="181" t="inlineStr">
        <is>
          <t>Holy Basil</t>
        </is>
      </c>
      <c r="E10" s="181" t="n">
        <v>33</v>
      </c>
      <c r="F10" s="181" t="inlineStr">
        <is>
          <t>3-stack</t>
        </is>
      </c>
      <c r="G10" s="181" t="inlineStr">
        <is>
          <t>safe</t>
        </is>
      </c>
      <c r="H10" s="181" t="str"/>
      <c r="I10" s="181" t="inlineStr">
        <is>
          <t>No stack-level conflict detected from current contraindication rules.</t>
        </is>
      </c>
      <c r="J10" s="181" t="n"/>
      <c r="K10" s="181" t="n"/>
      <c r="L10" s="181" t="n"/>
      <c r="M10" s="181" t="n"/>
      <c r="N10" s="181" t="n"/>
      <c r="O10" s="181" t="n"/>
    </row>
    <row r="11">
      <c r="A11" s="181" t="inlineStr">
        <is>
          <t>Sleep</t>
        </is>
      </c>
      <c r="B11" s="181" t="inlineStr">
        <is>
          <t>Rhodiola Rosea</t>
        </is>
      </c>
      <c r="C11" s="181" t="inlineStr">
        <is>
          <t>Lemon Balm</t>
        </is>
      </c>
      <c r="D11" s="181" t="inlineStr">
        <is>
          <t>Echinacea Purpurea</t>
        </is>
      </c>
      <c r="E11" s="181" t="n">
        <v>32.25</v>
      </c>
      <c r="F11" s="181" t="inlineStr">
        <is>
          <t>3-stack</t>
        </is>
      </c>
      <c r="G11" s="181" t="inlineStr">
        <is>
          <t>safe</t>
        </is>
      </c>
      <c r="H11" s="181" t="str"/>
      <c r="I11" s="181" t="inlineStr">
        <is>
          <t>No stack-level conflict detected from current contraindication rules.</t>
        </is>
      </c>
      <c r="J11" s="181" t="n"/>
      <c r="K11" s="181" t="n"/>
      <c r="L11" s="181" t="n"/>
      <c r="M11" s="181" t="n"/>
      <c r="N11" s="181" t="n"/>
      <c r="O11" s="181" t="n"/>
    </row>
    <row r="12">
      <c r="A12" s="181" t="inlineStr">
        <is>
          <t>Inflammation</t>
        </is>
      </c>
      <c r="B12" s="181" t="inlineStr">
        <is>
          <t>Milk Thistle</t>
        </is>
      </c>
      <c r="C12" s="181" t="inlineStr">
        <is>
          <t>Ginkgo Biloba</t>
        </is>
      </c>
      <c r="D12" s="181" t="n"/>
      <c r="E12" s="181" t="n">
        <v>33</v>
      </c>
      <c r="F12" s="181" t="inlineStr">
        <is>
          <t>2-stack</t>
        </is>
      </c>
      <c r="G12" s="181" t="inlineStr">
        <is>
          <t>review</t>
        </is>
      </c>
      <c r="H12" s="181" t="inlineStr">
        <is>
          <t>Allergy / interaction review</t>
        </is>
      </c>
      <c r="I12" s="181" t="inlineStr">
        <is>
          <t>Contains review-level herb context.</t>
        </is>
      </c>
      <c r="J12" s="181" t="n"/>
      <c r="K12" s="181" t="n"/>
      <c r="L12" s="181" t="n"/>
      <c r="M12" s="181" t="n"/>
      <c r="N12" s="181" t="n"/>
      <c r="O12" s="181" t="n"/>
    </row>
    <row r="13">
      <c r="A13" s="181" t="inlineStr">
        <is>
          <t>Inflammation</t>
        </is>
      </c>
      <c r="B13" s="181" t="inlineStr">
        <is>
          <t>Milk Thistle</t>
        </is>
      </c>
      <c r="C13" s="181" t="inlineStr">
        <is>
          <t>Rhodiola Rosea</t>
        </is>
      </c>
      <c r="D13" s="181" t="n"/>
      <c r="E13" s="181" t="n">
        <v>31.5</v>
      </c>
      <c r="F13" s="181" t="inlineStr">
        <is>
          <t>2-stack</t>
        </is>
      </c>
      <c r="G13" s="181" t="inlineStr">
        <is>
          <t>review</t>
        </is>
      </c>
      <c r="H13" s="181" t="inlineStr">
        <is>
          <t>Allergy / interaction review</t>
        </is>
      </c>
      <c r="I13" s="181" t="inlineStr">
        <is>
          <t>Contains review-level herb context.</t>
        </is>
      </c>
      <c r="J13" s="181" t="n"/>
      <c r="K13" s="181" t="n"/>
      <c r="L13" s="181" t="n"/>
      <c r="M13" s="181" t="n"/>
      <c r="N13" s="181" t="n"/>
      <c r="O13" s="181" t="n"/>
    </row>
    <row r="14">
      <c r="A14" s="181" t="inlineStr">
        <is>
          <t>Inflammation</t>
        </is>
      </c>
      <c r="B14" s="181" t="inlineStr">
        <is>
          <t>Milk Thistle</t>
        </is>
      </c>
      <c r="C14" s="181" t="inlineStr">
        <is>
          <t>Turmeric</t>
        </is>
      </c>
      <c r="D14" s="181" t="n"/>
      <c r="E14" s="181" t="n">
        <v>30.5</v>
      </c>
      <c r="F14" s="181" t="inlineStr">
        <is>
          <t>2-stack</t>
        </is>
      </c>
      <c r="G14" s="181" t="inlineStr">
        <is>
          <t>caution</t>
        </is>
      </c>
      <c r="H14" s="181" t="inlineStr">
        <is>
          <t>Allergy / interaction review; Bleeding / gallbladder</t>
        </is>
      </c>
      <c r="I14" s="181" t="inlineStr">
        <is>
          <t>Contains moderate herb-level cautions.</t>
        </is>
      </c>
      <c r="J14" s="181" t="n"/>
      <c r="K14" s="181" t="n"/>
      <c r="L14" s="181" t="n"/>
      <c r="M14" s="181" t="n"/>
      <c r="N14" s="181" t="n"/>
      <c r="O14" s="181" t="n"/>
    </row>
    <row r="15">
      <c r="A15" s="181" t="inlineStr">
        <is>
          <t>Inflammation</t>
        </is>
      </c>
      <c r="B15" s="181" t="inlineStr">
        <is>
          <t>Milk Thistle</t>
        </is>
      </c>
      <c r="C15" s="181" t="inlineStr">
        <is>
          <t>Holy Basil</t>
        </is>
      </c>
      <c r="D15" s="181" t="n"/>
      <c r="E15" s="181" t="n">
        <v>28.5</v>
      </c>
      <c r="F15" s="181" t="inlineStr">
        <is>
          <t>2-stack</t>
        </is>
      </c>
      <c r="G15" s="181" t="inlineStr">
        <is>
          <t>review</t>
        </is>
      </c>
      <c r="H15" s="181" t="inlineStr">
        <is>
          <t>Allergy / interaction review</t>
        </is>
      </c>
      <c r="I15" s="181" t="inlineStr">
        <is>
          <t>Contains review-level herb context.</t>
        </is>
      </c>
      <c r="J15" s="181" t="n"/>
      <c r="K15" s="181" t="n"/>
      <c r="L15" s="181" t="n"/>
      <c r="M15" s="181" t="n"/>
      <c r="N15" s="181" t="n"/>
      <c r="O15" s="181" t="n"/>
    </row>
    <row r="16">
      <c r="A16" s="181" t="inlineStr">
        <is>
          <t>Inflammation</t>
        </is>
      </c>
      <c r="B16" s="181" t="inlineStr">
        <is>
          <t>Milk Thistle</t>
        </is>
      </c>
      <c r="C16" s="181" t="inlineStr">
        <is>
          <t>Ashwagandha</t>
        </is>
      </c>
      <c r="D16" s="181" t="n"/>
      <c r="E16" s="181" t="n">
        <v>28</v>
      </c>
      <c r="F16" s="181" t="inlineStr">
        <is>
          <t>2-stack</t>
        </is>
      </c>
      <c r="G16" s="181" t="inlineStr">
        <is>
          <t>caution</t>
        </is>
      </c>
      <c r="H16" s="181" t="inlineStr">
        <is>
          <t>Allergy / interaction review; Sedation / thyroid / immune</t>
        </is>
      </c>
      <c r="I16" s="181" t="inlineStr">
        <is>
          <t>Contains moderate herb-level cautions.</t>
        </is>
      </c>
      <c r="J16" s="181" t="n"/>
      <c r="K16" s="181" t="n"/>
      <c r="L16" s="181" t="n"/>
      <c r="M16" s="181" t="n"/>
      <c r="N16" s="181" t="n"/>
      <c r="O16" s="181" t="n"/>
    </row>
    <row r="17">
      <c r="A17" s="181" t="inlineStr">
        <is>
          <t>Inflammation</t>
        </is>
      </c>
      <c r="B17" s="181" t="inlineStr">
        <is>
          <t>Milk Thistle</t>
        </is>
      </c>
      <c r="C17" s="181" t="inlineStr">
        <is>
          <t>Ginkgo Biloba</t>
        </is>
      </c>
      <c r="D17" s="181" t="inlineStr">
        <is>
          <t>Rhodiola Rosea</t>
        </is>
      </c>
      <c r="E17" s="181" t="n">
        <v>46</v>
      </c>
      <c r="F17" s="181" t="inlineStr">
        <is>
          <t>3-stack</t>
        </is>
      </c>
      <c r="G17" s="181" t="inlineStr">
        <is>
          <t>review</t>
        </is>
      </c>
      <c r="H17" s="181" t="inlineStr">
        <is>
          <t>Allergy / interaction review</t>
        </is>
      </c>
      <c r="I17" s="181" t="inlineStr">
        <is>
          <t>Contains review-level herb context.</t>
        </is>
      </c>
      <c r="J17" s="181" t="n"/>
      <c r="K17" s="181" t="n"/>
      <c r="L17" s="181" t="n"/>
      <c r="M17" s="181" t="n"/>
      <c r="N17" s="181" t="n"/>
      <c r="O17" s="181" t="n"/>
    </row>
    <row r="18">
      <c r="A18" s="181" t="inlineStr">
        <is>
          <t>Inflammation</t>
        </is>
      </c>
      <c r="B18" s="181" t="inlineStr">
        <is>
          <t>Milk Thistle</t>
        </is>
      </c>
      <c r="C18" s="181" t="inlineStr">
        <is>
          <t>Ginkgo Biloba</t>
        </is>
      </c>
      <c r="D18" s="181" t="inlineStr">
        <is>
          <t>Turmeric</t>
        </is>
      </c>
      <c r="E18" s="181" t="n">
        <v>45</v>
      </c>
      <c r="F18" s="181" t="inlineStr">
        <is>
          <t>3-stack</t>
        </is>
      </c>
      <c r="G18" s="181" t="inlineStr">
        <is>
          <t>caution</t>
        </is>
      </c>
      <c r="H18" s="181" t="inlineStr">
        <is>
          <t>Allergy / interaction review; Bleeding / gallbladder</t>
        </is>
      </c>
      <c r="I18" s="181" t="inlineStr">
        <is>
          <t>Contains moderate herb-level cautions.</t>
        </is>
      </c>
      <c r="J18" s="181" t="n"/>
      <c r="K18" s="181" t="n"/>
      <c r="L18" s="181" t="n"/>
      <c r="M18" s="181" t="n"/>
      <c r="N18" s="181" t="n"/>
      <c r="O18" s="181" t="n"/>
    </row>
    <row r="19">
      <c r="A19" s="181" t="inlineStr">
        <is>
          <t>Inflammation</t>
        </is>
      </c>
      <c r="B19" s="181" t="inlineStr">
        <is>
          <t>Milk Thistle</t>
        </is>
      </c>
      <c r="C19" s="181" t="inlineStr">
        <is>
          <t>Ginkgo Biloba</t>
        </is>
      </c>
      <c r="D19" s="181" t="inlineStr">
        <is>
          <t>Holy Basil</t>
        </is>
      </c>
      <c r="E19" s="181" t="n">
        <v>43</v>
      </c>
      <c r="F19" s="181" t="inlineStr">
        <is>
          <t>3-stack</t>
        </is>
      </c>
      <c r="G19" s="181" t="inlineStr">
        <is>
          <t>review</t>
        </is>
      </c>
      <c r="H19" s="181" t="inlineStr">
        <is>
          <t>Allergy / interaction review</t>
        </is>
      </c>
      <c r="I19" s="181" t="inlineStr">
        <is>
          <t>Contains review-level herb context.</t>
        </is>
      </c>
      <c r="J19" s="181" t="n"/>
      <c r="K19" s="181" t="n"/>
      <c r="L19" s="181" t="n"/>
      <c r="M19" s="181" t="n"/>
      <c r="N19" s="181" t="n"/>
      <c r="O19" s="181" t="n"/>
    </row>
    <row r="20">
      <c r="A20" s="181" t="inlineStr">
        <is>
          <t>Inflammation</t>
        </is>
      </c>
      <c r="B20" s="181" t="inlineStr">
        <is>
          <t>Milk Thistle</t>
        </is>
      </c>
      <c r="C20" s="181" t="inlineStr">
        <is>
          <t>Ginkgo Biloba</t>
        </is>
      </c>
      <c r="D20" s="181" t="inlineStr">
        <is>
          <t>Ashwagandha</t>
        </is>
      </c>
      <c r="E20" s="181" t="n">
        <v>42.5</v>
      </c>
      <c r="F20" s="181" t="inlineStr">
        <is>
          <t>3-stack</t>
        </is>
      </c>
      <c r="G20" s="181" t="inlineStr">
        <is>
          <t>caution</t>
        </is>
      </c>
      <c r="H20" s="181" t="inlineStr">
        <is>
          <t>Allergy / interaction review; Sedation / thyroid / immune</t>
        </is>
      </c>
      <c r="I20" s="181" t="inlineStr">
        <is>
          <t>Contains moderate herb-level cautions.</t>
        </is>
      </c>
      <c r="J20" s="181" t="n"/>
      <c r="K20" s="181" t="n"/>
      <c r="L20" s="181" t="n"/>
      <c r="M20" s="181" t="n"/>
      <c r="N20" s="181" t="n"/>
      <c r="O20" s="181" t="n"/>
    </row>
    <row r="21">
      <c r="A21" s="181" t="inlineStr">
        <is>
          <t>Inflammation</t>
        </is>
      </c>
      <c r="B21" s="181" t="inlineStr">
        <is>
          <t>Milk Thistle</t>
        </is>
      </c>
      <c r="C21" s="181" t="inlineStr">
        <is>
          <t>Ginkgo Biloba</t>
        </is>
      </c>
      <c r="D21" s="181" t="inlineStr">
        <is>
          <t>Echinacea Purpurea</t>
        </is>
      </c>
      <c r="E21" s="181" t="n">
        <v>42.25</v>
      </c>
      <c r="F21" s="181" t="inlineStr">
        <is>
          <t>3-stack</t>
        </is>
      </c>
      <c r="G21" s="181" t="inlineStr">
        <is>
          <t>review</t>
        </is>
      </c>
      <c r="H21" s="181" t="inlineStr">
        <is>
          <t>Allergy / interaction review</t>
        </is>
      </c>
      <c r="I21" s="181" t="inlineStr">
        <is>
          <t>Contains review-level herb context.</t>
        </is>
      </c>
      <c r="J21" s="181" t="n"/>
      <c r="K21" s="181" t="n"/>
      <c r="L21" s="181" t="n"/>
      <c r="M21" s="181" t="n"/>
      <c r="N21" s="181" t="n"/>
      <c r="O21" s="181" t="n"/>
    </row>
    <row r="22">
      <c r="A22" s="181" t="inlineStr">
        <is>
          <t>Mood</t>
        </is>
      </c>
      <c r="B22" s="181" t="inlineStr">
        <is>
          <t>Rhodiola Rosea</t>
        </is>
      </c>
      <c r="C22" s="181" t="inlineStr">
        <is>
          <t>Milk Thistle</t>
        </is>
      </c>
      <c r="D22" s="181" t="n"/>
      <c r="E22" s="181" t="n">
        <v>28.25</v>
      </c>
      <c r="F22" s="181" t="inlineStr">
        <is>
          <t>2-stack</t>
        </is>
      </c>
      <c r="G22" s="181" t="inlineStr">
        <is>
          <t>review</t>
        </is>
      </c>
      <c r="H22" s="181" t="inlineStr">
        <is>
          <t>Allergy / interaction review</t>
        </is>
      </c>
      <c r="I22" s="181" t="inlineStr">
        <is>
          <t>Contains review-level herb context.</t>
        </is>
      </c>
      <c r="J22" s="181" t="n"/>
      <c r="K22" s="181" t="n"/>
      <c r="L22" s="181" t="n"/>
      <c r="M22" s="181" t="n"/>
      <c r="N22" s="181" t="n"/>
      <c r="O22" s="181" t="n"/>
    </row>
    <row r="23">
      <c r="A23" s="181" t="inlineStr">
        <is>
          <t>Mood</t>
        </is>
      </c>
      <c r="B23" s="181" t="inlineStr">
        <is>
          <t>Rhodiola Rosea</t>
        </is>
      </c>
      <c r="C23" s="181" t="inlineStr">
        <is>
          <t>Ashwagandha</t>
        </is>
      </c>
      <c r="D23" s="181" t="n"/>
      <c r="E23" s="181" t="n">
        <v>25.5</v>
      </c>
      <c r="F23" s="181" t="inlineStr">
        <is>
          <t>2-stack</t>
        </is>
      </c>
      <c r="G23" s="181" t="inlineStr">
        <is>
          <t>caution</t>
        </is>
      </c>
      <c r="H23" s="181" t="inlineStr">
        <is>
          <t>Sedation / thyroid / immune</t>
        </is>
      </c>
      <c r="I23" s="181" t="inlineStr">
        <is>
          <t>Contains moderate herb-level cautions.</t>
        </is>
      </c>
      <c r="J23" s="181" t="n"/>
      <c r="K23" s="181" t="n"/>
      <c r="L23" s="181" t="n"/>
      <c r="M23" s="181" t="n"/>
      <c r="N23" s="181" t="n"/>
      <c r="O23" s="181" t="n"/>
    </row>
    <row r="24">
      <c r="A24" s="181" t="inlineStr">
        <is>
          <t>Mood</t>
        </is>
      </c>
      <c r="B24" s="181" t="inlineStr">
        <is>
          <t>Rhodiola Rosea</t>
        </is>
      </c>
      <c r="C24" s="181" t="inlineStr">
        <is>
          <t>Echinacea Purpurea</t>
        </is>
      </c>
      <c r="D24" s="181" t="n"/>
      <c r="E24" s="181" t="n">
        <v>25.25</v>
      </c>
      <c r="F24" s="181" t="inlineStr">
        <is>
          <t>2-stack</t>
        </is>
      </c>
      <c r="G24" s="181" t="inlineStr">
        <is>
          <t>safe</t>
        </is>
      </c>
      <c r="H24" s="181" t="str"/>
      <c r="I24" s="181" t="inlineStr">
        <is>
          <t>No stack-level conflict detected from current contraindication rules.</t>
        </is>
      </c>
      <c r="J24" s="181" t="n"/>
      <c r="K24" s="181" t="n"/>
      <c r="L24" s="181" t="n"/>
      <c r="M24" s="181" t="n"/>
      <c r="N24" s="181" t="n"/>
      <c r="O24" s="181" t="n"/>
    </row>
    <row r="25">
      <c r="A25" s="181" t="inlineStr">
        <is>
          <t>Mood</t>
        </is>
      </c>
      <c r="B25" s="181" t="inlineStr">
        <is>
          <t>Rhodiola Rosea</t>
        </is>
      </c>
      <c r="C25" s="181" t="inlineStr">
        <is>
          <t>Holy Basil</t>
        </is>
      </c>
      <c r="D25" s="181" t="n"/>
      <c r="E25" s="181" t="n">
        <v>23</v>
      </c>
      <c r="F25" s="181" t="inlineStr">
        <is>
          <t>2-stack</t>
        </is>
      </c>
      <c r="G25" s="181" t="inlineStr">
        <is>
          <t>safe</t>
        </is>
      </c>
      <c r="H25" s="181" t="str"/>
      <c r="I25" s="181" t="inlineStr">
        <is>
          <t>No stack-level conflict detected from current contraindication rules.</t>
        </is>
      </c>
      <c r="J25" s="181" t="n"/>
      <c r="K25" s="181" t="n"/>
      <c r="L25" s="181" t="n"/>
      <c r="M25" s="181" t="n"/>
      <c r="N25" s="181" t="n"/>
      <c r="O25" s="181" t="n"/>
    </row>
    <row r="26">
      <c r="A26" s="181" t="inlineStr">
        <is>
          <t>Mood</t>
        </is>
      </c>
      <c r="B26" s="181" t="inlineStr">
        <is>
          <t>Rhodiola Rosea</t>
        </is>
      </c>
      <c r="C26" s="181" t="inlineStr">
        <is>
          <t>Turmeric</t>
        </is>
      </c>
      <c r="D26" s="181" t="n"/>
      <c r="E26" s="181" t="n">
        <v>23</v>
      </c>
      <c r="F26" s="181" t="inlineStr">
        <is>
          <t>2-stack</t>
        </is>
      </c>
      <c r="G26" s="181" t="inlineStr">
        <is>
          <t>caution</t>
        </is>
      </c>
      <c r="H26" s="181" t="inlineStr">
        <is>
          <t>Bleeding / gallbladder</t>
        </is>
      </c>
      <c r="I26" s="181" t="inlineStr">
        <is>
          <t>Contains moderate herb-level cautions.</t>
        </is>
      </c>
      <c r="J26" s="181" t="n"/>
      <c r="K26" s="181" t="n"/>
      <c r="L26" s="181" t="n"/>
      <c r="M26" s="181" t="n"/>
      <c r="N26" s="181" t="n"/>
      <c r="O26" s="181" t="n"/>
    </row>
    <row r="27">
      <c r="A27" s="181" t="inlineStr">
        <is>
          <t>Mood</t>
        </is>
      </c>
      <c r="B27" s="181" t="inlineStr">
        <is>
          <t>Rhodiola Rosea</t>
        </is>
      </c>
      <c r="C27" s="181" t="inlineStr">
        <is>
          <t>Milk Thistle</t>
        </is>
      </c>
      <c r="D27" s="181" t="inlineStr">
        <is>
          <t>Ashwagandha</t>
        </is>
      </c>
      <c r="E27" s="181" t="n">
        <v>34.75</v>
      </c>
      <c r="F27" s="181" t="inlineStr">
        <is>
          <t>3-stack</t>
        </is>
      </c>
      <c r="G27" s="181" t="inlineStr">
        <is>
          <t>caution</t>
        </is>
      </c>
      <c r="H27" s="181" t="inlineStr">
        <is>
          <t>Allergy / interaction review; Sedation / thyroid / immune</t>
        </is>
      </c>
      <c r="I27" s="181" t="inlineStr">
        <is>
          <t>Contains moderate herb-level cautions.</t>
        </is>
      </c>
      <c r="J27" s="181" t="n"/>
      <c r="K27" s="181" t="n"/>
      <c r="L27" s="181" t="n"/>
      <c r="M27" s="181" t="n"/>
      <c r="N27" s="181" t="n"/>
      <c r="O27" s="181" t="n"/>
    </row>
    <row r="28">
      <c r="A28" s="181" t="inlineStr">
        <is>
          <t>Mood</t>
        </is>
      </c>
      <c r="B28" s="181" t="inlineStr">
        <is>
          <t>Rhodiola Rosea</t>
        </is>
      </c>
      <c r="C28" s="181" t="inlineStr">
        <is>
          <t>Milk Thistle</t>
        </is>
      </c>
      <c r="D28" s="181" t="inlineStr">
        <is>
          <t>Echinacea Purpurea</t>
        </is>
      </c>
      <c r="E28" s="181" t="n">
        <v>34.5</v>
      </c>
      <c r="F28" s="181" t="inlineStr">
        <is>
          <t>3-stack</t>
        </is>
      </c>
      <c r="G28" s="181" t="inlineStr">
        <is>
          <t>review</t>
        </is>
      </c>
      <c r="H28" s="181" t="inlineStr">
        <is>
          <t>Allergy / interaction review</t>
        </is>
      </c>
      <c r="I28" s="181" t="inlineStr">
        <is>
          <t>Contains review-level herb context.</t>
        </is>
      </c>
      <c r="J28" s="181" t="n"/>
      <c r="K28" s="181" t="n"/>
      <c r="L28" s="181" t="n"/>
      <c r="M28" s="181" t="n"/>
      <c r="N28" s="181" t="n"/>
      <c r="O28" s="181" t="n"/>
    </row>
    <row r="29">
      <c r="A29" s="181" t="inlineStr">
        <is>
          <t>Mood</t>
        </is>
      </c>
      <c r="B29" s="181" t="inlineStr">
        <is>
          <t>Rhodiola Rosea</t>
        </is>
      </c>
      <c r="C29" s="181" t="inlineStr">
        <is>
          <t>Milk Thistle</t>
        </is>
      </c>
      <c r="D29" s="181" t="inlineStr">
        <is>
          <t>Holy Basil</t>
        </is>
      </c>
      <c r="E29" s="181" t="n">
        <v>32.25</v>
      </c>
      <c r="F29" s="181" t="inlineStr">
        <is>
          <t>3-stack</t>
        </is>
      </c>
      <c r="G29" s="181" t="inlineStr">
        <is>
          <t>review</t>
        </is>
      </c>
      <c r="H29" s="181" t="inlineStr">
        <is>
          <t>Allergy / interaction review</t>
        </is>
      </c>
      <c r="I29" s="181" t="inlineStr">
        <is>
          <t>Contains review-level herb context.</t>
        </is>
      </c>
      <c r="J29" s="181" t="n"/>
      <c r="K29" s="181" t="n"/>
      <c r="L29" s="181" t="n"/>
      <c r="M29" s="181" t="n"/>
      <c r="N29" s="181" t="n"/>
      <c r="O29" s="181" t="n"/>
    </row>
    <row r="30">
      <c r="A30" s="181" t="inlineStr">
        <is>
          <t>Mood</t>
        </is>
      </c>
      <c r="B30" s="181" t="inlineStr">
        <is>
          <t>Rhodiola Rosea</t>
        </is>
      </c>
      <c r="C30" s="181" t="inlineStr">
        <is>
          <t>Milk Thistle</t>
        </is>
      </c>
      <c r="D30" s="181" t="inlineStr">
        <is>
          <t>Turmeric</t>
        </is>
      </c>
      <c r="E30" s="181" t="n">
        <v>32.25</v>
      </c>
      <c r="F30" s="181" t="inlineStr">
        <is>
          <t>3-stack</t>
        </is>
      </c>
      <c r="G30" s="181" t="inlineStr">
        <is>
          <t>caution</t>
        </is>
      </c>
      <c r="H30" s="181" t="inlineStr">
        <is>
          <t>Allergy / interaction review; Bleeding / gallbladder</t>
        </is>
      </c>
      <c r="I30" s="181" t="inlineStr">
        <is>
          <t>Contains moderate herb-level cautions.</t>
        </is>
      </c>
      <c r="J30" s="181" t="n"/>
      <c r="K30" s="181" t="n"/>
      <c r="L30" s="181" t="n"/>
      <c r="M30" s="181" t="n"/>
      <c r="N30" s="181" t="n"/>
      <c r="O30" s="181" t="n"/>
    </row>
    <row r="31">
      <c r="A31" s="181" t="inlineStr">
        <is>
          <t>Mood</t>
        </is>
      </c>
      <c r="B31" s="181" t="inlineStr">
        <is>
          <t>Rhodiola Rosea</t>
        </is>
      </c>
      <c r="C31" s="181" t="inlineStr">
        <is>
          <t>Milk Thistle</t>
        </is>
      </c>
      <c r="D31" s="181" t="inlineStr">
        <is>
          <t>Garlic</t>
        </is>
      </c>
      <c r="E31" s="181" t="n">
        <v>31.5</v>
      </c>
      <c r="F31" s="181" t="inlineStr">
        <is>
          <t>3-stack</t>
        </is>
      </c>
      <c r="G31" s="181" t="inlineStr">
        <is>
          <t>caution</t>
        </is>
      </c>
      <c r="H31" s="181" t="inlineStr">
        <is>
          <t>Allergy / interaction review; Bleeding / perioperative</t>
        </is>
      </c>
      <c r="I31" s="181" t="inlineStr">
        <is>
          <t>Contains moderate herb-level cautions.</t>
        </is>
      </c>
      <c r="J31" s="181" t="n"/>
      <c r="K31" s="181" t="n"/>
      <c r="L31" s="181" t="n"/>
      <c r="M31" s="181" t="n"/>
      <c r="N31" s="181" t="n"/>
      <c r="O31" s="181" t="n"/>
    </row>
    <row r="32">
      <c r="A32" s="181" t="inlineStr">
        <is>
          <t>Liver</t>
        </is>
      </c>
      <c r="B32" s="181" t="inlineStr">
        <is>
          <t>Milk Thistle</t>
        </is>
      </c>
      <c r="C32" s="181" t="inlineStr">
        <is>
          <t>Rhodiola Rosea</t>
        </is>
      </c>
      <c r="D32" s="181" t="n"/>
      <c r="E32" s="181" t="n">
        <v>25.5</v>
      </c>
      <c r="F32" s="181" t="inlineStr">
        <is>
          <t>2-stack</t>
        </is>
      </c>
      <c r="G32" s="181" t="inlineStr">
        <is>
          <t>review</t>
        </is>
      </c>
      <c r="H32" s="181" t="inlineStr">
        <is>
          <t>Allergy / interaction review</t>
        </is>
      </c>
      <c r="I32" s="181" t="inlineStr">
        <is>
          <t>Contains review-level herb context.</t>
        </is>
      </c>
      <c r="J32" s="181" t="n"/>
      <c r="K32" s="181" t="n"/>
      <c r="L32" s="181" t="n"/>
      <c r="M32" s="181" t="n"/>
      <c r="N32" s="181" t="n"/>
      <c r="O32" s="181" t="n"/>
    </row>
    <row r="33">
      <c r="A33" s="181" t="inlineStr">
        <is>
          <t>Liver</t>
        </is>
      </c>
      <c r="B33" s="181" t="inlineStr">
        <is>
          <t>Milk Thistle</t>
        </is>
      </c>
      <c r="C33" s="181" t="inlineStr">
        <is>
          <t>Turmeric</t>
        </is>
      </c>
      <c r="D33" s="181" t="n"/>
      <c r="E33" s="181" t="n">
        <v>24.5</v>
      </c>
      <c r="F33" s="181" t="inlineStr">
        <is>
          <t>2-stack</t>
        </is>
      </c>
      <c r="G33" s="181" t="inlineStr">
        <is>
          <t>caution</t>
        </is>
      </c>
      <c r="H33" s="181" t="inlineStr">
        <is>
          <t>Allergy / interaction review; Bleeding / gallbladder</t>
        </is>
      </c>
      <c r="I33" s="181" t="inlineStr">
        <is>
          <t>Contains moderate herb-level cautions.</t>
        </is>
      </c>
      <c r="J33" s="181" t="n"/>
      <c r="K33" s="181" t="n"/>
      <c r="L33" s="181" t="n"/>
      <c r="M33" s="181" t="n"/>
      <c r="N33" s="181" t="n"/>
      <c r="O33" s="181" t="n"/>
    </row>
    <row r="34">
      <c r="A34" s="181" t="inlineStr">
        <is>
          <t>Liver</t>
        </is>
      </c>
      <c r="B34" s="181" t="inlineStr">
        <is>
          <t>Milk Thistle</t>
        </is>
      </c>
      <c r="C34" s="181" t="inlineStr">
        <is>
          <t>Garlic</t>
        </is>
      </c>
      <c r="D34" s="181" t="n"/>
      <c r="E34" s="181" t="n">
        <v>23.75</v>
      </c>
      <c r="F34" s="181" t="inlineStr">
        <is>
          <t>2-stack</t>
        </is>
      </c>
      <c r="G34" s="181" t="inlineStr">
        <is>
          <t>caution</t>
        </is>
      </c>
      <c r="H34" s="181" t="inlineStr">
        <is>
          <t>Allergy / interaction review; Bleeding / perioperative</t>
        </is>
      </c>
      <c r="I34" s="181" t="inlineStr">
        <is>
          <t>Contains moderate herb-level cautions.</t>
        </is>
      </c>
      <c r="J34" s="181" t="n"/>
      <c r="K34" s="181" t="n"/>
      <c r="L34" s="181" t="n"/>
      <c r="M34" s="181" t="n"/>
      <c r="N34" s="181" t="n"/>
      <c r="O34" s="181" t="n"/>
    </row>
    <row r="35">
      <c r="A35" s="181" t="inlineStr">
        <is>
          <t>Liver</t>
        </is>
      </c>
      <c r="B35" s="181" t="inlineStr">
        <is>
          <t>Milk Thistle</t>
        </is>
      </c>
      <c r="C35" s="181" t="inlineStr">
        <is>
          <t>Ashwagandha</t>
        </is>
      </c>
      <c r="D35" s="181" t="n"/>
      <c r="E35" s="181" t="n">
        <v>21</v>
      </c>
      <c r="F35" s="181" t="inlineStr">
        <is>
          <t>2-stack</t>
        </is>
      </c>
      <c r="G35" s="181" t="inlineStr">
        <is>
          <t>caution</t>
        </is>
      </c>
      <c r="H35" s="181" t="inlineStr">
        <is>
          <t>Allergy / interaction review; Sedation / thyroid / immune</t>
        </is>
      </c>
      <c r="I35" s="181" t="inlineStr">
        <is>
          <t>Contains moderate herb-level cautions.</t>
        </is>
      </c>
      <c r="J35" s="181" t="n"/>
      <c r="K35" s="181" t="n"/>
      <c r="L35" s="181" t="n"/>
      <c r="M35" s="181" t="n"/>
      <c r="N35" s="181" t="n"/>
      <c r="O35" s="181" t="n"/>
    </row>
    <row r="36">
      <c r="A36" s="181" t="inlineStr">
        <is>
          <t>Liver</t>
        </is>
      </c>
      <c r="B36" s="181" t="inlineStr">
        <is>
          <t>Milk Thistle</t>
        </is>
      </c>
      <c r="C36" s="181" t="inlineStr">
        <is>
          <t>Echinacea Purpurea</t>
        </is>
      </c>
      <c r="D36" s="181" t="n"/>
      <c r="E36" s="181" t="n">
        <v>20.75</v>
      </c>
      <c r="F36" s="181" t="inlineStr">
        <is>
          <t>2-stack</t>
        </is>
      </c>
      <c r="G36" s="181" t="inlineStr">
        <is>
          <t>review</t>
        </is>
      </c>
      <c r="H36" s="181" t="inlineStr">
        <is>
          <t>Allergy / interaction review</t>
        </is>
      </c>
      <c r="I36" s="181" t="inlineStr">
        <is>
          <t>Contains review-level herb context.</t>
        </is>
      </c>
      <c r="J36" s="181" t="n"/>
      <c r="K36" s="181" t="n"/>
      <c r="L36" s="181" t="n"/>
      <c r="M36" s="181" t="n"/>
      <c r="N36" s="181" t="n"/>
      <c r="O36" s="181" t="n"/>
    </row>
    <row r="37">
      <c r="A37" s="181" t="inlineStr">
        <is>
          <t>Liver</t>
        </is>
      </c>
      <c r="B37" s="181" t="inlineStr">
        <is>
          <t>Milk Thistle</t>
        </is>
      </c>
      <c r="C37" s="181" t="inlineStr">
        <is>
          <t>Rhodiola Rosea</t>
        </is>
      </c>
      <c r="D37" s="181" t="inlineStr">
        <is>
          <t>Turmeric</t>
        </is>
      </c>
      <c r="E37" s="181" t="n">
        <v>35.5</v>
      </c>
      <c r="F37" s="181" t="inlineStr">
        <is>
          <t>3-stack</t>
        </is>
      </c>
      <c r="G37" s="181" t="inlineStr">
        <is>
          <t>caution</t>
        </is>
      </c>
      <c r="H37" s="181" t="inlineStr">
        <is>
          <t>Allergy / interaction review; Bleeding / gallbladder</t>
        </is>
      </c>
      <c r="I37" s="181" t="inlineStr">
        <is>
          <t>Contains moderate herb-level cautions.</t>
        </is>
      </c>
      <c r="J37" s="181" t="n"/>
      <c r="K37" s="181" t="n"/>
      <c r="L37" s="181" t="n"/>
      <c r="M37" s="181" t="n"/>
      <c r="N37" s="181" t="n"/>
      <c r="O37" s="181" t="n"/>
    </row>
    <row r="38">
      <c r="A38" s="181" t="inlineStr">
        <is>
          <t>Liver</t>
        </is>
      </c>
      <c r="B38" s="181" t="inlineStr">
        <is>
          <t>Milk Thistle</t>
        </is>
      </c>
      <c r="C38" s="181" t="inlineStr">
        <is>
          <t>Rhodiola Rosea</t>
        </is>
      </c>
      <c r="D38" s="181" t="inlineStr">
        <is>
          <t>Garlic</t>
        </is>
      </c>
      <c r="E38" s="181" t="n">
        <v>34.75</v>
      </c>
      <c r="F38" s="181" t="inlineStr">
        <is>
          <t>3-stack</t>
        </is>
      </c>
      <c r="G38" s="181" t="inlineStr">
        <is>
          <t>caution</t>
        </is>
      </c>
      <c r="H38" s="181" t="inlineStr">
        <is>
          <t>Allergy / interaction review; Bleeding / perioperative</t>
        </is>
      </c>
      <c r="I38" s="181" t="inlineStr">
        <is>
          <t>Contains moderate herb-level cautions.</t>
        </is>
      </c>
      <c r="J38" s="181" t="n"/>
      <c r="K38" s="181" t="n"/>
      <c r="L38" s="181" t="n"/>
      <c r="M38" s="181" t="n"/>
      <c r="N38" s="181" t="n"/>
      <c r="O38" s="181" t="n"/>
    </row>
    <row r="39">
      <c r="A39" s="181" t="inlineStr">
        <is>
          <t>Liver</t>
        </is>
      </c>
      <c r="B39" s="181" t="inlineStr">
        <is>
          <t>Milk Thistle</t>
        </is>
      </c>
      <c r="C39" s="181" t="inlineStr">
        <is>
          <t>Rhodiola Rosea</t>
        </is>
      </c>
      <c r="D39" s="181" t="inlineStr">
        <is>
          <t>Ashwagandha</t>
        </is>
      </c>
      <c r="E39" s="181" t="n">
        <v>32</v>
      </c>
      <c r="F39" s="181" t="inlineStr">
        <is>
          <t>3-stack</t>
        </is>
      </c>
      <c r="G39" s="181" t="inlineStr">
        <is>
          <t>caution</t>
        </is>
      </c>
      <c r="H39" s="181" t="inlineStr">
        <is>
          <t>Allergy / interaction review; Sedation / thyroid / immune</t>
        </is>
      </c>
      <c r="I39" s="181" t="inlineStr">
        <is>
          <t>Contains moderate herb-level cautions.</t>
        </is>
      </c>
      <c r="J39" s="181" t="n"/>
      <c r="K39" s="181" t="n"/>
      <c r="L39" s="181" t="n"/>
      <c r="M39" s="181" t="n"/>
      <c r="N39" s="181" t="n"/>
      <c r="O39" s="181" t="n"/>
    </row>
    <row r="40">
      <c r="A40" s="181" t="inlineStr">
        <is>
          <t>Liver</t>
        </is>
      </c>
      <c r="B40" s="181" t="inlineStr">
        <is>
          <t>Milk Thistle</t>
        </is>
      </c>
      <c r="C40" s="181" t="inlineStr">
        <is>
          <t>Rhodiola Rosea</t>
        </is>
      </c>
      <c r="D40" s="181" t="inlineStr">
        <is>
          <t>Echinacea Purpurea</t>
        </is>
      </c>
      <c r="E40" s="181" t="n">
        <v>31.75</v>
      </c>
      <c r="F40" s="181" t="inlineStr">
        <is>
          <t>3-stack</t>
        </is>
      </c>
      <c r="G40" s="181" t="inlineStr">
        <is>
          <t>review</t>
        </is>
      </c>
      <c r="H40" s="181" t="inlineStr">
        <is>
          <t>Allergy / interaction review</t>
        </is>
      </c>
      <c r="I40" s="181" t="inlineStr">
        <is>
          <t>Contains review-level herb context.</t>
        </is>
      </c>
      <c r="J40" s="181" t="n"/>
      <c r="K40" s="181" t="n"/>
      <c r="L40" s="181" t="n"/>
      <c r="M40" s="181" t="n"/>
      <c r="N40" s="181" t="n"/>
      <c r="O40" s="181" t="n"/>
    </row>
    <row r="41">
      <c r="A41" s="181" t="inlineStr">
        <is>
          <t>Liver</t>
        </is>
      </c>
      <c r="B41" s="181" t="inlineStr">
        <is>
          <t>Milk Thistle</t>
        </is>
      </c>
      <c r="C41" s="181" t="inlineStr">
        <is>
          <t>Rhodiola Rosea</t>
        </is>
      </c>
      <c r="D41" s="181" t="inlineStr">
        <is>
          <t>Holy Basil</t>
        </is>
      </c>
      <c r="E41" s="181" t="n">
        <v>31.5</v>
      </c>
      <c r="F41" s="181" t="inlineStr">
        <is>
          <t>3-stack</t>
        </is>
      </c>
      <c r="G41" s="181" t="inlineStr">
        <is>
          <t>review</t>
        </is>
      </c>
      <c r="H41" s="181" t="inlineStr">
        <is>
          <t>Allergy / interaction review</t>
        </is>
      </c>
      <c r="I41" s="181" t="inlineStr">
        <is>
          <t>Contains review-level herb context.</t>
        </is>
      </c>
      <c r="J41" s="181" t="n"/>
      <c r="K41" s="181" t="n"/>
      <c r="L41" s="181" t="n"/>
      <c r="M41" s="181" t="n"/>
      <c r="N41" s="181" t="n"/>
      <c r="O41" s="181" t="n"/>
    </row>
    <row r="42">
      <c r="A42" s="181" t="n"/>
      <c r="B42" s="181" t="n"/>
      <c r="C42" s="181" t="n"/>
      <c r="D42" s="181" t="n"/>
      <c r="E42" s="181" t="n"/>
      <c r="F42" s="181" t="n"/>
      <c r="G42" s="181" t="n"/>
      <c r="H42" s="181" t="n"/>
      <c r="I42" s="181" t="n"/>
      <c r="J42" s="181" t="n"/>
      <c r="K42" s="181" t="n"/>
      <c r="L42" s="181" t="n"/>
      <c r="M42" s="181" t="n"/>
      <c r="N42" s="181" t="n"/>
      <c r="O42" s="181" t="n"/>
    </row>
    <row r="43">
      <c r="A43" s="181" t="n"/>
      <c r="B43" s="181" t="n"/>
      <c r="C43" s="181" t="n"/>
      <c r="D43" s="181" t="n"/>
      <c r="E43" s="181" t="n"/>
      <c r="F43" s="181" t="n"/>
      <c r="G43" s="181" t="n"/>
      <c r="H43" s="181" t="n"/>
      <c r="I43" s="181" t="n"/>
      <c r="J43" s="181" t="n"/>
      <c r="K43" s="181" t="n"/>
      <c r="L43" s="181" t="n"/>
      <c r="M43" s="181" t="n"/>
      <c r="N43" s="181" t="n"/>
      <c r="O43" s="181" t="n"/>
    </row>
    <row r="44">
      <c r="A44" s="181" t="n"/>
      <c r="B44" s="181" t="n"/>
      <c r="C44" s="181" t="n"/>
      <c r="D44" s="181" t="n"/>
      <c r="E44" s="181" t="n"/>
      <c r="F44" s="181" t="n"/>
      <c r="G44" s="181" t="n"/>
      <c r="H44" s="181" t="n"/>
      <c r="I44" s="181" t="n"/>
      <c r="J44" s="181" t="n"/>
      <c r="K44" s="181" t="n"/>
      <c r="L44" s="181" t="n"/>
      <c r="M44" s="181" t="n"/>
      <c r="N44" s="181" t="n"/>
      <c r="O44" s="181" t="n"/>
    </row>
    <row r="45">
      <c r="A45" s="181" t="n"/>
      <c r="B45" s="181" t="n"/>
      <c r="C45" s="181" t="n"/>
      <c r="D45" s="181" t="n"/>
      <c r="E45" s="181" t="n"/>
      <c r="F45" s="181" t="n"/>
      <c r="G45" s="181" t="n"/>
      <c r="H45" s="181" t="n"/>
      <c r="I45" s="181" t="n"/>
      <c r="J45" s="181" t="n"/>
      <c r="K45" s="181" t="n"/>
      <c r="L45" s="181" t="n"/>
      <c r="M45" s="181" t="n"/>
      <c r="N45" s="181" t="n"/>
      <c r="O45" s="181" t="n"/>
    </row>
    <row r="46">
      <c r="A46" s="181" t="n"/>
      <c r="B46" s="181" t="n"/>
      <c r="C46" s="181" t="n"/>
      <c r="D46" s="181" t="n"/>
      <c r="E46" s="181" t="n"/>
      <c r="F46" s="181" t="n"/>
      <c r="G46" s="181" t="n"/>
      <c r="H46" s="181" t="n"/>
      <c r="I46" s="181" t="n"/>
      <c r="J46" s="181" t="n"/>
      <c r="K46" s="181" t="n"/>
      <c r="L46" s="181" t="n"/>
      <c r="M46" s="181" t="n"/>
      <c r="N46" s="181" t="n"/>
      <c r="O46" s="181" t="n"/>
    </row>
    <row r="47">
      <c r="A47" s="181" t="n"/>
      <c r="B47" s="181" t="n"/>
      <c r="C47" s="181" t="n"/>
      <c r="D47" s="181" t="n"/>
      <c r="E47" s="181" t="n"/>
      <c r="F47" s="181" t="n"/>
      <c r="G47" s="181" t="n"/>
      <c r="H47" s="181" t="n"/>
      <c r="I47" s="181" t="n"/>
      <c r="J47" s="181" t="n"/>
      <c r="K47" s="181" t="n"/>
      <c r="L47" s="181" t="n"/>
      <c r="M47" s="181" t="n"/>
      <c r="N47" s="181" t="n"/>
      <c r="O47" s="181" t="n"/>
    </row>
    <row r="48">
      <c r="A48" s="181" t="n"/>
      <c r="B48" s="181" t="n"/>
      <c r="C48" s="181" t="n"/>
      <c r="D48" s="181" t="n"/>
      <c r="E48" s="181" t="n"/>
      <c r="F48" s="181" t="n"/>
      <c r="G48" s="181" t="n"/>
      <c r="H48" s="181" t="n"/>
      <c r="I48" s="181" t="n"/>
      <c r="J48" s="181" t="n"/>
      <c r="K48" s="181" t="n"/>
      <c r="L48" s="181" t="n"/>
      <c r="M48" s="181" t="n"/>
      <c r="N48" s="181" t="n"/>
      <c r="O48" s="181" t="n"/>
    </row>
    <row r="49">
      <c r="A49" s="181" t="n"/>
      <c r="B49" s="181" t="n"/>
      <c r="C49" s="181" t="n"/>
      <c r="D49" s="181" t="n"/>
      <c r="E49" s="181" t="n"/>
      <c r="F49" s="181" t="n"/>
      <c r="G49" s="181" t="n"/>
      <c r="H49" s="181" t="n"/>
      <c r="I49" s="181" t="n"/>
      <c r="J49" s="181" t="n"/>
      <c r="K49" s="181" t="n"/>
      <c r="L49" s="181" t="n"/>
      <c r="M49" s="181" t="n"/>
      <c r="N49" s="181" t="n"/>
      <c r="O49" s="181" t="n"/>
    </row>
    <row r="50">
      <c r="A50" s="181" t="n"/>
      <c r="B50" s="181" t="n"/>
      <c r="C50" s="181" t="n"/>
      <c r="D50" s="181" t="n"/>
      <c r="E50" s="181" t="n"/>
      <c r="F50" s="181" t="n"/>
      <c r="G50" s="181" t="n"/>
      <c r="H50" s="181" t="n"/>
      <c r="I50" s="181" t="n"/>
      <c r="J50" s="181" t="n"/>
      <c r="K50" s="181" t="n"/>
      <c r="L50" s="181" t="n"/>
      <c r="M50" s="181" t="n"/>
      <c r="N50" s="181" t="n"/>
      <c r="O50" s="181" t="n"/>
    </row>
    <row r="51">
      <c r="A51" s="181" t="n"/>
      <c r="B51" s="181" t="n"/>
      <c r="C51" s="181" t="n"/>
      <c r="D51" s="181" t="n"/>
      <c r="E51" s="181" t="n"/>
      <c r="F51" s="181" t="n"/>
      <c r="G51" s="181" t="n"/>
      <c r="H51" s="181" t="n"/>
      <c r="I51" s="181" t="n"/>
      <c r="J51" s="181" t="n"/>
      <c r="K51" s="181" t="n"/>
      <c r="L51" s="181" t="n"/>
      <c r="M51" s="181" t="n"/>
      <c r="N51" s="181" t="n"/>
      <c r="O51" s="181" t="n"/>
    </row>
    <row r="52">
      <c r="A52" s="181" t="n"/>
      <c r="B52" s="181" t="n"/>
      <c r="C52" s="181" t="n"/>
      <c r="D52" s="181" t="n"/>
      <c r="E52" s="181" t="n"/>
      <c r="F52" s="181" t="n"/>
      <c r="G52" s="181" t="n"/>
      <c r="H52" s="181" t="n"/>
      <c r="I52" s="181" t="n"/>
      <c r="J52" s="181" t="n"/>
      <c r="K52" s="181" t="n"/>
      <c r="L52" s="181" t="n"/>
      <c r="M52" s="181" t="n"/>
      <c r="N52" s="181" t="n"/>
      <c r="O52" s="181" t="n"/>
    </row>
    <row r="53">
      <c r="A53" s="181" t="n"/>
      <c r="B53" s="181" t="n"/>
      <c r="C53" s="181" t="n"/>
      <c r="D53" s="181" t="n"/>
      <c r="E53" s="181" t="n"/>
      <c r="F53" s="181" t="n"/>
      <c r="G53" s="181" t="n"/>
      <c r="H53" s="181" t="n"/>
      <c r="I53" s="181" t="n"/>
      <c r="J53" s="181" t="n"/>
      <c r="K53" s="181" t="n"/>
      <c r="L53" s="181" t="n"/>
      <c r="M53" s="181" t="n"/>
      <c r="N53" s="181" t="n"/>
      <c r="O53" s="181" t="n"/>
    </row>
    <row r="54">
      <c r="A54" s="181" t="n"/>
      <c r="B54" s="181" t="n"/>
      <c r="C54" s="181" t="n"/>
      <c r="D54" s="181" t="n"/>
      <c r="E54" s="181" t="n"/>
      <c r="F54" s="181" t="n"/>
      <c r="G54" s="181" t="n"/>
      <c r="H54" s="181" t="n"/>
      <c r="I54" s="181" t="n"/>
      <c r="J54" s="181" t="n"/>
      <c r="K54" s="181" t="n"/>
      <c r="L54" s="181" t="n"/>
      <c r="M54" s="181" t="n"/>
      <c r="N54" s="181" t="n"/>
      <c r="O54" s="181" t="n"/>
    </row>
    <row r="55">
      <c r="A55" s="181" t="n"/>
      <c r="B55" s="181" t="n"/>
      <c r="C55" s="181" t="n"/>
      <c r="D55" s="181" t="n"/>
      <c r="E55" s="181" t="n"/>
      <c r="F55" s="181" t="n"/>
      <c r="G55" s="181" t="n"/>
      <c r="H55" s="181" t="n"/>
      <c r="I55" s="181" t="n"/>
      <c r="J55" s="181" t="n"/>
      <c r="K55" s="181" t="n"/>
      <c r="L55" s="181" t="n"/>
      <c r="M55" s="181" t="n"/>
      <c r="N55" s="181" t="n"/>
      <c r="O55" s="181" t="n"/>
    </row>
    <row r="56">
      <c r="A56" s="181" t="n"/>
      <c r="B56" s="181" t="n"/>
      <c r="C56" s="181" t="n"/>
      <c r="D56" s="181" t="n"/>
      <c r="E56" s="181" t="n"/>
      <c r="F56" s="181" t="n"/>
      <c r="G56" s="181" t="n"/>
      <c r="H56" s="181" t="n"/>
      <c r="I56" s="181" t="n"/>
      <c r="J56" s="181" t="n"/>
      <c r="K56" s="181" t="n"/>
      <c r="L56" s="181" t="n"/>
      <c r="M56" s="181" t="n"/>
      <c r="N56" s="181" t="n"/>
      <c r="O56" s="181" t="n"/>
    </row>
    <row r="57">
      <c r="A57" s="181" t="n"/>
      <c r="B57" s="181" t="n"/>
      <c r="C57" s="181" t="n"/>
      <c r="D57" s="181" t="n"/>
      <c r="E57" s="181" t="n"/>
      <c r="F57" s="181" t="n"/>
      <c r="G57" s="181" t="n"/>
      <c r="H57" s="181" t="n"/>
      <c r="I57" s="181" t="n"/>
      <c r="J57" s="181" t="n"/>
      <c r="K57" s="181" t="n"/>
      <c r="L57" s="181" t="n"/>
      <c r="M57" s="181" t="n"/>
      <c r="N57" s="181" t="n"/>
      <c r="O57" s="181" t="n"/>
    </row>
    <row r="58">
      <c r="A58" s="181" t="n"/>
      <c r="B58" s="181" t="n"/>
      <c r="C58" s="181" t="n"/>
      <c r="D58" s="181" t="n"/>
      <c r="E58" s="181" t="n"/>
      <c r="F58" s="181" t="n"/>
      <c r="G58" s="181" t="n"/>
      <c r="H58" s="181" t="n"/>
      <c r="I58" s="181" t="n"/>
      <c r="J58" s="181" t="n"/>
      <c r="K58" s="181" t="n"/>
      <c r="L58" s="181" t="n"/>
      <c r="M58" s="181" t="n"/>
      <c r="N58" s="181" t="n"/>
      <c r="O58" s="181" t="n"/>
    </row>
    <row r="59">
      <c r="A59" s="181" t="n"/>
      <c r="B59" s="181" t="n"/>
      <c r="C59" s="181" t="n"/>
      <c r="D59" s="181" t="n"/>
      <c r="E59" s="181" t="n"/>
      <c r="F59" s="181" t="n"/>
      <c r="G59" s="181" t="n"/>
      <c r="H59" s="181" t="n"/>
      <c r="I59" s="181" t="n"/>
      <c r="J59" s="181" t="n"/>
      <c r="K59" s="181" t="n"/>
      <c r="L59" s="181" t="n"/>
      <c r="M59" s="181" t="n"/>
      <c r="N59" s="181" t="n"/>
      <c r="O59" s="181" t="n"/>
    </row>
    <row r="60">
      <c r="A60" s="181" t="n"/>
      <c r="B60" s="181" t="n"/>
      <c r="C60" s="181" t="n"/>
      <c r="D60" s="181" t="n"/>
      <c r="E60" s="181" t="n"/>
      <c r="F60" s="181" t="n"/>
      <c r="G60" s="181" t="n"/>
      <c r="H60" s="181" t="n"/>
      <c r="I60" s="181" t="n"/>
      <c r="J60" s="181" t="n"/>
      <c r="K60" s="181" t="n"/>
      <c r="L60" s="181" t="n"/>
      <c r="M60" s="181" t="n"/>
      <c r="N60" s="181" t="n"/>
      <c r="O60" s="181" t="n"/>
    </row>
    <row r="61">
      <c r="A61" s="181" t="n"/>
      <c r="B61" s="181" t="n"/>
      <c r="C61" s="181" t="n"/>
      <c r="D61" s="181" t="n"/>
      <c r="E61" s="181" t="n"/>
      <c r="F61" s="181" t="n"/>
      <c r="G61" s="181" t="n"/>
      <c r="H61" s="181" t="n"/>
      <c r="I61" s="181" t="n"/>
      <c r="J61" s="181" t="n"/>
      <c r="K61" s="181" t="n"/>
      <c r="L61" s="181" t="n"/>
      <c r="M61" s="181" t="n"/>
      <c r="N61" s="181" t="n"/>
      <c r="O61" s="181" t="n"/>
    </row>
    <row r="62">
      <c r="A62" s="181" t="n"/>
      <c r="B62" s="181" t="n"/>
      <c r="C62" s="181" t="n"/>
      <c r="D62" s="181" t="n"/>
      <c r="E62" s="181" t="n"/>
      <c r="F62" s="181" t="n"/>
      <c r="G62" s="181" t="n"/>
      <c r="H62" s="181" t="n"/>
      <c r="I62" s="181" t="n"/>
      <c r="J62" s="181" t="n"/>
      <c r="K62" s="181" t="n"/>
      <c r="L62" s="181" t="n"/>
      <c r="M62" s="181" t="n"/>
      <c r="N62" s="181" t="n"/>
      <c r="O62" s="181" t="n"/>
    </row>
    <row r="63">
      <c r="A63" s="181" t="n"/>
      <c r="B63" s="181" t="n"/>
      <c r="C63" s="181" t="n"/>
      <c r="D63" s="181" t="n"/>
      <c r="E63" s="181" t="n"/>
      <c r="F63" s="181" t="n"/>
      <c r="G63" s="181" t="n"/>
      <c r="H63" s="181" t="n"/>
      <c r="I63" s="181" t="n"/>
      <c r="J63" s="181" t="n"/>
      <c r="K63" s="181" t="n"/>
      <c r="L63" s="181" t="n"/>
      <c r="M63" s="181" t="n"/>
      <c r="N63" s="181" t="n"/>
      <c r="O63" s="181" t="n"/>
    </row>
    <row r="64">
      <c r="A64" s="181" t="n"/>
      <c r="B64" s="181" t="n"/>
      <c r="C64" s="181" t="n"/>
      <c r="D64" s="181" t="n"/>
      <c r="E64" s="181" t="n"/>
      <c r="F64" s="181" t="n"/>
      <c r="G64" s="181" t="n"/>
      <c r="H64" s="181" t="n"/>
      <c r="I64" s="181" t="n"/>
      <c r="J64" s="181" t="n"/>
      <c r="K64" s="181" t="n"/>
      <c r="L64" s="181" t="n"/>
      <c r="M64" s="181" t="n"/>
      <c r="N64" s="181" t="n"/>
      <c r="O64" s="181" t="n"/>
    </row>
    <row r="65">
      <c r="A65" s="181" t="n"/>
      <c r="B65" s="181" t="n"/>
      <c r="C65" s="181" t="n"/>
      <c r="D65" s="181" t="n"/>
      <c r="E65" s="181" t="n"/>
      <c r="F65" s="181" t="n"/>
      <c r="G65" s="181" t="n"/>
      <c r="H65" s="181" t="n"/>
      <c r="I65" s="181" t="n"/>
      <c r="J65" s="181" t="n"/>
      <c r="K65" s="181" t="n"/>
      <c r="L65" s="181" t="n"/>
      <c r="M65" s="181" t="n"/>
      <c r="N65" s="181" t="n"/>
      <c r="O65" s="181" t="n"/>
    </row>
    <row r="66">
      <c r="A66" s="181" t="n"/>
      <c r="B66" s="181" t="n"/>
      <c r="C66" s="181" t="n"/>
      <c r="D66" s="181" t="n"/>
      <c r="E66" s="181" t="n"/>
      <c r="F66" s="181" t="n"/>
      <c r="G66" s="181" t="n"/>
      <c r="H66" s="181" t="n"/>
      <c r="I66" s="181" t="n"/>
      <c r="J66" s="181" t="n"/>
      <c r="K66" s="181" t="n"/>
      <c r="L66" s="181" t="n"/>
      <c r="M66" s="181" t="n"/>
      <c r="N66" s="181" t="n"/>
      <c r="O66" s="181" t="n"/>
    </row>
    <row r="67">
      <c r="A67" s="181" t="n"/>
      <c r="B67" s="181" t="n"/>
      <c r="C67" s="181" t="n"/>
      <c r="D67" s="181" t="n"/>
      <c r="E67" s="181" t="n"/>
      <c r="F67" s="181" t="n"/>
      <c r="G67" s="181" t="n"/>
      <c r="H67" s="181" t="n"/>
      <c r="I67" s="181" t="n"/>
      <c r="J67" s="181" t="n"/>
      <c r="K67" s="181" t="n"/>
      <c r="L67" s="181" t="n"/>
      <c r="M67" s="181" t="n"/>
      <c r="N67" s="181" t="n"/>
      <c r="O67" s="181" t="n"/>
    </row>
    <row r="68">
      <c r="A68" s="181" t="n"/>
      <c r="B68" s="181" t="n"/>
      <c r="C68" s="181" t="n"/>
      <c r="D68" s="181" t="n"/>
      <c r="E68" s="181" t="n"/>
      <c r="F68" s="181" t="n"/>
      <c r="G68" s="181" t="n"/>
      <c r="H68" s="181" t="n"/>
      <c r="I68" s="181" t="n"/>
      <c r="J68" s="181" t="n"/>
      <c r="K68" s="181" t="n"/>
      <c r="L68" s="181" t="n"/>
      <c r="M68" s="181" t="n"/>
      <c r="N68" s="181" t="n"/>
      <c r="O68" s="181" t="n"/>
    </row>
    <row r="69">
      <c r="A69" s="181" t="n"/>
      <c r="B69" s="181" t="n"/>
      <c r="C69" s="181" t="n"/>
      <c r="D69" s="181" t="n"/>
      <c r="E69" s="181" t="n"/>
      <c r="F69" s="181" t="n"/>
      <c r="G69" s="181" t="n"/>
      <c r="H69" s="181" t="n"/>
      <c r="I69" s="181" t="n"/>
      <c r="J69" s="181" t="n"/>
      <c r="K69" s="181" t="n"/>
      <c r="L69" s="181" t="n"/>
      <c r="M69" s="181" t="n"/>
      <c r="N69" s="181" t="n"/>
      <c r="O69" s="181" t="n"/>
    </row>
    <row r="70">
      <c r="A70" s="181" t="n"/>
      <c r="B70" s="181" t="n"/>
      <c r="C70" s="181" t="n"/>
      <c r="D70" s="181" t="n"/>
      <c r="E70" s="181" t="n"/>
      <c r="F70" s="181" t="n"/>
      <c r="G70" s="181" t="n"/>
      <c r="H70" s="181" t="n"/>
      <c r="I70" s="181" t="n"/>
      <c r="J70" s="181" t="n"/>
      <c r="K70" s="181" t="n"/>
      <c r="L70" s="181" t="n"/>
      <c r="M70" s="181" t="n"/>
      <c r="N70" s="181" t="n"/>
      <c r="O70" s="181" t="n"/>
    </row>
    <row r="71">
      <c r="A71" s="181" t="n"/>
      <c r="B71" s="181" t="n"/>
      <c r="C71" s="181" t="n"/>
      <c r="D71" s="181" t="n"/>
      <c r="E71" s="181" t="n"/>
      <c r="F71" s="181" t="n"/>
      <c r="G71" s="181" t="n"/>
      <c r="H71" s="181" t="n"/>
      <c r="I71" s="181" t="n"/>
      <c r="J71" s="181" t="n"/>
      <c r="K71" s="181" t="n"/>
      <c r="L71" s="181" t="n"/>
      <c r="M71" s="181" t="n"/>
      <c r="N71" s="181" t="n"/>
      <c r="O71" s="181" t="n"/>
    </row>
    <row r="72">
      <c r="A72" s="181" t="n"/>
      <c r="B72" s="181" t="n"/>
      <c r="C72" s="181" t="n"/>
      <c r="D72" s="181" t="n"/>
      <c r="E72" s="181" t="n"/>
      <c r="F72" s="181" t="n"/>
      <c r="G72" s="181" t="n"/>
      <c r="H72" s="181" t="n"/>
      <c r="I72" s="181" t="n"/>
      <c r="J72" s="181" t="n"/>
      <c r="K72" s="181" t="n"/>
      <c r="L72" s="181" t="n"/>
      <c r="M72" s="181" t="n"/>
      <c r="N72" s="181" t="n"/>
      <c r="O72" s="181" t="n"/>
    </row>
    <row r="73">
      <c r="A73" s="181" t="n"/>
      <c r="B73" s="181" t="n"/>
      <c r="C73" s="181" t="n"/>
      <c r="D73" s="181" t="n"/>
      <c r="E73" s="181" t="n"/>
      <c r="F73" s="181" t="n"/>
      <c r="G73" s="181" t="n"/>
      <c r="H73" s="181" t="n"/>
      <c r="I73" s="181" t="n"/>
      <c r="J73" s="181" t="n"/>
      <c r="K73" s="181" t="n"/>
      <c r="L73" s="181" t="n"/>
      <c r="M73" s="181" t="n"/>
      <c r="N73" s="181" t="n"/>
      <c r="O73" s="181" t="n"/>
    </row>
    <row r="74">
      <c r="A74" s="181" t="n"/>
      <c r="B74" s="181" t="n"/>
      <c r="C74" s="181" t="n"/>
      <c r="D74" s="181" t="n"/>
      <c r="E74" s="181" t="n"/>
      <c r="F74" s="181" t="n"/>
      <c r="G74" s="181" t="n"/>
      <c r="H74" s="181" t="n"/>
      <c r="I74" s="181" t="n"/>
      <c r="J74" s="181" t="n"/>
      <c r="K74" s="181" t="n"/>
      <c r="L74" s="181" t="n"/>
      <c r="M74" s="181" t="n"/>
      <c r="N74" s="181" t="n"/>
      <c r="O74" s="181" t="n"/>
    </row>
    <row r="75">
      <c r="A75" s="181" t="n"/>
      <c r="B75" s="181" t="n"/>
      <c r="C75" s="181" t="n"/>
      <c r="D75" s="181" t="n"/>
      <c r="E75" s="181" t="n"/>
      <c r="F75" s="181" t="n"/>
      <c r="G75" s="181" t="n"/>
      <c r="H75" s="181" t="n"/>
      <c r="I75" s="181" t="n"/>
      <c r="J75" s="181" t="n"/>
      <c r="K75" s="181" t="n"/>
      <c r="L75" s="181" t="n"/>
      <c r="M75" s="181" t="n"/>
      <c r="N75" s="181" t="n"/>
      <c r="O75" s="181" t="n"/>
    </row>
    <row r="76">
      <c r="A76" s="181" t="n"/>
      <c r="B76" s="181" t="n"/>
      <c r="C76" s="181" t="n"/>
      <c r="D76" s="181" t="n"/>
      <c r="E76" s="181" t="n"/>
      <c r="F76" s="181" t="n"/>
      <c r="G76" s="181" t="n"/>
      <c r="H76" s="181" t="n"/>
      <c r="I76" s="181" t="n"/>
      <c r="J76" s="181" t="n"/>
      <c r="K76" s="181" t="n"/>
      <c r="L76" s="181" t="n"/>
      <c r="M76" s="181" t="n"/>
      <c r="N76" s="181" t="n"/>
      <c r="O76" s="181" t="n"/>
    </row>
    <row r="77">
      <c r="A77" s="181" t="n"/>
      <c r="B77" s="181" t="n"/>
      <c r="C77" s="181" t="n"/>
      <c r="D77" s="181" t="n"/>
      <c r="E77" s="181" t="n"/>
      <c r="F77" s="181" t="n"/>
      <c r="G77" s="181" t="n"/>
      <c r="H77" s="181" t="n"/>
      <c r="I77" s="181" t="n"/>
      <c r="J77" s="181" t="n"/>
      <c r="K77" s="181" t="n"/>
      <c r="L77" s="181" t="n"/>
      <c r="M77" s="181" t="n"/>
      <c r="N77" s="181" t="n"/>
      <c r="O77" s="181" t="n"/>
    </row>
    <row r="78">
      <c r="A78" s="181" t="n"/>
      <c r="B78" s="181" t="n"/>
      <c r="C78" s="181" t="n"/>
      <c r="D78" s="181" t="n"/>
      <c r="E78" s="181" t="n"/>
      <c r="F78" s="181" t="n"/>
      <c r="G78" s="181" t="n"/>
      <c r="H78" s="181" t="n"/>
      <c r="I78" s="181" t="n"/>
      <c r="J78" s="181" t="n"/>
      <c r="K78" s="181" t="n"/>
      <c r="L78" s="181" t="n"/>
      <c r="M78" s="181" t="n"/>
      <c r="N78" s="181" t="n"/>
      <c r="O78" s="181" t="n"/>
    </row>
    <row r="79">
      <c r="A79" s="181" t="n"/>
      <c r="B79" s="181" t="n"/>
      <c r="C79" s="181" t="n"/>
      <c r="D79" s="181" t="n"/>
      <c r="E79" s="181" t="n"/>
      <c r="F79" s="181" t="n"/>
      <c r="G79" s="181" t="n"/>
      <c r="H79" s="181" t="n"/>
      <c r="I79" s="181" t="n"/>
      <c r="J79" s="181" t="n"/>
      <c r="K79" s="181" t="n"/>
      <c r="L79" s="181" t="n"/>
      <c r="M79" s="181" t="n"/>
      <c r="N79" s="181" t="n"/>
      <c r="O79" s="181" t="n"/>
    </row>
    <row r="80">
      <c r="A80" s="181" t="n"/>
      <c r="B80" s="181" t="n"/>
      <c r="C80" s="181" t="n"/>
      <c r="D80" s="181" t="n"/>
      <c r="E80" s="181" t="n"/>
      <c r="F80" s="181" t="n"/>
      <c r="G80" s="181" t="n"/>
      <c r="H80" s="181" t="n"/>
      <c r="I80" s="181" t="n"/>
      <c r="J80" s="181" t="n"/>
      <c r="K80" s="181" t="n"/>
      <c r="L80" s="181" t="n"/>
      <c r="M80" s="181" t="n"/>
      <c r="N80" s="181" t="n"/>
      <c r="O80" s="181" t="n"/>
    </row>
    <row r="81">
      <c r="A81" s="181" t="n"/>
      <c r="B81" s="181" t="n"/>
      <c r="C81" s="181" t="n"/>
      <c r="D81" s="181" t="n"/>
      <c r="E81" s="181" t="n"/>
      <c r="F81" s="181" t="n"/>
      <c r="G81" s="181" t="n"/>
      <c r="H81" s="181" t="n"/>
      <c r="I81" s="181" t="n"/>
      <c r="J81" s="181" t="n"/>
      <c r="K81" s="181" t="n"/>
      <c r="L81" s="181" t="n"/>
      <c r="M81" s="181" t="n"/>
      <c r="N81" s="181" t="n"/>
      <c r="O81" s="181" t="n"/>
    </row>
    <row r="82">
      <c r="A82" s="181" t="n"/>
      <c r="B82" s="181" t="n"/>
      <c r="C82" s="181" t="n"/>
      <c r="D82" s="181" t="n"/>
      <c r="E82" s="181" t="n"/>
      <c r="F82" s="181" t="n"/>
      <c r="G82" s="181" t="n"/>
      <c r="H82" s="181" t="n"/>
      <c r="I82" s="181" t="n"/>
      <c r="J82" s="181" t="n"/>
      <c r="K82" s="181" t="n"/>
      <c r="L82" s="181" t="n"/>
      <c r="M82" s="181" t="n"/>
      <c r="N82" s="181" t="n"/>
      <c r="O82" s="181" t="n"/>
    </row>
    <row r="83">
      <c r="A83" s="181" t="n"/>
      <c r="B83" s="181" t="n"/>
      <c r="C83" s="181" t="n"/>
      <c r="D83" s="181" t="n"/>
      <c r="E83" s="181" t="n"/>
      <c r="F83" s="181" t="n"/>
      <c r="G83" s="181" t="n"/>
      <c r="H83" s="181" t="n"/>
      <c r="I83" s="181" t="n"/>
      <c r="J83" s="181" t="n"/>
      <c r="K83" s="181" t="n"/>
      <c r="L83" s="181" t="n"/>
      <c r="M83" s="181" t="n"/>
      <c r="N83" s="181" t="n"/>
      <c r="O83" s="181" t="n"/>
    </row>
    <row r="84">
      <c r="A84" s="181" t="n"/>
      <c r="B84" s="181" t="n"/>
      <c r="C84" s="181" t="n"/>
      <c r="D84" s="181" t="n"/>
      <c r="E84" s="181" t="n"/>
      <c r="F84" s="181" t="n"/>
      <c r="G84" s="181" t="n"/>
      <c r="H84" s="181" t="n"/>
      <c r="I84" s="181" t="n"/>
      <c r="J84" s="181" t="n"/>
      <c r="K84" s="181" t="n"/>
      <c r="L84" s="181" t="n"/>
      <c r="M84" s="181" t="n"/>
      <c r="N84" s="181" t="n"/>
      <c r="O84" s="181" t="n"/>
    </row>
    <row r="85">
      <c r="A85" s="181" t="n"/>
      <c r="B85" s="181" t="n"/>
      <c r="C85" s="181" t="n"/>
      <c r="D85" s="181" t="n"/>
      <c r="E85" s="181" t="n"/>
      <c r="F85" s="181" t="n"/>
      <c r="G85" s="181" t="n"/>
      <c r="H85" s="181" t="n"/>
      <c r="I85" s="181" t="n"/>
      <c r="J85" s="181" t="n"/>
      <c r="K85" s="181" t="n"/>
      <c r="L85" s="181" t="n"/>
      <c r="M85" s="181" t="n"/>
      <c r="N85" s="181" t="n"/>
      <c r="O85" s="181" t="n"/>
    </row>
    <row r="86">
      <c r="A86" s="181" t="n"/>
      <c r="B86" s="181" t="n"/>
      <c r="C86" s="181" t="n"/>
      <c r="D86" s="181" t="n"/>
      <c r="E86" s="181" t="n"/>
      <c r="F86" s="181" t="n"/>
      <c r="G86" s="181" t="n"/>
      <c r="H86" s="181" t="n"/>
      <c r="I86" s="181" t="n"/>
      <c r="J86" s="181" t="n"/>
      <c r="K86" s="181" t="n"/>
      <c r="L86" s="181" t="n"/>
      <c r="M86" s="181" t="n"/>
      <c r="N86" s="181" t="n"/>
      <c r="O86" s="181" t="n"/>
    </row>
    <row r="87">
      <c r="A87" s="181" t="n"/>
      <c r="B87" s="181" t="n"/>
      <c r="C87" s="181" t="n"/>
      <c r="D87" s="181" t="n"/>
      <c r="E87" s="181" t="n"/>
      <c r="F87" s="181" t="n"/>
      <c r="G87" s="181" t="n"/>
      <c r="H87" s="181" t="n"/>
      <c r="I87" s="181" t="n"/>
      <c r="J87" s="181" t="n"/>
      <c r="K87" s="181" t="n"/>
      <c r="L87" s="181" t="n"/>
      <c r="M87" s="181" t="n"/>
      <c r="N87" s="181" t="n"/>
      <c r="O87" s="181" t="n"/>
    </row>
    <row r="88">
      <c r="A88" s="181" t="n"/>
      <c r="B88" s="181" t="n"/>
      <c r="C88" s="181" t="n"/>
      <c r="D88" s="181" t="n"/>
      <c r="E88" s="181" t="n"/>
      <c r="F88" s="181" t="n"/>
      <c r="G88" s="181" t="n"/>
      <c r="H88" s="181" t="n"/>
      <c r="I88" s="181" t="n"/>
      <c r="J88" s="181" t="n"/>
      <c r="K88" s="181" t="n"/>
      <c r="L88" s="181" t="n"/>
      <c r="M88" s="181" t="n"/>
      <c r="N88" s="181" t="n"/>
      <c r="O88" s="181" t="n"/>
    </row>
    <row r="89">
      <c r="A89" s="181" t="n"/>
      <c r="B89" s="181" t="n"/>
      <c r="C89" s="181" t="n"/>
      <c r="D89" s="181" t="n"/>
      <c r="E89" s="181" t="n"/>
      <c r="F89" s="181" t="n"/>
      <c r="G89" s="181" t="n"/>
      <c r="H89" s="181" t="n"/>
      <c r="I89" s="181" t="n"/>
      <c r="J89" s="181" t="n"/>
      <c r="K89" s="181" t="n"/>
      <c r="L89" s="181" t="n"/>
      <c r="M89" s="181" t="n"/>
      <c r="N89" s="181" t="n"/>
      <c r="O89" s="181" t="n"/>
    </row>
    <row r="90">
      <c r="A90" s="181" t="n"/>
      <c r="B90" s="181" t="n"/>
      <c r="C90" s="181" t="n"/>
      <c r="D90" s="181" t="n"/>
      <c r="E90" s="181" t="n"/>
      <c r="F90" s="181" t="n"/>
      <c r="G90" s="181" t="n"/>
      <c r="H90" s="181" t="n"/>
      <c r="I90" s="181" t="n"/>
      <c r="J90" s="181" t="n"/>
      <c r="K90" s="181" t="n"/>
      <c r="L90" s="181" t="n"/>
      <c r="M90" s="181" t="n"/>
      <c r="N90" s="181" t="n"/>
      <c r="O90" s="181" t="n"/>
    </row>
    <row r="91">
      <c r="A91" s="181" t="n"/>
      <c r="B91" s="181" t="n"/>
      <c r="C91" s="181" t="n"/>
      <c r="D91" s="181" t="n"/>
      <c r="E91" s="181" t="n"/>
      <c r="F91" s="181" t="n"/>
      <c r="G91" s="181" t="n"/>
      <c r="H91" s="181" t="n"/>
      <c r="I91" s="181" t="n"/>
      <c r="J91" s="181" t="n"/>
      <c r="K91" s="181" t="n"/>
      <c r="L91" s="181" t="n"/>
      <c r="M91" s="181" t="n"/>
      <c r="N91" s="181" t="n"/>
      <c r="O91" s="181" t="n"/>
    </row>
    <row r="92">
      <c r="A92" s="181" t="n"/>
      <c r="B92" s="181" t="n"/>
      <c r="C92" s="181" t="n"/>
      <c r="D92" s="181" t="n"/>
      <c r="E92" s="181" t="n"/>
      <c r="F92" s="181" t="n"/>
      <c r="G92" s="181" t="n"/>
      <c r="H92" s="181" t="n"/>
      <c r="I92" s="181" t="n"/>
      <c r="J92" s="181" t="n"/>
      <c r="K92" s="181" t="n"/>
      <c r="L92" s="181" t="n"/>
      <c r="M92" s="181" t="n"/>
      <c r="N92" s="181" t="n"/>
      <c r="O92" s="181" t="n"/>
    </row>
    <row r="93">
      <c r="A93" s="181" t="n"/>
      <c r="B93" s="181" t="n"/>
      <c r="C93" s="181" t="n"/>
      <c r="D93" s="181" t="n"/>
      <c r="E93" s="181" t="n"/>
      <c r="F93" s="181" t="n"/>
      <c r="G93" s="181" t="n"/>
      <c r="H93" s="181" t="n"/>
      <c r="I93" s="181" t="n"/>
      <c r="J93" s="181" t="n"/>
      <c r="K93" s="181" t="n"/>
      <c r="L93" s="181" t="n"/>
      <c r="M93" s="181" t="n"/>
      <c r="N93" s="181" t="n"/>
      <c r="O93" s="181" t="n"/>
    </row>
    <row r="94">
      <c r="A94" s="181" t="n"/>
      <c r="B94" s="181" t="n"/>
      <c r="C94" s="181" t="n"/>
      <c r="D94" s="181" t="n"/>
      <c r="E94" s="181" t="n"/>
      <c r="F94" s="181" t="n"/>
      <c r="G94" s="181" t="n"/>
      <c r="H94" s="181" t="n"/>
      <c r="I94" s="181" t="n"/>
      <c r="J94" s="181" t="n"/>
      <c r="K94" s="181" t="n"/>
      <c r="L94" s="181" t="n"/>
      <c r="M94" s="181" t="n"/>
      <c r="N94" s="181" t="n"/>
      <c r="O94" s="181" t="n"/>
    </row>
    <row r="95">
      <c r="A95" s="181" t="n"/>
      <c r="B95" s="181" t="n"/>
      <c r="C95" s="181" t="n"/>
      <c r="D95" s="181" t="n"/>
      <c r="E95" s="181" t="n"/>
      <c r="F95" s="181" t="n"/>
      <c r="G95" s="181" t="n"/>
      <c r="H95" s="181" t="n"/>
      <c r="I95" s="181" t="n"/>
      <c r="J95" s="181" t="n"/>
      <c r="K95" s="181" t="n"/>
      <c r="L95" s="181" t="n"/>
      <c r="M95" s="181" t="n"/>
      <c r="N95" s="181" t="n"/>
      <c r="O95" s="181" t="n"/>
    </row>
    <row r="96">
      <c r="A96" s="181" t="n"/>
      <c r="B96" s="181" t="n"/>
      <c r="C96" s="181" t="n"/>
      <c r="D96" s="181" t="n"/>
      <c r="E96" s="181" t="n"/>
      <c r="F96" s="181" t="n"/>
      <c r="G96" s="181" t="n"/>
      <c r="H96" s="181" t="n"/>
      <c r="I96" s="181" t="n"/>
      <c r="J96" s="181" t="n"/>
      <c r="K96" s="181" t="n"/>
      <c r="L96" s="181" t="n"/>
      <c r="M96" s="181" t="n"/>
      <c r="N96" s="181" t="n"/>
      <c r="O96" s="181" t="n"/>
    </row>
    <row r="97">
      <c r="A97" s="181" t="n"/>
      <c r="B97" s="181" t="n"/>
      <c r="C97" s="181" t="n"/>
      <c r="D97" s="181" t="n"/>
      <c r="E97" s="181" t="n"/>
      <c r="F97" s="181" t="n"/>
      <c r="G97" s="181" t="n"/>
      <c r="H97" s="181" t="n"/>
      <c r="I97" s="181" t="n"/>
      <c r="J97" s="181" t="n"/>
      <c r="K97" s="181" t="n"/>
      <c r="L97" s="181" t="n"/>
      <c r="M97" s="181" t="n"/>
      <c r="N97" s="181" t="n"/>
      <c r="O97" s="181" t="n"/>
    </row>
    <row r="98">
      <c r="A98" s="181" t="n"/>
      <c r="B98" s="181" t="n"/>
      <c r="C98" s="181" t="n"/>
      <c r="D98" s="181" t="n"/>
      <c r="E98" s="181" t="n"/>
      <c r="F98" s="181" t="n"/>
      <c r="G98" s="181" t="n"/>
      <c r="H98" s="181" t="n"/>
      <c r="I98" s="181" t="n"/>
      <c r="J98" s="181" t="n"/>
      <c r="K98" s="181" t="n"/>
      <c r="L98" s="181" t="n"/>
      <c r="M98" s="181" t="n"/>
      <c r="N98" s="181" t="n"/>
      <c r="O98" s="181" t="n"/>
    </row>
    <row r="99">
      <c r="A99" s="181" t="n"/>
      <c r="B99" s="181" t="n"/>
      <c r="C99" s="181" t="n"/>
      <c r="D99" s="181" t="n"/>
      <c r="E99" s="181" t="n"/>
      <c r="F99" s="181" t="n"/>
      <c r="G99" s="181" t="n"/>
      <c r="H99" s="181" t="n"/>
      <c r="I99" s="181" t="n"/>
      <c r="J99" s="181" t="n"/>
      <c r="K99" s="181" t="n"/>
      <c r="L99" s="181" t="n"/>
      <c r="M99" s="181" t="n"/>
      <c r="N99" s="181" t="n"/>
      <c r="O99" s="181" t="n"/>
    </row>
    <row r="100">
      <c r="A100" s="181" t="n"/>
      <c r="B100" s="181" t="n"/>
      <c r="C100" s="181" t="n"/>
      <c r="D100" s="181" t="n"/>
      <c r="E100" s="181" t="n"/>
      <c r="F100" s="181" t="n"/>
      <c r="G100" s="181" t="n"/>
      <c r="H100" s="181" t="n"/>
      <c r="I100" s="181" t="n"/>
      <c r="J100" s="181" t="n"/>
      <c r="K100" s="181" t="n"/>
      <c r="L100" s="181" t="n"/>
      <c r="M100" s="181" t="n"/>
      <c r="N100" s="181" t="n"/>
      <c r="O100" s="181" t="n"/>
    </row>
    <row r="101">
      <c r="A101" s="181" t="n"/>
      <c r="B101" s="181" t="n"/>
      <c r="C101" s="181" t="n"/>
      <c r="D101" s="181" t="n"/>
      <c r="E101" s="181" t="n"/>
      <c r="F101" s="181" t="n"/>
      <c r="G101" s="181" t="n"/>
      <c r="H101" s="181" t="n"/>
      <c r="I101" s="181" t="n"/>
      <c r="J101" s="181" t="n"/>
      <c r="K101" s="181" t="n"/>
      <c r="L101" s="181" t="n"/>
      <c r="M101" s="181" t="n"/>
      <c r="N101" s="181" t="n"/>
      <c r="O101" s="181" t="n"/>
    </row>
    <row r="102">
      <c r="A102" s="181" t="n"/>
      <c r="B102" s="181" t="n"/>
      <c r="C102" s="181" t="n"/>
      <c r="D102" s="181" t="n"/>
      <c r="E102" s="181" t="n"/>
      <c r="F102" s="181" t="n"/>
      <c r="G102" s="181" t="n"/>
      <c r="H102" s="181" t="n"/>
      <c r="I102" s="181" t="n"/>
      <c r="J102" s="181" t="n"/>
      <c r="K102" s="181" t="n"/>
      <c r="L102" s="181" t="n"/>
      <c r="M102" s="181" t="n"/>
      <c r="N102" s="181" t="n"/>
      <c r="O102" s="181" t="n"/>
    </row>
    <row r="103">
      <c r="A103" s="181" t="n"/>
      <c r="B103" s="181" t="n"/>
      <c r="C103" s="181" t="n"/>
      <c r="D103" s="181" t="n"/>
      <c r="E103" s="181" t="n"/>
      <c r="F103" s="181" t="n"/>
      <c r="G103" s="181" t="n"/>
      <c r="H103" s="181" t="n"/>
      <c r="I103" s="181" t="n"/>
      <c r="J103" s="181" t="n"/>
      <c r="K103" s="181" t="n"/>
      <c r="L103" s="181" t="n"/>
      <c r="M103" s="181" t="n"/>
      <c r="N103" s="181" t="n"/>
      <c r="O103" s="181" t="n"/>
    </row>
    <row r="104">
      <c r="A104" s="181" t="n"/>
      <c r="B104" s="181" t="n"/>
      <c r="C104" s="181" t="n"/>
      <c r="D104" s="181" t="n"/>
      <c r="E104" s="181" t="n"/>
      <c r="F104" s="181" t="n"/>
      <c r="G104" s="181" t="n"/>
      <c r="H104" s="181" t="n"/>
      <c r="I104" s="181" t="n"/>
      <c r="J104" s="181" t="n"/>
      <c r="K104" s="181" t="n"/>
      <c r="L104" s="181" t="n"/>
      <c r="M104" s="181" t="n"/>
      <c r="N104" s="181" t="n"/>
      <c r="O104" s="181" t="n"/>
    </row>
    <row r="105">
      <c r="A105" s="181" t="n"/>
      <c r="B105" s="181" t="n"/>
      <c r="C105" s="181" t="n"/>
      <c r="D105" s="181" t="n"/>
      <c r="E105" s="181" t="n"/>
      <c r="F105" s="181" t="n"/>
      <c r="G105" s="181" t="n"/>
      <c r="H105" s="181" t="n"/>
      <c r="I105" s="181" t="n"/>
      <c r="J105" s="181" t="n"/>
      <c r="K105" s="181" t="n"/>
      <c r="L105" s="181" t="n"/>
      <c r="M105" s="181" t="n"/>
      <c r="N105" s="181" t="n"/>
      <c r="O105" s="181" t="n"/>
    </row>
    <row r="106">
      <c r="A106" s="181" t="n"/>
      <c r="B106" s="181" t="n"/>
      <c r="C106" s="181" t="n"/>
      <c r="D106" s="181" t="n"/>
      <c r="E106" s="181" t="n"/>
      <c r="F106" s="181" t="n"/>
      <c r="G106" s="181" t="n"/>
      <c r="H106" s="181" t="n"/>
      <c r="I106" s="181" t="n"/>
      <c r="J106" s="181" t="n"/>
      <c r="K106" s="181" t="n"/>
      <c r="L106" s="181" t="n"/>
      <c r="M106" s="181" t="n"/>
      <c r="N106" s="181" t="n"/>
      <c r="O106" s="181" t="n"/>
    </row>
    <row r="107">
      <c r="A107" s="181" t="n"/>
      <c r="B107" s="181" t="n"/>
      <c r="C107" s="181" t="n"/>
      <c r="D107" s="181" t="n"/>
      <c r="E107" s="181" t="n"/>
      <c r="F107" s="181" t="n"/>
      <c r="G107" s="181" t="n"/>
      <c r="H107" s="181" t="n"/>
      <c r="I107" s="181" t="n"/>
      <c r="J107" s="181" t="n"/>
      <c r="K107" s="181" t="n"/>
      <c r="L107" s="181" t="n"/>
      <c r="M107" s="181" t="n"/>
      <c r="N107" s="181" t="n"/>
      <c r="O107" s="181" t="n"/>
    </row>
    <row r="108">
      <c r="A108" s="181" t="n"/>
      <c r="B108" s="181" t="n"/>
      <c r="C108" s="181" t="n"/>
      <c r="D108" s="181" t="n"/>
      <c r="E108" s="181" t="n"/>
      <c r="F108" s="181" t="n"/>
      <c r="G108" s="181" t="n"/>
      <c r="H108" s="181" t="n"/>
      <c r="I108" s="181" t="n"/>
      <c r="J108" s="181" t="n"/>
      <c r="K108" s="181" t="n"/>
      <c r="L108" s="181" t="n"/>
      <c r="M108" s="181" t="n"/>
      <c r="N108" s="181" t="n"/>
      <c r="O108" s="181" t="n"/>
    </row>
    <row r="109">
      <c r="A109" s="181" t="n"/>
      <c r="B109" s="181" t="n"/>
      <c r="C109" s="181" t="n"/>
      <c r="D109" s="181" t="n"/>
      <c r="E109" s="181" t="n"/>
      <c r="F109" s="181" t="n"/>
      <c r="G109" s="181" t="n"/>
      <c r="H109" s="181" t="n"/>
      <c r="I109" s="181" t="n"/>
      <c r="J109" s="181" t="n"/>
      <c r="K109" s="181" t="n"/>
      <c r="L109" s="181" t="n"/>
      <c r="M109" s="181" t="n"/>
      <c r="N109" s="181" t="n"/>
      <c r="O109" s="181" t="n"/>
    </row>
    <row r="110">
      <c r="A110" s="181" t="n"/>
      <c r="B110" s="181" t="n"/>
      <c r="C110" s="181" t="n"/>
      <c r="D110" s="181" t="n"/>
      <c r="E110" s="181" t="n"/>
      <c r="F110" s="181" t="n"/>
      <c r="G110" s="181" t="n"/>
      <c r="H110" s="181" t="n"/>
      <c r="I110" s="181" t="n"/>
      <c r="J110" s="181" t="n"/>
      <c r="K110" s="181" t="n"/>
      <c r="L110" s="181" t="n"/>
      <c r="M110" s="181" t="n"/>
      <c r="N110" s="181" t="n"/>
      <c r="O110" s="181" t="n"/>
    </row>
    <row r="111">
      <c r="A111" s="181" t="n"/>
      <c r="B111" s="181" t="n"/>
      <c r="C111" s="181" t="n"/>
      <c r="D111" s="181" t="n"/>
      <c r="E111" s="181" t="n"/>
      <c r="F111" s="181" t="n"/>
      <c r="G111" s="181" t="n"/>
      <c r="H111" s="181" t="n"/>
      <c r="I111" s="181" t="n"/>
      <c r="J111" s="181" t="n"/>
      <c r="K111" s="181" t="n"/>
      <c r="L111" s="181" t="n"/>
      <c r="M111" s="181" t="n"/>
      <c r="N111" s="181" t="n"/>
      <c r="O111" s="181" t="n"/>
    </row>
    <row r="112">
      <c r="A112" s="181" t="n"/>
      <c r="B112" s="181" t="n"/>
      <c r="C112" s="181" t="n"/>
      <c r="D112" s="181" t="n"/>
      <c r="E112" s="181" t="n"/>
      <c r="F112" s="181" t="n"/>
      <c r="G112" s="181" t="n"/>
      <c r="H112" s="181" t="n"/>
      <c r="I112" s="181" t="n"/>
      <c r="J112" s="181" t="n"/>
      <c r="K112" s="181" t="n"/>
      <c r="L112" s="181" t="n"/>
      <c r="M112" s="181" t="n"/>
      <c r="N112" s="181" t="n"/>
      <c r="O112" s="181" t="n"/>
    </row>
    <row r="113">
      <c r="A113" s="181" t="n"/>
      <c r="B113" s="181" t="n"/>
      <c r="C113" s="181" t="n"/>
      <c r="D113" s="181" t="n"/>
      <c r="E113" s="181" t="n"/>
      <c r="F113" s="181" t="n"/>
      <c r="G113" s="181" t="n"/>
      <c r="H113" s="181" t="n"/>
      <c r="I113" s="181" t="n"/>
      <c r="J113" s="181" t="n"/>
      <c r="K113" s="181" t="n"/>
      <c r="L113" s="181" t="n"/>
      <c r="M113" s="181" t="n"/>
      <c r="N113" s="181" t="n"/>
      <c r="O113" s="181" t="n"/>
    </row>
    <row r="114">
      <c r="A114" s="181" t="n"/>
      <c r="B114" s="181" t="n"/>
      <c r="C114" s="181" t="n"/>
      <c r="D114" s="181" t="n"/>
      <c r="E114" s="181" t="n"/>
      <c r="F114" s="181" t="n"/>
      <c r="G114" s="181" t="n"/>
      <c r="H114" s="181" t="n"/>
      <c r="I114" s="181" t="n"/>
      <c r="J114" s="181" t="n"/>
      <c r="K114" s="181" t="n"/>
      <c r="L114" s="181" t="n"/>
      <c r="M114" s="181" t="n"/>
      <c r="N114" s="181" t="n"/>
      <c r="O114" s="181" t="n"/>
    </row>
    <row r="115">
      <c r="A115" s="181" t="n"/>
      <c r="B115" s="181" t="n"/>
      <c r="C115" s="181" t="n"/>
      <c r="D115" s="181" t="n"/>
      <c r="E115" s="181" t="n"/>
      <c r="F115" s="181" t="n"/>
      <c r="G115" s="181" t="n"/>
      <c r="H115" s="181" t="n"/>
      <c r="I115" s="181" t="n"/>
      <c r="J115" s="181" t="n"/>
      <c r="K115" s="181" t="n"/>
      <c r="L115" s="181" t="n"/>
      <c r="M115" s="181" t="n"/>
      <c r="N115" s="181" t="n"/>
      <c r="O115" s="181" t="n"/>
    </row>
    <row r="116">
      <c r="A116" s="181" t="n"/>
      <c r="B116" s="181" t="n"/>
      <c r="C116" s="181" t="n"/>
      <c r="D116" s="181" t="n"/>
      <c r="E116" s="181" t="n"/>
      <c r="F116" s="181" t="n"/>
      <c r="G116" s="181" t="n"/>
      <c r="H116" s="181" t="n"/>
      <c r="I116" s="181" t="n"/>
      <c r="J116" s="181" t="n"/>
      <c r="K116" s="181" t="n"/>
      <c r="L116" s="181" t="n"/>
      <c r="M116" s="181" t="n"/>
      <c r="N116" s="181" t="n"/>
      <c r="O116" s="181" t="n"/>
    </row>
    <row r="117">
      <c r="A117" s="181" t="n"/>
      <c r="B117" s="181" t="n"/>
      <c r="C117" s="181" t="n"/>
      <c r="D117" s="181" t="n"/>
      <c r="E117" s="181" t="n"/>
      <c r="F117" s="181" t="n"/>
      <c r="G117" s="181" t="n"/>
      <c r="H117" s="181" t="n"/>
      <c r="I117" s="181" t="n"/>
      <c r="J117" s="181" t="n"/>
      <c r="K117" s="181" t="n"/>
      <c r="L117" s="181" t="n"/>
      <c r="M117" s="181" t="n"/>
      <c r="N117" s="181" t="n"/>
      <c r="O117" s="181" t="n"/>
    </row>
    <row r="118">
      <c r="A118" s="181" t="n"/>
      <c r="B118" s="181" t="n"/>
      <c r="C118" s="181" t="n"/>
      <c r="D118" s="181" t="n"/>
      <c r="E118" s="181" t="n"/>
      <c r="F118" s="181" t="n"/>
      <c r="G118" s="181" t="n"/>
      <c r="H118" s="181" t="n"/>
      <c r="I118" s="181" t="n"/>
      <c r="J118" s="181" t="n"/>
      <c r="K118" s="181" t="n"/>
      <c r="L118" s="181" t="n"/>
      <c r="M118" s="181" t="n"/>
      <c r="N118" s="181" t="n"/>
      <c r="O118" s="181" t="n"/>
    </row>
    <row r="119">
      <c r="A119" s="181" t="n"/>
      <c r="B119" s="181" t="n"/>
      <c r="C119" s="181" t="n"/>
      <c r="D119" s="181" t="n"/>
      <c r="E119" s="181" t="n"/>
      <c r="F119" s="181" t="n"/>
      <c r="G119" s="181" t="n"/>
      <c r="H119" s="181" t="n"/>
      <c r="I119" s="181" t="n"/>
      <c r="J119" s="181" t="n"/>
      <c r="K119" s="181" t="n"/>
      <c r="L119" s="181" t="n"/>
      <c r="M119" s="181" t="n"/>
      <c r="N119" s="181" t="n"/>
      <c r="O119" s="181" t="n"/>
    </row>
    <row r="120">
      <c r="A120" s="181" t="n"/>
      <c r="B120" s="181" t="n"/>
      <c r="C120" s="181" t="n"/>
      <c r="D120" s="181" t="n"/>
      <c r="E120" s="181" t="n"/>
      <c r="F120" s="181" t="n"/>
      <c r="G120" s="181" t="n"/>
      <c r="H120" s="181" t="n"/>
      <c r="I120" s="181" t="n"/>
      <c r="J120" s="181" t="n"/>
      <c r="K120" s="181" t="n"/>
      <c r="L120" s="181" t="n"/>
      <c r="M120" s="181" t="n"/>
      <c r="N120" s="181" t="n"/>
      <c r="O120" s="181" t="n"/>
    </row>
    <row r="121">
      <c r="A121" s="181" t="n"/>
      <c r="B121" s="181" t="n"/>
      <c r="C121" s="181" t="n"/>
      <c r="D121" s="181" t="n"/>
      <c r="E121" s="181" t="n"/>
      <c r="F121" s="181" t="n"/>
      <c r="G121" s="181" t="n"/>
      <c r="H121" s="181" t="n"/>
      <c r="I121" s="181" t="n"/>
      <c r="J121" s="181" t="n"/>
      <c r="K121" s="181" t="n"/>
      <c r="L121" s="181" t="n"/>
      <c r="M121" s="181" t="n"/>
      <c r="N121" s="181" t="n"/>
      <c r="O121" s="181" t="n"/>
    </row>
    <row r="122">
      <c r="A122" s="181" t="n"/>
      <c r="B122" s="181" t="n"/>
      <c r="C122" s="181" t="n"/>
      <c r="D122" s="181" t="n"/>
      <c r="E122" s="181" t="n"/>
      <c r="F122" s="181" t="n"/>
      <c r="G122" s="181" t="n"/>
      <c r="H122" s="181" t="n"/>
      <c r="I122" s="181" t="n"/>
      <c r="J122" s="181" t="n"/>
      <c r="K122" s="181" t="n"/>
      <c r="L122" s="181" t="n"/>
      <c r="M122" s="181" t="n"/>
      <c r="N122" s="181" t="n"/>
      <c r="O122" s="181" t="n"/>
    </row>
    <row r="123">
      <c r="A123" s="181" t="n"/>
      <c r="B123" s="181" t="n"/>
      <c r="C123" s="181" t="n"/>
      <c r="D123" s="181" t="n"/>
      <c r="E123" s="181" t="n"/>
      <c r="F123" s="181" t="n"/>
      <c r="G123" s="181" t="n"/>
      <c r="H123" s="181" t="n"/>
      <c r="I123" s="181" t="n"/>
      <c r="J123" s="181" t="n"/>
      <c r="K123" s="181" t="n"/>
      <c r="L123" s="181" t="n"/>
      <c r="M123" s="181" t="n"/>
      <c r="N123" s="181" t="n"/>
      <c r="O123" s="181" t="n"/>
    </row>
    <row r="124">
      <c r="A124" s="181" t="n"/>
      <c r="B124" s="181" t="n"/>
      <c r="C124" s="181" t="n"/>
      <c r="D124" s="181" t="n"/>
      <c r="E124" s="181" t="n"/>
      <c r="F124" s="181" t="n"/>
      <c r="G124" s="181" t="n"/>
      <c r="H124" s="181" t="n"/>
      <c r="I124" s="181" t="n"/>
      <c r="J124" s="181" t="n"/>
      <c r="K124" s="181" t="n"/>
      <c r="L124" s="181" t="n"/>
      <c r="M124" s="181" t="n"/>
      <c r="N124" s="181" t="n"/>
      <c r="O124" s="181" t="n"/>
    </row>
    <row r="125">
      <c r="A125" s="181" t="n"/>
      <c r="B125" s="181" t="n"/>
      <c r="C125" s="181" t="n"/>
      <c r="D125" s="181" t="n"/>
      <c r="E125" s="181" t="n"/>
      <c r="F125" s="181" t="n"/>
      <c r="G125" s="181" t="n"/>
      <c r="H125" s="181" t="n"/>
      <c r="I125" s="181" t="n"/>
      <c r="J125" s="181" t="n"/>
      <c r="K125" s="181" t="n"/>
      <c r="L125" s="181" t="n"/>
      <c r="M125" s="181" t="n"/>
      <c r="N125" s="181" t="n"/>
      <c r="O125" s="181" t="n"/>
    </row>
    <row r="126">
      <c r="A126" s="181" t="n"/>
      <c r="B126" s="181" t="n"/>
      <c r="C126" s="181" t="n"/>
      <c r="D126" s="181" t="n"/>
      <c r="E126" s="181" t="n"/>
      <c r="F126" s="181" t="n"/>
      <c r="G126" s="181" t="n"/>
      <c r="H126" s="181" t="n"/>
      <c r="I126" s="181" t="n"/>
      <c r="J126" s="181" t="n"/>
      <c r="K126" s="181" t="n"/>
      <c r="L126" s="181" t="n"/>
      <c r="M126" s="181" t="n"/>
      <c r="N126" s="181" t="n"/>
      <c r="O126" s="181" t="n"/>
    </row>
    <row r="127">
      <c r="A127" s="181" t="n"/>
      <c r="B127" s="181" t="n"/>
      <c r="C127" s="181" t="n"/>
      <c r="D127" s="181" t="n"/>
      <c r="E127" s="181" t="n"/>
      <c r="F127" s="181" t="n"/>
      <c r="G127" s="181" t="n"/>
      <c r="H127" s="181" t="n"/>
      <c r="I127" s="181" t="n"/>
      <c r="J127" s="181" t="n"/>
      <c r="K127" s="181" t="n"/>
      <c r="L127" s="181" t="n"/>
      <c r="M127" s="181" t="n"/>
      <c r="N127" s="181" t="n"/>
      <c r="O127" s="181" t="n"/>
    </row>
    <row r="128">
      <c r="A128" s="181" t="n"/>
      <c r="B128" s="181" t="n"/>
      <c r="C128" s="181" t="n"/>
      <c r="D128" s="181" t="n"/>
      <c r="E128" s="181" t="n"/>
      <c r="F128" s="181" t="n"/>
      <c r="G128" s="181" t="n"/>
      <c r="H128" s="181" t="n"/>
      <c r="I128" s="181" t="n"/>
      <c r="J128" s="181" t="n"/>
      <c r="K128" s="181" t="n"/>
      <c r="L128" s="181" t="n"/>
      <c r="M128" s="181" t="n"/>
      <c r="N128" s="181" t="n"/>
      <c r="O128" s="181" t="n"/>
    </row>
    <row r="129">
      <c r="A129" s="181" t="n"/>
      <c r="B129" s="181" t="n"/>
      <c r="C129" s="181" t="n"/>
      <c r="D129" s="181" t="n"/>
      <c r="E129" s="181" t="n"/>
      <c r="F129" s="181" t="n"/>
      <c r="G129" s="181" t="n"/>
      <c r="H129" s="181" t="n"/>
      <c r="I129" s="181" t="n"/>
      <c r="J129" s="181" t="n"/>
      <c r="K129" s="181" t="n"/>
      <c r="L129" s="181" t="n"/>
      <c r="M129" s="181" t="n"/>
      <c r="N129" s="181" t="n"/>
      <c r="O129" s="181" t="n"/>
    </row>
    <row r="130">
      <c r="A130" s="181" t="n"/>
      <c r="B130" s="181" t="n"/>
      <c r="C130" s="181" t="n"/>
      <c r="D130" s="181" t="n"/>
      <c r="E130" s="181" t="n"/>
      <c r="F130" s="181" t="n"/>
      <c r="G130" s="181" t="n"/>
      <c r="H130" s="181" t="n"/>
      <c r="I130" s="181" t="n"/>
      <c r="J130" s="181" t="n"/>
      <c r="K130" s="181" t="n"/>
      <c r="L130" s="181" t="n"/>
      <c r="M130" s="181" t="n"/>
      <c r="N130" s="181" t="n"/>
      <c r="O130" s="181" t="n"/>
    </row>
    <row r="131">
      <c r="A131" s="181" t="n"/>
      <c r="B131" s="181" t="n"/>
      <c r="C131" s="181" t="n"/>
      <c r="D131" s="181" t="n"/>
      <c r="E131" s="181" t="n"/>
      <c r="F131" s="181" t="n"/>
      <c r="G131" s="181" t="n"/>
      <c r="H131" s="181" t="n"/>
      <c r="I131" s="181" t="n"/>
      <c r="J131" s="181" t="n"/>
      <c r="K131" s="181" t="n"/>
      <c r="L131" s="181" t="n"/>
      <c r="M131" s="181" t="n"/>
      <c r="N131" s="181" t="n"/>
      <c r="O131" s="181" t="n"/>
    </row>
    <row r="132">
      <c r="A132" s="181" t="n"/>
      <c r="B132" s="181" t="n"/>
      <c r="C132" s="181" t="n"/>
      <c r="D132" s="181" t="n"/>
      <c r="E132" s="181" t="n"/>
      <c r="F132" s="181" t="n"/>
      <c r="G132" s="181" t="n"/>
      <c r="H132" s="181" t="n"/>
      <c r="I132" s="181" t="n"/>
      <c r="J132" s="181" t="n"/>
      <c r="K132" s="181" t="n"/>
      <c r="L132" s="181" t="n"/>
      <c r="M132" s="181" t="n"/>
      <c r="N132" s="181" t="n"/>
      <c r="O132" s="181" t="n"/>
    </row>
    <row r="133">
      <c r="A133" s="181" t="n"/>
      <c r="B133" s="181" t="n"/>
      <c r="C133" s="181" t="n"/>
      <c r="D133" s="181" t="n"/>
      <c r="E133" s="181" t="n"/>
      <c r="F133" s="181" t="n"/>
      <c r="G133" s="181" t="n"/>
      <c r="H133" s="181" t="n"/>
      <c r="I133" s="181" t="n"/>
      <c r="J133" s="181" t="n"/>
      <c r="K133" s="181" t="n"/>
      <c r="L133" s="181" t="n"/>
      <c r="M133" s="181" t="n"/>
      <c r="N133" s="181" t="n"/>
      <c r="O133" s="181" t="n"/>
    </row>
    <row r="134">
      <c r="A134" s="181" t="n"/>
      <c r="B134" s="181" t="n"/>
      <c r="C134" s="181" t="n"/>
      <c r="D134" s="181" t="n"/>
      <c r="E134" s="181" t="n"/>
      <c r="F134" s="181" t="n"/>
      <c r="G134" s="181" t="n"/>
      <c r="H134" s="181" t="n"/>
      <c r="I134" s="181" t="n"/>
      <c r="J134" s="181" t="n"/>
      <c r="K134" s="181" t="n"/>
      <c r="L134" s="181" t="n"/>
      <c r="M134" s="181" t="n"/>
      <c r="N134" s="181" t="n"/>
      <c r="O134" s="181" t="n"/>
    </row>
    <row r="135">
      <c r="A135" s="181" t="n"/>
      <c r="B135" s="181" t="n"/>
      <c r="C135" s="181" t="n"/>
      <c r="D135" s="181" t="n"/>
      <c r="E135" s="181" t="n"/>
      <c r="F135" s="181" t="n"/>
      <c r="G135" s="181" t="n"/>
      <c r="H135" s="181" t="n"/>
      <c r="I135" s="181" t="n"/>
      <c r="J135" s="181" t="n"/>
      <c r="K135" s="181" t="n"/>
      <c r="L135" s="181" t="n"/>
      <c r="M135" s="181" t="n"/>
      <c r="N135" s="181" t="n"/>
      <c r="O135" s="181" t="n"/>
    </row>
    <row r="136">
      <c r="A136" s="181" t="n"/>
      <c r="B136" s="181" t="n"/>
      <c r="C136" s="181" t="n"/>
      <c r="D136" s="181" t="n"/>
      <c r="E136" s="181" t="n"/>
      <c r="F136" s="181" t="n"/>
      <c r="G136" s="181" t="n"/>
      <c r="H136" s="181" t="n"/>
      <c r="I136" s="181" t="n"/>
      <c r="J136" s="181" t="n"/>
      <c r="K136" s="181" t="n"/>
      <c r="L136" s="181" t="n"/>
      <c r="M136" s="181" t="n"/>
      <c r="N136" s="181" t="n"/>
      <c r="O136" s="181" t="n"/>
    </row>
    <row r="137">
      <c r="A137" s="181" t="n"/>
      <c r="B137" s="181" t="n"/>
      <c r="C137" s="181" t="n"/>
      <c r="D137" s="181" t="n"/>
      <c r="E137" s="181" t="n"/>
      <c r="F137" s="181" t="n"/>
      <c r="G137" s="181" t="n"/>
      <c r="H137" s="181" t="n"/>
      <c r="I137" s="181" t="n"/>
      <c r="J137" s="181" t="n"/>
      <c r="K137" s="181" t="n"/>
      <c r="L137" s="181" t="n"/>
      <c r="M137" s="181" t="n"/>
      <c r="N137" s="181" t="n"/>
      <c r="O137" s="181" t="n"/>
    </row>
    <row r="138">
      <c r="A138" s="181" t="n"/>
      <c r="B138" s="181" t="n"/>
      <c r="C138" s="181" t="n"/>
      <c r="D138" s="181" t="n"/>
      <c r="E138" s="181" t="n"/>
      <c r="F138" s="181" t="n"/>
      <c r="G138" s="181" t="n"/>
      <c r="H138" s="181" t="n"/>
      <c r="I138" s="181" t="n"/>
      <c r="J138" s="181" t="n"/>
      <c r="K138" s="181" t="n"/>
      <c r="L138" s="181" t="n"/>
      <c r="M138" s="181" t="n"/>
      <c r="N138" s="181" t="n"/>
      <c r="O138" s="181" t="n"/>
    </row>
    <row r="139">
      <c r="A139" s="181" t="n"/>
      <c r="B139" s="181" t="n"/>
      <c r="C139" s="181" t="n"/>
      <c r="D139" s="181" t="n"/>
      <c r="E139" s="181" t="n"/>
      <c r="F139" s="181" t="n"/>
      <c r="G139" s="181" t="n"/>
      <c r="H139" s="181" t="n"/>
      <c r="I139" s="181" t="n"/>
      <c r="J139" s="181" t="n"/>
      <c r="K139" s="181" t="n"/>
      <c r="L139" s="181" t="n"/>
      <c r="M139" s="181" t="n"/>
      <c r="N139" s="181" t="n"/>
      <c r="O139" s="181" t="n"/>
    </row>
    <row r="140">
      <c r="A140" s="181" t="n"/>
      <c r="B140" s="181" t="n"/>
      <c r="C140" s="181" t="n"/>
      <c r="D140" s="181" t="n"/>
      <c r="E140" s="181" t="n"/>
      <c r="F140" s="181" t="n"/>
      <c r="G140" s="181" t="n"/>
      <c r="H140" s="181" t="n"/>
      <c r="I140" s="181" t="n"/>
      <c r="J140" s="181" t="n"/>
      <c r="K140" s="181" t="n"/>
      <c r="L140" s="181" t="n"/>
      <c r="M140" s="181" t="n"/>
      <c r="N140" s="181" t="n"/>
      <c r="O140" s="181" t="n"/>
    </row>
    <row r="141">
      <c r="A141" s="181" t="n"/>
      <c r="B141" s="181" t="n"/>
      <c r="C141" s="181" t="n"/>
      <c r="D141" s="181" t="n"/>
      <c r="E141" s="181" t="n"/>
      <c r="F141" s="181" t="n"/>
      <c r="G141" s="181" t="n"/>
      <c r="H141" s="181" t="n"/>
      <c r="I141" s="181" t="n"/>
      <c r="J141" s="181" t="n"/>
      <c r="K141" s="181" t="n"/>
      <c r="L141" s="181" t="n"/>
      <c r="M141" s="181" t="n"/>
      <c r="N141" s="181" t="n"/>
      <c r="O141" s="181" t="n"/>
    </row>
    <row r="142">
      <c r="A142" s="181" t="n"/>
      <c r="B142" s="181" t="n"/>
      <c r="C142" s="181" t="n"/>
      <c r="D142" s="181" t="n"/>
      <c r="E142" s="181" t="n"/>
      <c r="F142" s="181" t="n"/>
      <c r="G142" s="181" t="n"/>
      <c r="H142" s="181" t="n"/>
      <c r="I142" s="181" t="n"/>
      <c r="J142" s="181" t="n"/>
      <c r="K142" s="181" t="n"/>
      <c r="L142" s="181" t="n"/>
      <c r="M142" s="181" t="n"/>
      <c r="N142" s="181" t="n"/>
      <c r="O142" s="181" t="n"/>
    </row>
    <row r="143">
      <c r="A143" s="181" t="n"/>
      <c r="B143" s="181" t="n"/>
      <c r="C143" s="181" t="n"/>
      <c r="D143" s="181" t="n"/>
      <c r="E143" s="181" t="n"/>
      <c r="F143" s="181" t="n"/>
      <c r="G143" s="181" t="n"/>
      <c r="H143" s="181" t="n"/>
      <c r="I143" s="181" t="n"/>
      <c r="J143" s="181" t="n"/>
      <c r="K143" s="181" t="n"/>
      <c r="L143" s="181" t="n"/>
      <c r="M143" s="181" t="n"/>
      <c r="N143" s="181" t="n"/>
      <c r="O143" s="181" t="n"/>
    </row>
    <row r="144">
      <c r="A144" s="181" t="n"/>
      <c r="B144" s="181" t="n"/>
      <c r="C144" s="181" t="n"/>
      <c r="D144" s="181" t="n"/>
      <c r="E144" s="181" t="n"/>
      <c r="F144" s="181" t="n"/>
      <c r="G144" s="181" t="n"/>
      <c r="H144" s="181" t="n"/>
      <c r="I144" s="181" t="n"/>
      <c r="J144" s="181" t="n"/>
      <c r="K144" s="181" t="n"/>
      <c r="L144" s="181" t="n"/>
      <c r="M144" s="181" t="n"/>
      <c r="N144" s="181" t="n"/>
      <c r="O144" s="181" t="n"/>
    </row>
    <row r="145">
      <c r="A145" s="181" t="n"/>
      <c r="B145" s="181" t="n"/>
      <c r="C145" s="181" t="n"/>
      <c r="D145" s="181" t="n"/>
      <c r="E145" s="181" t="n"/>
      <c r="F145" s="181" t="n"/>
      <c r="G145" s="181" t="n"/>
      <c r="H145" s="181" t="n"/>
      <c r="I145" s="181" t="n"/>
      <c r="J145" s="181" t="n"/>
      <c r="K145" s="181" t="n"/>
      <c r="L145" s="181" t="n"/>
      <c r="M145" s="181" t="n"/>
      <c r="N145" s="181" t="n"/>
      <c r="O145" s="181" t="n"/>
    </row>
    <row r="146">
      <c r="A146" s="181" t="n"/>
      <c r="B146" s="181" t="n"/>
      <c r="C146" s="181" t="n"/>
      <c r="D146" s="181" t="n"/>
      <c r="E146" s="181" t="n"/>
      <c r="F146" s="181" t="n"/>
      <c r="G146" s="181" t="n"/>
      <c r="H146" s="181" t="n"/>
      <c r="I146" s="181" t="n"/>
      <c r="J146" s="181" t="n"/>
      <c r="K146" s="181" t="n"/>
      <c r="L146" s="181" t="n"/>
      <c r="M146" s="181" t="n"/>
      <c r="N146" s="181" t="n"/>
      <c r="O146" s="181" t="n"/>
    </row>
    <row r="147">
      <c r="A147" s="181" t="n"/>
      <c r="B147" s="181" t="n"/>
      <c r="C147" s="181" t="n"/>
      <c r="D147" s="181" t="n"/>
      <c r="E147" s="181" t="n"/>
      <c r="F147" s="181" t="n"/>
      <c r="G147" s="181" t="n"/>
      <c r="H147" s="181" t="n"/>
      <c r="I147" s="181" t="n"/>
      <c r="J147" s="181" t="n"/>
      <c r="K147" s="181" t="n"/>
      <c r="L147" s="181" t="n"/>
      <c r="M147" s="181" t="n"/>
      <c r="N147" s="181" t="n"/>
      <c r="O147" s="181" t="n"/>
    </row>
    <row r="148">
      <c r="A148" s="181" t="n"/>
      <c r="B148" s="181" t="n"/>
      <c r="C148" s="181" t="n"/>
      <c r="D148" s="181" t="n"/>
      <c r="E148" s="181" t="n"/>
      <c r="F148" s="181" t="n"/>
      <c r="G148" s="181" t="n"/>
      <c r="H148" s="181" t="n"/>
      <c r="I148" s="181" t="n"/>
      <c r="J148" s="181" t="n"/>
      <c r="K148" s="181" t="n"/>
      <c r="L148" s="181" t="n"/>
      <c r="M148" s="181" t="n"/>
      <c r="N148" s="181" t="n"/>
      <c r="O148" s="181" t="n"/>
    </row>
    <row r="149">
      <c r="A149" s="181" t="n"/>
      <c r="B149" s="181" t="n"/>
      <c r="C149" s="181" t="n"/>
      <c r="D149" s="181" t="n"/>
      <c r="E149" s="181" t="n"/>
      <c r="F149" s="181" t="n"/>
      <c r="G149" s="181" t="n"/>
      <c r="H149" s="181" t="n"/>
      <c r="I149" s="181" t="n"/>
      <c r="J149" s="181" t="n"/>
      <c r="K149" s="181" t="n"/>
      <c r="L149" s="181" t="n"/>
      <c r="M149" s="181" t="n"/>
      <c r="N149" s="181" t="n"/>
      <c r="O149" s="181" t="n"/>
    </row>
    <row r="150">
      <c r="A150" s="181" t="n"/>
      <c r="B150" s="181" t="n"/>
      <c r="C150" s="181" t="n"/>
      <c r="D150" s="181" t="n"/>
      <c r="E150" s="181" t="n"/>
      <c r="F150" s="181" t="n"/>
      <c r="G150" s="181" t="n"/>
      <c r="H150" s="181" t="n"/>
      <c r="I150" s="181" t="n"/>
      <c r="J150" s="181" t="n"/>
      <c r="K150" s="181" t="n"/>
      <c r="L150" s="181" t="n"/>
      <c r="M150" s="181" t="n"/>
      <c r="N150" s="181" t="n"/>
      <c r="O150" s="181" t="n"/>
    </row>
    <row r="151">
      <c r="A151" s="181" t="n"/>
      <c r="B151" s="181" t="n"/>
      <c r="C151" s="181" t="n"/>
      <c r="D151" s="181" t="n"/>
      <c r="E151" s="181" t="n"/>
      <c r="F151" s="181" t="n"/>
      <c r="G151" s="181" t="n"/>
      <c r="H151" s="181" t="n"/>
      <c r="I151" s="181" t="n"/>
      <c r="J151" s="181" t="n"/>
      <c r="K151" s="181" t="n"/>
      <c r="L151" s="181" t="n"/>
      <c r="M151" s="181" t="n"/>
      <c r="N151" s="181" t="n"/>
      <c r="O151" s="181" t="n"/>
    </row>
    <row r="152">
      <c r="A152" s="181" t="n"/>
      <c r="B152" s="181" t="n"/>
      <c r="C152" s="181" t="n"/>
      <c r="D152" s="181" t="n"/>
      <c r="E152" s="181" t="n"/>
      <c r="F152" s="181" t="n"/>
      <c r="G152" s="181" t="n"/>
      <c r="H152" s="181" t="n"/>
      <c r="I152" s="181" t="n"/>
      <c r="J152" s="181" t="n"/>
      <c r="K152" s="181" t="n"/>
      <c r="L152" s="181" t="n"/>
      <c r="M152" s="181" t="n"/>
      <c r="N152" s="181" t="n"/>
      <c r="O152" s="181" t="n"/>
    </row>
    <row r="153">
      <c r="A153" s="181" t="n"/>
      <c r="B153" s="181" t="n"/>
      <c r="C153" s="181" t="n"/>
      <c r="D153" s="181" t="n"/>
      <c r="E153" s="181" t="n"/>
      <c r="F153" s="181" t="n"/>
      <c r="G153" s="181" t="n"/>
      <c r="H153" s="181" t="n"/>
      <c r="I153" s="181" t="n"/>
      <c r="J153" s="181" t="n"/>
      <c r="K153" s="181" t="n"/>
      <c r="L153" s="181" t="n"/>
      <c r="M153" s="181" t="n"/>
      <c r="N153" s="181" t="n"/>
      <c r="O153" s="181" t="n"/>
    </row>
    <row r="154">
      <c r="A154" s="181" t="n"/>
      <c r="B154" s="181" t="n"/>
      <c r="C154" s="181" t="n"/>
      <c r="D154" s="181" t="n"/>
      <c r="E154" s="181" t="n"/>
      <c r="F154" s="181" t="n"/>
      <c r="G154" s="181" t="n"/>
      <c r="H154" s="181" t="n"/>
      <c r="I154" s="181" t="n"/>
      <c r="J154" s="181" t="n"/>
      <c r="K154" s="181" t="n"/>
      <c r="L154" s="181" t="n"/>
      <c r="M154" s="181" t="n"/>
      <c r="N154" s="181" t="n"/>
      <c r="O154" s="181" t="n"/>
    </row>
    <row r="155">
      <c r="A155" s="181" t="n"/>
      <c r="B155" s="181" t="n"/>
      <c r="C155" s="181" t="n"/>
      <c r="D155" s="181" t="n"/>
      <c r="E155" s="181" t="n"/>
      <c r="F155" s="181" t="n"/>
      <c r="G155" s="181" t="n"/>
      <c r="H155" s="181" t="n"/>
      <c r="I155" s="181" t="n"/>
      <c r="J155" s="181" t="n"/>
      <c r="K155" s="181" t="n"/>
      <c r="L155" s="181" t="n"/>
      <c r="M155" s="181" t="n"/>
      <c r="N155" s="181" t="n"/>
      <c r="O155" s="181" t="n"/>
    </row>
    <row r="156">
      <c r="A156" s="181" t="n"/>
      <c r="B156" s="181" t="n"/>
      <c r="C156" s="181" t="n"/>
      <c r="D156" s="181" t="n"/>
      <c r="E156" s="181" t="n"/>
      <c r="F156" s="181" t="n"/>
      <c r="G156" s="181" t="n"/>
      <c r="H156" s="181" t="n"/>
      <c r="I156" s="181" t="n"/>
      <c r="J156" s="181" t="n"/>
      <c r="K156" s="181" t="n"/>
      <c r="L156" s="181" t="n"/>
      <c r="M156" s="181" t="n"/>
      <c r="N156" s="181" t="n"/>
      <c r="O156" s="181" t="n"/>
    </row>
    <row r="157">
      <c r="A157" s="181" t="n"/>
      <c r="B157" s="181" t="n"/>
      <c r="C157" s="181" t="n"/>
      <c r="D157" s="181" t="n"/>
      <c r="E157" s="181" t="n"/>
      <c r="F157" s="181" t="n"/>
      <c r="G157" s="181" t="n"/>
      <c r="H157" s="181" t="n"/>
      <c r="I157" s="181" t="n"/>
      <c r="J157" s="181" t="n"/>
      <c r="K157" s="181" t="n"/>
      <c r="L157" s="181" t="n"/>
      <c r="M157" s="181" t="n"/>
      <c r="N157" s="181" t="n"/>
      <c r="O157" s="181" t="n"/>
    </row>
    <row r="158">
      <c r="A158" s="181" t="n"/>
      <c r="B158" s="181" t="n"/>
      <c r="C158" s="181" t="n"/>
      <c r="D158" s="181" t="n"/>
      <c r="E158" s="181" t="n"/>
      <c r="F158" s="181" t="n"/>
      <c r="G158" s="181" t="n"/>
      <c r="H158" s="181" t="n"/>
      <c r="I158" s="181" t="n"/>
      <c r="J158" s="181" t="n"/>
      <c r="K158" s="181" t="n"/>
      <c r="L158" s="181" t="n"/>
      <c r="M158" s="181" t="n"/>
      <c r="N158" s="181" t="n"/>
      <c r="O158" s="181" t="n"/>
    </row>
    <row r="159">
      <c r="A159" s="181" t="n"/>
      <c r="B159" s="181" t="n"/>
      <c r="C159" s="181" t="n"/>
      <c r="D159" s="181" t="n"/>
      <c r="E159" s="181" t="n"/>
      <c r="F159" s="181" t="n"/>
      <c r="G159" s="181" t="n"/>
      <c r="H159" s="181" t="n"/>
      <c r="I159" s="181" t="n"/>
      <c r="J159" s="181" t="n"/>
      <c r="K159" s="181" t="n"/>
      <c r="L159" s="181" t="n"/>
      <c r="M159" s="181" t="n"/>
      <c r="N159" s="181" t="n"/>
      <c r="O159" s="181" t="n"/>
    </row>
    <row r="160">
      <c r="A160" s="181" t="n"/>
      <c r="B160" s="181" t="n"/>
      <c r="C160" s="181" t="n"/>
      <c r="D160" s="181" t="n"/>
      <c r="E160" s="181" t="n"/>
      <c r="F160" s="181" t="n"/>
      <c r="G160" s="181" t="n"/>
      <c r="H160" s="181" t="n"/>
      <c r="I160" s="181" t="n"/>
      <c r="J160" s="181" t="n"/>
      <c r="K160" s="181" t="n"/>
      <c r="L160" s="181" t="n"/>
      <c r="M160" s="181" t="n"/>
      <c r="N160" s="181" t="n"/>
      <c r="O160" s="181" t="n"/>
    </row>
    <row r="161">
      <c r="A161" s="181" t="n"/>
      <c r="B161" s="181" t="n"/>
      <c r="C161" s="181" t="n"/>
      <c r="D161" s="181" t="n"/>
      <c r="E161" s="181" t="n"/>
      <c r="F161" s="181" t="n"/>
      <c r="G161" s="181" t="n"/>
      <c r="H161" s="181" t="n"/>
      <c r="I161" s="181" t="n"/>
      <c r="J161" s="181" t="n"/>
      <c r="K161" s="181" t="n"/>
      <c r="L161" s="181" t="n"/>
      <c r="M161" s="181" t="n"/>
      <c r="N161" s="181" t="n"/>
      <c r="O161" s="181" t="n"/>
    </row>
    <row r="162">
      <c r="A162" s="181" t="n"/>
      <c r="B162" s="181" t="n"/>
      <c r="C162" s="181" t="n"/>
      <c r="D162" s="181" t="n"/>
      <c r="E162" s="181" t="n"/>
      <c r="F162" s="181" t="n"/>
      <c r="G162" s="181" t="n"/>
      <c r="H162" s="181" t="n"/>
      <c r="I162" s="181" t="n"/>
      <c r="J162" s="181" t="n"/>
      <c r="K162" s="181" t="n"/>
      <c r="L162" s="181" t="n"/>
      <c r="M162" s="181" t="n"/>
      <c r="N162" s="181" t="n"/>
      <c r="O162" s="181" t="n"/>
    </row>
    <row r="163">
      <c r="A163" s="181" t="n"/>
      <c r="B163" s="181" t="n"/>
      <c r="C163" s="181" t="n"/>
      <c r="D163" s="181" t="n"/>
      <c r="E163" s="181" t="n"/>
      <c r="F163" s="181" t="n"/>
      <c r="G163" s="181" t="n"/>
      <c r="H163" s="181" t="n"/>
      <c r="I163" s="181" t="n"/>
      <c r="J163" s="181" t="n"/>
      <c r="K163" s="181" t="n"/>
      <c r="L163" s="181" t="n"/>
      <c r="M163" s="181" t="n"/>
      <c r="N163" s="181" t="n"/>
      <c r="O163" s="181" t="n"/>
    </row>
    <row r="164">
      <c r="A164" s="181" t="n"/>
      <c r="B164" s="181" t="n"/>
      <c r="C164" s="181" t="n"/>
      <c r="D164" s="181" t="n"/>
      <c r="E164" s="181" t="n"/>
      <c r="F164" s="181" t="n"/>
      <c r="G164" s="181" t="n"/>
      <c r="H164" s="181" t="n"/>
      <c r="I164" s="181" t="n"/>
      <c r="J164" s="181" t="n"/>
      <c r="K164" s="181" t="n"/>
      <c r="L164" s="181" t="n"/>
      <c r="M164" s="181" t="n"/>
      <c r="N164" s="181" t="n"/>
      <c r="O164" s="181" t="n"/>
    </row>
    <row r="165">
      <c r="A165" s="181" t="n"/>
      <c r="B165" s="181" t="n"/>
      <c r="C165" s="181" t="n"/>
      <c r="D165" s="181" t="n"/>
      <c r="E165" s="181" t="n"/>
      <c r="F165" s="181" t="n"/>
      <c r="G165" s="181" t="n"/>
      <c r="H165" s="181" t="n"/>
      <c r="I165" s="181" t="n"/>
      <c r="J165" s="181" t="n"/>
      <c r="K165" s="181" t="n"/>
      <c r="L165" s="181" t="n"/>
      <c r="M165" s="181" t="n"/>
      <c r="N165" s="181" t="n"/>
      <c r="O165" s="181" t="n"/>
    </row>
    <row r="166">
      <c r="A166" s="181" t="n"/>
      <c r="B166" s="181" t="n"/>
      <c r="C166" s="181" t="n"/>
      <c r="D166" s="181" t="n"/>
      <c r="E166" s="181" t="n"/>
      <c r="F166" s="181" t="n"/>
      <c r="G166" s="181" t="n"/>
      <c r="H166" s="181" t="n"/>
      <c r="I166" s="181" t="n"/>
      <c r="J166" s="181" t="n"/>
      <c r="K166" s="181" t="n"/>
      <c r="L166" s="181" t="n"/>
      <c r="M166" s="181" t="n"/>
      <c r="N166" s="181" t="n"/>
      <c r="O166" s="181" t="n"/>
    </row>
    <row r="167">
      <c r="A167" s="181" t="n"/>
      <c r="B167" s="181" t="n"/>
      <c r="C167" s="181" t="n"/>
      <c r="D167" s="181" t="n"/>
      <c r="E167" s="181" t="n"/>
      <c r="F167" s="181" t="n"/>
      <c r="G167" s="181" t="n"/>
      <c r="H167" s="181" t="n"/>
      <c r="I167" s="181" t="n"/>
      <c r="J167" s="181" t="n"/>
      <c r="K167" s="181" t="n"/>
      <c r="L167" s="181" t="n"/>
      <c r="M167" s="181" t="n"/>
      <c r="N167" s="181" t="n"/>
      <c r="O167" s="181" t="n"/>
    </row>
    <row r="168">
      <c r="A168" s="181" t="n"/>
      <c r="B168" s="181" t="n"/>
      <c r="C168" s="181" t="n"/>
      <c r="D168" s="181" t="n"/>
      <c r="E168" s="181" t="n"/>
      <c r="F168" s="181" t="n"/>
      <c r="G168" s="181" t="n"/>
      <c r="H168" s="181" t="n"/>
      <c r="I168" s="181" t="n"/>
      <c r="J168" s="181" t="n"/>
      <c r="K168" s="181" t="n"/>
      <c r="L168" s="181" t="n"/>
      <c r="M168" s="181" t="n"/>
      <c r="N168" s="181" t="n"/>
      <c r="O168" s="181" t="n"/>
    </row>
    <row r="169">
      <c r="A169" s="181" t="n"/>
      <c r="B169" s="181" t="n"/>
      <c r="C169" s="181" t="n"/>
      <c r="D169" s="181" t="n"/>
      <c r="E169" s="181" t="n"/>
      <c r="F169" s="181" t="n"/>
      <c r="G169" s="181" t="n"/>
      <c r="H169" s="181" t="n"/>
      <c r="I169" s="181" t="n"/>
      <c r="J169" s="181" t="n"/>
      <c r="K169" s="181" t="n"/>
      <c r="L169" s="181" t="n"/>
      <c r="M169" s="181" t="n"/>
      <c r="N169" s="181" t="n"/>
      <c r="O169" s="181" t="n"/>
    </row>
    <row r="170">
      <c r="A170" s="181" t="n"/>
      <c r="B170" s="181" t="n"/>
      <c r="C170" s="181" t="n"/>
      <c r="D170" s="181" t="n"/>
      <c r="E170" s="181" t="n"/>
      <c r="F170" s="181" t="n"/>
      <c r="G170" s="181" t="n"/>
      <c r="H170" s="181" t="n"/>
      <c r="I170" s="181" t="n"/>
      <c r="J170" s="181" t="n"/>
      <c r="K170" s="181" t="n"/>
      <c r="L170" s="181" t="n"/>
      <c r="M170" s="181" t="n"/>
      <c r="N170" s="181" t="n"/>
      <c r="O170" s="181" t="n"/>
    </row>
    <row r="171">
      <c r="A171" s="181" t="n"/>
      <c r="B171" s="181" t="n"/>
      <c r="C171" s="181" t="n"/>
      <c r="D171" s="181" t="n"/>
      <c r="E171" s="181" t="n"/>
      <c r="F171" s="181" t="n"/>
      <c r="G171" s="181" t="n"/>
      <c r="H171" s="181" t="n"/>
      <c r="I171" s="181" t="n"/>
      <c r="J171" s="181" t="n"/>
      <c r="K171" s="181" t="n"/>
      <c r="L171" s="181" t="n"/>
      <c r="M171" s="181" t="n"/>
      <c r="N171" s="181" t="n"/>
      <c r="O171" s="181" t="n"/>
    </row>
    <row r="172">
      <c r="A172" s="181" t="n"/>
      <c r="B172" s="181" t="n"/>
      <c r="C172" s="181" t="n"/>
      <c r="D172" s="181" t="n"/>
      <c r="E172" s="181" t="n"/>
      <c r="F172" s="181" t="n"/>
      <c r="G172" s="181" t="n"/>
      <c r="H172" s="181" t="n"/>
      <c r="I172" s="181" t="n"/>
      <c r="J172" s="181" t="n"/>
      <c r="K172" s="181" t="n"/>
      <c r="L172" s="181" t="n"/>
      <c r="M172" s="181" t="n"/>
      <c r="N172" s="181" t="n"/>
      <c r="O172" s="181" t="n"/>
    </row>
    <row r="173">
      <c r="A173" s="181" t="n"/>
      <c r="B173" s="181" t="n"/>
      <c r="C173" s="181" t="n"/>
      <c r="D173" s="181" t="n"/>
      <c r="E173" s="181" t="n"/>
      <c r="F173" s="181" t="n"/>
      <c r="G173" s="181" t="n"/>
      <c r="H173" s="181" t="n"/>
      <c r="I173" s="181" t="n"/>
      <c r="J173" s="181" t="n"/>
      <c r="K173" s="181" t="n"/>
      <c r="L173" s="181" t="n"/>
      <c r="M173" s="181" t="n"/>
      <c r="N173" s="181" t="n"/>
      <c r="O173" s="181" t="n"/>
    </row>
    <row r="174">
      <c r="A174" s="181" t="n"/>
      <c r="B174" s="181" t="n"/>
      <c r="C174" s="181" t="n"/>
      <c r="D174" s="181" t="n"/>
      <c r="E174" s="181" t="n"/>
      <c r="F174" s="181" t="n"/>
      <c r="G174" s="181" t="n"/>
      <c r="H174" s="181" t="n"/>
      <c r="I174" s="181" t="n"/>
      <c r="J174" s="181" t="n"/>
      <c r="K174" s="181" t="n"/>
      <c r="L174" s="181" t="n"/>
      <c r="M174" s="181" t="n"/>
      <c r="N174" s="181" t="n"/>
      <c r="O174" s="181" t="n"/>
    </row>
    <row r="175">
      <c r="A175" s="181" t="n"/>
      <c r="B175" s="181" t="n"/>
      <c r="C175" s="181" t="n"/>
      <c r="D175" s="181" t="n"/>
      <c r="E175" s="181" t="n"/>
      <c r="F175" s="181" t="n"/>
      <c r="G175" s="181" t="n"/>
      <c r="H175" s="181" t="n"/>
      <c r="I175" s="181" t="n"/>
      <c r="J175" s="181" t="n"/>
      <c r="K175" s="181" t="n"/>
      <c r="L175" s="181" t="n"/>
      <c r="M175" s="181" t="n"/>
      <c r="N175" s="181" t="n"/>
      <c r="O175" s="181" t="n"/>
    </row>
    <row r="176">
      <c r="A176" s="181" t="n"/>
      <c r="B176" s="181" t="n"/>
      <c r="C176" s="181" t="n"/>
      <c r="D176" s="181" t="n"/>
      <c r="E176" s="181" t="n"/>
      <c r="F176" s="181" t="n"/>
      <c r="G176" s="181" t="n"/>
      <c r="H176" s="181" t="n"/>
      <c r="I176" s="181" t="n"/>
      <c r="J176" s="181" t="n"/>
      <c r="K176" s="181" t="n"/>
      <c r="L176" s="181" t="n"/>
      <c r="M176" s="181" t="n"/>
      <c r="N176" s="181" t="n"/>
      <c r="O176" s="181" t="n"/>
    </row>
    <row r="177">
      <c r="A177" s="181" t="n"/>
      <c r="B177" s="181" t="n"/>
      <c r="C177" s="181" t="n"/>
      <c r="D177" s="181" t="n"/>
      <c r="E177" s="181" t="n"/>
      <c r="F177" s="181" t="n"/>
      <c r="G177" s="181" t="n"/>
      <c r="H177" s="181" t="n"/>
      <c r="I177" s="181" t="n"/>
      <c r="J177" s="181" t="n"/>
      <c r="K177" s="181" t="n"/>
      <c r="L177" s="181" t="n"/>
      <c r="M177" s="181" t="n"/>
      <c r="N177" s="181" t="n"/>
      <c r="O177" s="181" t="n"/>
    </row>
    <row r="178">
      <c r="A178" s="181" t="n"/>
      <c r="B178" s="181" t="n"/>
      <c r="C178" s="181" t="n"/>
      <c r="D178" s="181" t="n"/>
      <c r="E178" s="181" t="n"/>
      <c r="F178" s="181" t="n"/>
      <c r="G178" s="181" t="n"/>
      <c r="H178" s="181" t="n"/>
      <c r="I178" s="181" t="n"/>
      <c r="J178" s="181" t="n"/>
      <c r="K178" s="181" t="n"/>
      <c r="L178" s="181" t="n"/>
      <c r="M178" s="181" t="n"/>
      <c r="N178" s="181" t="n"/>
      <c r="O178" s="181" t="n"/>
    </row>
    <row r="179">
      <c r="A179" s="181" t="n"/>
      <c r="B179" s="181" t="n"/>
      <c r="C179" s="181" t="n"/>
      <c r="D179" s="181" t="n"/>
      <c r="E179" s="181" t="n"/>
      <c r="F179" s="181" t="n"/>
      <c r="G179" s="181" t="n"/>
      <c r="H179" s="181" t="n"/>
      <c r="I179" s="181" t="n"/>
      <c r="J179" s="181" t="n"/>
      <c r="K179" s="181" t="n"/>
      <c r="L179" s="181" t="n"/>
      <c r="M179" s="181" t="n"/>
      <c r="N179" s="181" t="n"/>
      <c r="O179" s="181" t="n"/>
    </row>
    <row r="180">
      <c r="A180" s="181" t="n"/>
      <c r="B180" s="181" t="n"/>
      <c r="C180" s="181" t="n"/>
      <c r="D180" s="181" t="n"/>
      <c r="E180" s="181" t="n"/>
      <c r="F180" s="181" t="n"/>
      <c r="G180" s="181" t="n"/>
      <c r="H180" s="181" t="n"/>
      <c r="I180" s="181" t="n"/>
      <c r="J180" s="181" t="n"/>
      <c r="K180" s="181" t="n"/>
      <c r="L180" s="181" t="n"/>
      <c r="M180" s="181" t="n"/>
      <c r="N180" s="181" t="n"/>
      <c r="O180" s="181" t="n"/>
    </row>
    <row r="181">
      <c r="A181" s="181" t="n"/>
      <c r="B181" s="181" t="n"/>
      <c r="C181" s="181" t="n"/>
      <c r="D181" s="181" t="n"/>
      <c r="E181" s="181" t="n"/>
      <c r="F181" s="181" t="n"/>
      <c r="G181" s="181" t="n"/>
      <c r="H181" s="181" t="n"/>
      <c r="I181" s="181" t="n"/>
      <c r="J181" s="181" t="n"/>
      <c r="K181" s="181" t="n"/>
      <c r="L181" s="181" t="n"/>
      <c r="M181" s="181" t="n"/>
      <c r="N181" s="181" t="n"/>
      <c r="O181" s="181" t="n"/>
    </row>
    <row r="182">
      <c r="A182" s="181" t="n"/>
      <c r="B182" s="181" t="n"/>
      <c r="C182" s="181" t="n"/>
      <c r="D182" s="181" t="n"/>
      <c r="E182" s="181" t="n"/>
      <c r="F182" s="181" t="n"/>
      <c r="G182" s="181" t="n"/>
      <c r="H182" s="181" t="n"/>
      <c r="I182" s="181" t="n"/>
      <c r="J182" s="181" t="n"/>
      <c r="K182" s="181" t="n"/>
      <c r="L182" s="181" t="n"/>
      <c r="M182" s="181" t="n"/>
      <c r="N182" s="181" t="n"/>
      <c r="O182" s="181" t="n"/>
    </row>
    <row r="183">
      <c r="A183" s="181" t="n"/>
      <c r="B183" s="181" t="n"/>
      <c r="C183" s="181" t="n"/>
      <c r="D183" s="181" t="n"/>
      <c r="E183" s="181" t="n"/>
      <c r="F183" s="181" t="n"/>
      <c r="G183" s="181" t="n"/>
      <c r="H183" s="181" t="n"/>
      <c r="I183" s="181" t="n"/>
      <c r="J183" s="181" t="n"/>
      <c r="K183" s="181" t="n"/>
      <c r="L183" s="181" t="n"/>
      <c r="M183" s="181" t="n"/>
      <c r="N183" s="181" t="n"/>
      <c r="O183" s="181" t="n"/>
    </row>
    <row r="184">
      <c r="A184" s="181" t="n"/>
      <c r="B184" s="181" t="n"/>
      <c r="C184" s="181" t="n"/>
      <c r="D184" s="181" t="n"/>
      <c r="E184" s="181" t="n"/>
      <c r="F184" s="181" t="n"/>
      <c r="G184" s="181" t="n"/>
      <c r="H184" s="181" t="n"/>
      <c r="I184" s="181" t="n"/>
      <c r="J184" s="181" t="n"/>
      <c r="K184" s="181" t="n"/>
      <c r="L184" s="181" t="n"/>
      <c r="M184" s="181" t="n"/>
      <c r="N184" s="181" t="n"/>
      <c r="O184" s="181" t="n"/>
    </row>
    <row r="185">
      <c r="A185" s="181" t="n"/>
      <c r="B185" s="181" t="n"/>
      <c r="C185" s="181" t="n"/>
      <c r="D185" s="181" t="n"/>
      <c r="E185" s="181" t="n"/>
      <c r="F185" s="181" t="n"/>
      <c r="G185" s="181" t="n"/>
      <c r="H185" s="181" t="n"/>
      <c r="I185" s="181" t="n"/>
      <c r="J185" s="181" t="n"/>
      <c r="K185" s="181" t="n"/>
      <c r="L185" s="181" t="n"/>
      <c r="M185" s="181" t="n"/>
      <c r="N185" s="181" t="n"/>
      <c r="O185" s="181" t="n"/>
    </row>
    <row r="186">
      <c r="A186" s="181" t="n"/>
      <c r="B186" s="181" t="n"/>
      <c r="C186" s="181" t="n"/>
      <c r="D186" s="181" t="n"/>
      <c r="E186" s="181" t="n"/>
      <c r="F186" s="181" t="n"/>
      <c r="G186" s="181" t="n"/>
      <c r="H186" s="181" t="n"/>
      <c r="I186" s="181" t="n"/>
      <c r="J186" s="181" t="n"/>
      <c r="K186" s="181" t="n"/>
      <c r="L186" s="181" t="n"/>
      <c r="M186" s="181" t="n"/>
      <c r="N186" s="181" t="n"/>
      <c r="O186" s="181" t="n"/>
    </row>
    <row r="187">
      <c r="A187" s="181" t="n"/>
      <c r="B187" s="181" t="n"/>
      <c r="C187" s="181" t="n"/>
      <c r="D187" s="181" t="n"/>
      <c r="E187" s="181" t="n"/>
      <c r="F187" s="181" t="n"/>
      <c r="G187" s="181" t="n"/>
      <c r="H187" s="181" t="n"/>
      <c r="I187" s="181" t="n"/>
      <c r="J187" s="181" t="n"/>
      <c r="K187" s="181" t="n"/>
      <c r="L187" s="181" t="n"/>
      <c r="M187" s="181" t="n"/>
      <c r="N187" s="181" t="n"/>
      <c r="O187" s="181" t="n"/>
    </row>
    <row r="188">
      <c r="A188" s="181" t="n"/>
      <c r="B188" s="181" t="n"/>
      <c r="C188" s="181" t="n"/>
      <c r="D188" s="181" t="n"/>
      <c r="E188" s="181" t="n"/>
      <c r="F188" s="181" t="n"/>
      <c r="G188" s="181" t="n"/>
      <c r="H188" s="181" t="n"/>
      <c r="I188" s="181" t="n"/>
      <c r="J188" s="181" t="n"/>
      <c r="K188" s="181" t="n"/>
      <c r="L188" s="181" t="n"/>
      <c r="M188" s="181" t="n"/>
      <c r="N188" s="181" t="n"/>
      <c r="O188" s="181" t="n"/>
    </row>
    <row r="189">
      <c r="A189" s="181" t="n"/>
      <c r="B189" s="181" t="n"/>
      <c r="C189" s="181" t="n"/>
      <c r="D189" s="181" t="n"/>
      <c r="E189" s="181" t="n"/>
      <c r="F189" s="181" t="n"/>
      <c r="G189" s="181" t="n"/>
      <c r="H189" s="181" t="n"/>
      <c r="I189" s="181" t="n"/>
      <c r="J189" s="181" t="n"/>
      <c r="K189" s="181" t="n"/>
      <c r="L189" s="181" t="n"/>
      <c r="M189" s="181" t="n"/>
      <c r="N189" s="181" t="n"/>
      <c r="O189" s="181" t="n"/>
    </row>
    <row r="190">
      <c r="A190" s="181" t="n"/>
      <c r="B190" s="181" t="n"/>
      <c r="C190" s="181" t="n"/>
      <c r="D190" s="181" t="n"/>
      <c r="E190" s="181" t="n"/>
      <c r="F190" s="181" t="n"/>
      <c r="G190" s="181" t="n"/>
      <c r="H190" s="181" t="n"/>
      <c r="I190" s="181" t="n"/>
      <c r="J190" s="181" t="n"/>
      <c r="K190" s="181" t="n"/>
      <c r="L190" s="181" t="n"/>
      <c r="M190" s="181" t="n"/>
      <c r="N190" s="181" t="n"/>
      <c r="O190" s="181" t="n"/>
    </row>
    <row r="191">
      <c r="A191" s="181" t="n"/>
      <c r="B191" s="181" t="n"/>
      <c r="C191" s="181" t="n"/>
      <c r="D191" s="181" t="n"/>
      <c r="E191" s="181" t="n"/>
      <c r="F191" s="181" t="n"/>
      <c r="G191" s="181" t="n"/>
      <c r="H191" s="181" t="n"/>
      <c r="I191" s="181" t="n"/>
      <c r="J191" s="181" t="n"/>
      <c r="K191" s="181" t="n"/>
      <c r="L191" s="181" t="n"/>
      <c r="M191" s="181" t="n"/>
      <c r="N191" s="181" t="n"/>
      <c r="O191" s="181" t="n"/>
    </row>
    <row r="192">
      <c r="A192" s="181" t="n"/>
      <c r="B192" s="181" t="n"/>
      <c r="C192" s="181" t="n"/>
      <c r="D192" s="181" t="n"/>
      <c r="E192" s="181" t="n"/>
      <c r="F192" s="181" t="n"/>
      <c r="G192" s="181" t="n"/>
      <c r="H192" s="181" t="n"/>
      <c r="I192" s="181" t="n"/>
      <c r="J192" s="181" t="n"/>
      <c r="K192" s="181" t="n"/>
      <c r="L192" s="181" t="n"/>
      <c r="M192" s="181" t="n"/>
      <c r="N192" s="181" t="n"/>
      <c r="O192" s="181" t="n"/>
    </row>
    <row r="193">
      <c r="A193" s="181" t="n"/>
      <c r="B193" s="181" t="n"/>
      <c r="C193" s="181" t="n"/>
      <c r="D193" s="181" t="n"/>
      <c r="E193" s="181" t="n"/>
      <c r="F193" s="181" t="n"/>
      <c r="G193" s="181" t="n"/>
      <c r="H193" s="181" t="n"/>
      <c r="I193" s="181" t="n"/>
      <c r="J193" s="181" t="n"/>
      <c r="K193" s="181" t="n"/>
      <c r="L193" s="181" t="n"/>
      <c r="M193" s="181" t="n"/>
      <c r="N193" s="181" t="n"/>
      <c r="O193" s="181" t="n"/>
    </row>
    <row r="194">
      <c r="A194" s="181" t="n"/>
      <c r="B194" s="181" t="n"/>
      <c r="C194" s="181" t="n"/>
      <c r="D194" s="181" t="n"/>
      <c r="E194" s="181" t="n"/>
      <c r="F194" s="181" t="n"/>
      <c r="G194" s="181" t="n"/>
      <c r="H194" s="181" t="n"/>
      <c r="I194" s="181" t="n"/>
      <c r="J194" s="181" t="n"/>
      <c r="K194" s="181" t="n"/>
      <c r="L194" s="181" t="n"/>
      <c r="M194" s="181" t="n"/>
      <c r="N194" s="181" t="n"/>
      <c r="O194" s="181" t="n"/>
    </row>
    <row r="195">
      <c r="A195" s="181" t="n"/>
      <c r="B195" s="181" t="n"/>
      <c r="C195" s="181" t="n"/>
      <c r="D195" s="181" t="n"/>
      <c r="E195" s="181" t="n"/>
      <c r="F195" s="181" t="n"/>
      <c r="G195" s="181" t="n"/>
      <c r="H195" s="181" t="n"/>
      <c r="I195" s="181" t="n"/>
      <c r="J195" s="181" t="n"/>
      <c r="K195" s="181" t="n"/>
      <c r="L195" s="181" t="n"/>
      <c r="M195" s="181" t="n"/>
      <c r="N195" s="181" t="n"/>
      <c r="O195" s="181" t="n"/>
    </row>
    <row r="196">
      <c r="A196" s="181" t="n"/>
      <c r="B196" s="181" t="n"/>
      <c r="C196" s="181" t="n"/>
      <c r="D196" s="181" t="n"/>
      <c r="E196" s="181" t="n"/>
      <c r="F196" s="181" t="n"/>
      <c r="G196" s="181" t="n"/>
      <c r="H196" s="181" t="n"/>
      <c r="I196" s="181" t="n"/>
      <c r="J196" s="181" t="n"/>
      <c r="K196" s="181" t="n"/>
      <c r="L196" s="181" t="n"/>
      <c r="M196" s="181" t="n"/>
      <c r="N196" s="181" t="n"/>
      <c r="O196" s="181" t="n"/>
    </row>
    <row r="197">
      <c r="A197" s="181" t="n"/>
      <c r="B197" s="181" t="n"/>
      <c r="C197" s="181" t="n"/>
      <c r="D197" s="181" t="n"/>
      <c r="E197" s="181" t="n"/>
      <c r="F197" s="181" t="n"/>
      <c r="G197" s="181" t="n"/>
      <c r="H197" s="181" t="n"/>
      <c r="I197" s="181" t="n"/>
      <c r="J197" s="181" t="n"/>
      <c r="K197" s="181" t="n"/>
      <c r="L197" s="181" t="n"/>
      <c r="M197" s="181" t="n"/>
      <c r="N197" s="181" t="n"/>
      <c r="O197" s="181" t="n"/>
    </row>
    <row r="198">
      <c r="A198" s="181" t="n"/>
      <c r="B198" s="181" t="n"/>
      <c r="C198" s="181" t="n"/>
      <c r="D198" s="181" t="n"/>
      <c r="E198" s="181" t="n"/>
      <c r="F198" s="181" t="n"/>
      <c r="G198" s="181" t="n"/>
      <c r="H198" s="181" t="n"/>
      <c r="I198" s="181" t="n"/>
      <c r="J198" s="181" t="n"/>
      <c r="K198" s="181" t="n"/>
      <c r="L198" s="181" t="n"/>
      <c r="M198" s="181" t="n"/>
      <c r="N198" s="181" t="n"/>
      <c r="O198" s="181" t="n"/>
    </row>
    <row r="199">
      <c r="A199" s="181" t="n"/>
      <c r="B199" s="181" t="n"/>
      <c r="C199" s="181" t="n"/>
      <c r="D199" s="181" t="n"/>
      <c r="E199" s="181" t="n"/>
      <c r="F199" s="181" t="n"/>
      <c r="G199" s="181" t="n"/>
      <c r="H199" s="181" t="n"/>
      <c r="I199" s="181" t="n"/>
      <c r="J199" s="181" t="n"/>
      <c r="K199" s="181" t="n"/>
      <c r="L199" s="181" t="n"/>
      <c r="M199" s="181" t="n"/>
      <c r="N199" s="181" t="n"/>
      <c r="O199" s="181" t="n"/>
    </row>
    <row r="200">
      <c r="A200" s="181" t="n"/>
      <c r="B200" s="181" t="n"/>
      <c r="C200" s="181" t="n"/>
      <c r="D200" s="181" t="n"/>
      <c r="E200" s="181" t="n"/>
      <c r="F200" s="181" t="n"/>
      <c r="G200" s="181" t="n"/>
      <c r="H200" s="181" t="n"/>
      <c r="I200" s="181" t="n"/>
      <c r="J200" s="181" t="n"/>
      <c r="K200" s="181" t="n"/>
      <c r="L200" s="181" t="n"/>
      <c r="M200" s="181" t="n"/>
      <c r="N200" s="181" t="n"/>
      <c r="O200" s="181" t="n"/>
    </row>
  </sheetData>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P200"/>
  <sheetViews>
    <sheetView workbookViewId="0">
      <selection activeCell="A1" sqref="A1"/>
    </sheetView>
  </sheetViews>
  <sheetFormatPr baseColWidth="8" defaultRowHeight="15"/>
  <cols>
    <col width="14.43000030517578" customWidth="1" style="76" min="1" max="1"/>
    <col width="15.43000030517578" customWidth="1" style="76" min="2" max="2"/>
    <col width="7.570000171661377" customWidth="1" style="76" min="3" max="3"/>
    <col width="13" customWidth="1" style="76" min="4" max="4"/>
    <col width="6" customWidth="1" style="76" min="5" max="5"/>
    <col width="16.56999969482422" customWidth="1" style="76" min="6" max="6"/>
    <col width="21.29000091552734" customWidth="1" style="76" min="7" max="7"/>
    <col width="21.29000091552734" customWidth="1" style="76" min="8" max="8"/>
    <col width="70.13999938964844" customWidth="1" style="76" min="9" max="9"/>
    <col width="25.13999938964844" customWidth="1" style="76" min="10" max="10"/>
    <col width="0.05000000074505806" customWidth="1" style="76" min="11" max="11"/>
    <col width="14.43000030517578" customWidth="1" style="76" min="12" max="12"/>
    <col width="13.56999969482422" customWidth="1" style="76" min="13" max="13"/>
    <col width="17.29000091552734" customWidth="1" style="76" min="14" max="14"/>
    <col width="16.70999908447266" customWidth="1" style="76" min="15" max="15"/>
    <col width="18.70999908447266" customWidth="1" style="76" min="16" max="16"/>
  </cols>
  <sheetData>
    <row r="1">
      <c r="A1" s="181" t="inlineStr">
        <is>
          <t>goal</t>
        </is>
      </c>
      <c r="B1" s="181" t="inlineStr">
        <is>
          <t>preferredRank</t>
        </is>
      </c>
      <c r="C1" s="181" t="inlineStr">
        <is>
          <t>type</t>
        </is>
      </c>
      <c r="D1" s="181" t="inlineStr">
        <is>
          <t>safetyStatus</t>
        </is>
      </c>
      <c r="E1" s="181" t="inlineStr">
        <is>
          <t>score</t>
        </is>
      </c>
      <c r="F1" s="181" t="inlineStr">
        <is>
          <t>herb1</t>
        </is>
      </c>
      <c r="G1" s="181" t="inlineStr">
        <is>
          <t>herb2</t>
        </is>
      </c>
      <c r="H1" s="181" t="inlineStr">
        <is>
          <t>herb3</t>
        </is>
      </c>
      <c r="I1" s="181" t="inlineStr">
        <is>
          <t>selectionReason</t>
        </is>
      </c>
      <c r="J1" s="181" t="inlineStr">
        <is>
          <t>suppressedAlternatives</t>
        </is>
      </c>
      <c r="K1" s="181" t="n"/>
      <c r="L1" s="181" t="inlineStr">
        <is>
          <t>goal</t>
        </is>
      </c>
      <c r="M1" s="181" t="inlineStr">
        <is>
          <t>selectedSafe</t>
        </is>
      </c>
      <c r="N1" s="181" t="inlineStr">
        <is>
          <t>selectedCaution</t>
        </is>
      </c>
      <c r="O1" s="181" t="inlineStr">
        <is>
          <t>selectedReview</t>
        </is>
      </c>
      <c r="P1" s="181" t="inlineStr">
        <is>
          <t>suppressedCount</t>
        </is>
      </c>
    </row>
    <row r="2">
      <c r="A2" s="181" t="inlineStr">
        <is>
          <t>Sleep</t>
        </is>
      </c>
      <c r="B2" s="181" t="n">
        <v>1</v>
      </c>
      <c r="C2" s="181" t="inlineStr">
        <is>
          <t>2-stack</t>
        </is>
      </c>
      <c r="D2" s="181" t="inlineStr">
        <is>
          <t>safe</t>
        </is>
      </c>
      <c r="E2" s="181" t="n">
        <v>26</v>
      </c>
      <c r="F2" s="181" t="inlineStr">
        <is>
          <t>Rhodiola Rosea</t>
        </is>
      </c>
      <c r="G2" s="181" t="inlineStr">
        <is>
          <t>Lemon Balm</t>
        </is>
      </c>
      <c r="H2" s="181" t="n"/>
      <c r="I2" s="181" t="inlineStr">
        <is>
          <t>safer alternatives exist; weaker caution/review stacks suppressed</t>
        </is>
      </c>
      <c r="J2" s="181" t="n">
        <v>3</v>
      </c>
      <c r="K2" s="181" t="n"/>
      <c r="L2" s="181" t="inlineStr">
        <is>
          <t>Sleep</t>
        </is>
      </c>
      <c r="M2" s="181" t="n">
        <v>4</v>
      </c>
      <c r="N2" s="181" t="n">
        <v>0</v>
      </c>
      <c r="O2" s="181" t="n">
        <v>0</v>
      </c>
      <c r="P2" s="181" t="n">
        <v>6</v>
      </c>
    </row>
    <row r="3">
      <c r="A3" s="181" t="inlineStr">
        <is>
          <t>Sleep</t>
        </is>
      </c>
      <c r="B3" s="181" t="n">
        <v>2</v>
      </c>
      <c r="C3" s="181" t="inlineStr">
        <is>
          <t>2-stack</t>
        </is>
      </c>
      <c r="D3" s="181" t="inlineStr">
        <is>
          <t>safe</t>
        </is>
      </c>
      <c r="E3" s="181" t="n">
        <v>23</v>
      </c>
      <c r="F3" s="181" t="inlineStr">
        <is>
          <t>Rhodiola Rosea</t>
        </is>
      </c>
      <c r="G3" s="181" t="inlineStr">
        <is>
          <t>Holy Basil</t>
        </is>
      </c>
      <c r="H3" s="181" t="n"/>
      <c r="I3" s="181" t="inlineStr">
        <is>
          <t>safer alternatives exist; weaker caution/review stacks suppressed</t>
        </is>
      </c>
      <c r="J3" s="181" t="n">
        <v>3</v>
      </c>
      <c r="K3" s="181" t="n"/>
      <c r="L3" s="181" t="inlineStr">
        <is>
          <t>Inflammation</t>
        </is>
      </c>
      <c r="M3" s="181" t="n">
        <v>0</v>
      </c>
      <c r="N3" s="181" t="n">
        <v>4</v>
      </c>
      <c r="O3" s="181" t="n">
        <v>0</v>
      </c>
      <c r="P3" s="181" t="n">
        <v>6</v>
      </c>
    </row>
    <row r="4">
      <c r="A4" s="181" t="inlineStr">
        <is>
          <t>Sleep</t>
        </is>
      </c>
      <c r="B4" s="181" t="n">
        <v>1</v>
      </c>
      <c r="C4" s="181" t="inlineStr">
        <is>
          <t>3-stack</t>
        </is>
      </c>
      <c r="D4" s="181" t="inlineStr">
        <is>
          <t>safe</t>
        </is>
      </c>
      <c r="E4" s="181" t="n">
        <v>33</v>
      </c>
      <c r="F4" s="181" t="inlineStr">
        <is>
          <t>Rhodiola Rosea</t>
        </is>
      </c>
      <c r="G4" s="181" t="inlineStr">
        <is>
          <t>Lemon Balm</t>
        </is>
      </c>
      <c r="H4" s="181" t="inlineStr">
        <is>
          <t>Holy Basil</t>
        </is>
      </c>
      <c r="I4" s="181" t="inlineStr">
        <is>
          <t>safer alternatives exist; weaker caution/review stacks suppressed</t>
        </is>
      </c>
      <c r="J4" s="181" t="n">
        <v>6</v>
      </c>
      <c r="K4" s="181" t="n"/>
      <c r="L4" s="181" t="inlineStr">
        <is>
          <t>Mood</t>
        </is>
      </c>
      <c r="M4" s="181" t="n">
        <v>2</v>
      </c>
      <c r="N4" s="181" t="n">
        <v>3</v>
      </c>
      <c r="O4" s="181" t="n">
        <v>0</v>
      </c>
      <c r="P4" s="181" t="n">
        <v>5</v>
      </c>
    </row>
    <row r="5">
      <c r="A5" s="181" t="inlineStr">
        <is>
          <t>Sleep</t>
        </is>
      </c>
      <c r="B5" s="181" t="n">
        <v>2</v>
      </c>
      <c r="C5" s="181" t="inlineStr">
        <is>
          <t>3-stack</t>
        </is>
      </c>
      <c r="D5" s="181" t="inlineStr">
        <is>
          <t>safe</t>
        </is>
      </c>
      <c r="E5" s="181" t="n">
        <v>32.25</v>
      </c>
      <c r="F5" s="181" t="inlineStr">
        <is>
          <t>Rhodiola Rosea</t>
        </is>
      </c>
      <c r="G5" s="181" t="inlineStr">
        <is>
          <t>Lemon Balm</t>
        </is>
      </c>
      <c r="H5" s="181" t="inlineStr">
        <is>
          <t>Echinacea Purpurea</t>
        </is>
      </c>
      <c r="I5" s="181" t="inlineStr">
        <is>
          <t>safer alternatives exist; weaker caution/review stacks suppressed</t>
        </is>
      </c>
      <c r="J5" s="181" t="n">
        <v>6</v>
      </c>
      <c r="K5" s="181" t="n"/>
      <c r="L5" s="181" t="inlineStr">
        <is>
          <t>Liver</t>
        </is>
      </c>
      <c r="M5" s="181" t="n">
        <v>0</v>
      </c>
      <c r="N5" s="181" t="n">
        <v>6</v>
      </c>
      <c r="O5" s="181" t="n">
        <v>0</v>
      </c>
      <c r="P5" s="181" t="n">
        <v>4</v>
      </c>
    </row>
    <row r="6">
      <c r="A6" s="181" t="inlineStr">
        <is>
          <t>Inflammation</t>
        </is>
      </c>
      <c r="B6" s="181" t="n">
        <v>1</v>
      </c>
      <c r="C6" s="181" t="inlineStr">
        <is>
          <t>2-stack</t>
        </is>
      </c>
      <c r="D6" s="181" t="inlineStr">
        <is>
          <t>caution</t>
        </is>
      </c>
      <c r="E6" s="181" t="n">
        <v>30.5</v>
      </c>
      <c r="F6" s="181" t="inlineStr">
        <is>
          <t>Milk Thistle</t>
        </is>
      </c>
      <c r="G6" s="181" t="inlineStr">
        <is>
          <t>Turmeric</t>
        </is>
      </c>
      <c r="H6" s="181" t="n"/>
      <c r="I6" s="181" t="inlineStr">
        <is>
          <t>no safe stacks available; best caution stacks retained</t>
        </is>
      </c>
      <c r="J6" s="181" t="n">
        <v>3</v>
      </c>
      <c r="K6" s="181" t="n"/>
      <c r="L6" s="181" t="n"/>
      <c r="M6" s="181" t="n"/>
      <c r="N6" s="181" t="n"/>
      <c r="O6" s="181" t="n"/>
      <c r="P6" s="181" t="n"/>
    </row>
    <row r="7">
      <c r="A7" s="181" t="inlineStr">
        <is>
          <t>Inflammation</t>
        </is>
      </c>
      <c r="B7" s="181" t="n">
        <v>2</v>
      </c>
      <c r="C7" s="181" t="inlineStr">
        <is>
          <t>2-stack</t>
        </is>
      </c>
      <c r="D7" s="181" t="inlineStr">
        <is>
          <t>caution</t>
        </is>
      </c>
      <c r="E7" s="181" t="n">
        <v>28</v>
      </c>
      <c r="F7" s="181" t="inlineStr">
        <is>
          <t>Milk Thistle</t>
        </is>
      </c>
      <c r="G7" s="181" t="inlineStr">
        <is>
          <t>Ashwagandha</t>
        </is>
      </c>
      <c r="H7" s="181" t="n"/>
      <c r="I7" s="181" t="inlineStr">
        <is>
          <t>no safe stacks available; best caution stacks retained</t>
        </is>
      </c>
      <c r="J7" s="181" t="n">
        <v>3</v>
      </c>
      <c r="K7" s="181" t="n"/>
      <c r="L7" s="181" t="n"/>
      <c r="M7" s="181" t="n"/>
      <c r="N7" s="181" t="n"/>
      <c r="O7" s="181" t="n"/>
      <c r="P7" s="181" t="n"/>
    </row>
    <row r="8">
      <c r="A8" s="181" t="inlineStr">
        <is>
          <t>Inflammation</t>
        </is>
      </c>
      <c r="B8" s="181" t="n">
        <v>1</v>
      </c>
      <c r="C8" s="181" t="inlineStr">
        <is>
          <t>3-stack</t>
        </is>
      </c>
      <c r="D8" s="181" t="inlineStr">
        <is>
          <t>caution</t>
        </is>
      </c>
      <c r="E8" s="181" t="n">
        <v>45</v>
      </c>
      <c r="F8" s="181" t="inlineStr">
        <is>
          <t>Milk Thistle</t>
        </is>
      </c>
      <c r="G8" s="181" t="inlineStr">
        <is>
          <t>Ginkgo Biloba</t>
        </is>
      </c>
      <c r="H8" s="181" t="inlineStr">
        <is>
          <t>Turmeric</t>
        </is>
      </c>
      <c r="I8" s="181" t="inlineStr">
        <is>
          <t>no safe stacks available; best caution stacks retained</t>
        </is>
      </c>
      <c r="J8" s="181" t="n">
        <v>6</v>
      </c>
      <c r="K8" s="181" t="n"/>
      <c r="L8" s="181" t="n"/>
      <c r="M8" s="181" t="n"/>
      <c r="N8" s="181" t="n"/>
      <c r="O8" s="181" t="n"/>
      <c r="P8" s="181" t="n"/>
    </row>
    <row r="9">
      <c r="A9" s="181" t="inlineStr">
        <is>
          <t>Inflammation</t>
        </is>
      </c>
      <c r="B9" s="181" t="n">
        <v>2</v>
      </c>
      <c r="C9" s="181" t="inlineStr">
        <is>
          <t>3-stack</t>
        </is>
      </c>
      <c r="D9" s="181" t="inlineStr">
        <is>
          <t>caution</t>
        </is>
      </c>
      <c r="E9" s="181" t="n">
        <v>42.5</v>
      </c>
      <c r="F9" s="181" t="inlineStr">
        <is>
          <t>Milk Thistle</t>
        </is>
      </c>
      <c r="G9" s="181" t="inlineStr">
        <is>
          <t>Ginkgo Biloba</t>
        </is>
      </c>
      <c r="H9" s="181" t="inlineStr">
        <is>
          <t>Ashwagandha</t>
        </is>
      </c>
      <c r="I9" s="181" t="inlineStr">
        <is>
          <t>no safe stacks available; best caution stacks retained</t>
        </is>
      </c>
      <c r="J9" s="181" t="n">
        <v>6</v>
      </c>
      <c r="K9" s="181" t="n"/>
      <c r="L9" s="181" t="n"/>
      <c r="M9" s="181" t="n"/>
      <c r="N9" s="181" t="n"/>
      <c r="O9" s="181" t="n"/>
      <c r="P9" s="181" t="n"/>
    </row>
    <row r="10">
      <c r="A10" s="181" t="inlineStr">
        <is>
          <t>Mood</t>
        </is>
      </c>
      <c r="B10" s="181" t="n">
        <v>1</v>
      </c>
      <c r="C10" s="181" t="inlineStr">
        <is>
          <t>2-stack</t>
        </is>
      </c>
      <c r="D10" s="181" t="inlineStr">
        <is>
          <t>safe</t>
        </is>
      </c>
      <c r="E10" s="181" t="n">
        <v>25.25</v>
      </c>
      <c r="F10" s="181" t="inlineStr">
        <is>
          <t>Rhodiola Rosea</t>
        </is>
      </c>
      <c r="G10" s="181" t="inlineStr">
        <is>
          <t>Echinacea Purpurea</t>
        </is>
      </c>
      <c r="H10" s="181" t="n"/>
      <c r="I10" s="181" t="inlineStr">
        <is>
          <t>safer alternatives exist; weaker caution/review stacks suppressed</t>
        </is>
      </c>
      <c r="J10" s="181" t="n">
        <v>3</v>
      </c>
      <c r="K10" s="181" t="n"/>
      <c r="L10" s="181" t="n"/>
      <c r="M10" s="181" t="n"/>
      <c r="N10" s="181" t="n"/>
      <c r="O10" s="181" t="n"/>
      <c r="P10" s="181" t="n"/>
    </row>
    <row r="11">
      <c r="A11" s="181" t="inlineStr">
        <is>
          <t>Mood</t>
        </is>
      </c>
      <c r="B11" s="181" t="n">
        <v>2</v>
      </c>
      <c r="C11" s="181" t="inlineStr">
        <is>
          <t>2-stack</t>
        </is>
      </c>
      <c r="D11" s="181" t="inlineStr">
        <is>
          <t>safe</t>
        </is>
      </c>
      <c r="E11" s="181" t="n">
        <v>23</v>
      </c>
      <c r="F11" s="181" t="inlineStr">
        <is>
          <t>Rhodiola Rosea</t>
        </is>
      </c>
      <c r="G11" s="181" t="inlineStr">
        <is>
          <t>Holy Basil</t>
        </is>
      </c>
      <c r="H11" s="181" t="n"/>
      <c r="I11" s="181" t="inlineStr">
        <is>
          <t>safer alternatives exist; weaker caution/review stacks suppressed</t>
        </is>
      </c>
      <c r="J11" s="181" t="n">
        <v>3</v>
      </c>
      <c r="K11" s="181" t="n"/>
      <c r="L11" s="181" t="n"/>
      <c r="M11" s="181" t="n"/>
      <c r="N11" s="181" t="n"/>
      <c r="O11" s="181" t="n"/>
      <c r="P11" s="181" t="n"/>
    </row>
    <row r="12">
      <c r="A12" s="181" t="inlineStr">
        <is>
          <t>Mood</t>
        </is>
      </c>
      <c r="B12" s="181" t="n">
        <v>1</v>
      </c>
      <c r="C12" s="181" t="inlineStr">
        <is>
          <t>3-stack</t>
        </is>
      </c>
      <c r="D12" s="181" t="inlineStr">
        <is>
          <t>caution</t>
        </is>
      </c>
      <c r="E12" s="181" t="n">
        <v>34.75</v>
      </c>
      <c r="F12" s="181" t="inlineStr">
        <is>
          <t>Rhodiola Rosea</t>
        </is>
      </c>
      <c r="G12" s="181" t="inlineStr">
        <is>
          <t>Milk Thistle</t>
        </is>
      </c>
      <c r="H12" s="181" t="inlineStr">
        <is>
          <t>Ashwagandha</t>
        </is>
      </c>
      <c r="I12" s="181" t="inlineStr">
        <is>
          <t>no safe stacks available; best caution stacks retained</t>
        </is>
      </c>
      <c r="J12" s="181" t="n">
        <v>5</v>
      </c>
      <c r="K12" s="181" t="n"/>
      <c r="L12" s="181" t="n"/>
      <c r="M12" s="181" t="n"/>
      <c r="N12" s="181" t="n"/>
      <c r="O12" s="181" t="n"/>
      <c r="P12" s="181" t="n"/>
    </row>
    <row r="13">
      <c r="A13" s="181" t="inlineStr">
        <is>
          <t>Mood</t>
        </is>
      </c>
      <c r="B13" s="181" t="n">
        <v>2</v>
      </c>
      <c r="C13" s="181" t="inlineStr">
        <is>
          <t>3-stack</t>
        </is>
      </c>
      <c r="D13" s="181" t="inlineStr">
        <is>
          <t>caution</t>
        </is>
      </c>
      <c r="E13" s="181" t="n">
        <v>32.25</v>
      </c>
      <c r="F13" s="181" t="inlineStr">
        <is>
          <t>Rhodiola Rosea</t>
        </is>
      </c>
      <c r="G13" s="181" t="inlineStr">
        <is>
          <t>Milk Thistle</t>
        </is>
      </c>
      <c r="H13" s="181" t="inlineStr">
        <is>
          <t>Turmeric</t>
        </is>
      </c>
      <c r="I13" s="181" t="inlineStr">
        <is>
          <t>no safe stacks available; best caution stacks retained</t>
        </is>
      </c>
      <c r="J13" s="181" t="n">
        <v>5</v>
      </c>
      <c r="K13" s="181" t="n"/>
      <c r="L13" s="181" t="n"/>
      <c r="M13" s="181" t="n"/>
      <c r="N13" s="181" t="n"/>
      <c r="O13" s="181" t="n"/>
      <c r="P13" s="181" t="n"/>
    </row>
    <row r="14">
      <c r="A14" s="181" t="inlineStr">
        <is>
          <t>Mood</t>
        </is>
      </c>
      <c r="B14" s="181" t="n">
        <v>3</v>
      </c>
      <c r="C14" s="181" t="inlineStr">
        <is>
          <t>3-stack</t>
        </is>
      </c>
      <c r="D14" s="181" t="inlineStr">
        <is>
          <t>caution</t>
        </is>
      </c>
      <c r="E14" s="181" t="n">
        <v>31.5</v>
      </c>
      <c r="F14" s="181" t="inlineStr">
        <is>
          <t>Rhodiola Rosea</t>
        </is>
      </c>
      <c r="G14" s="181" t="inlineStr">
        <is>
          <t>Milk Thistle</t>
        </is>
      </c>
      <c r="H14" s="181" t="inlineStr">
        <is>
          <t>Garlic</t>
        </is>
      </c>
      <c r="I14" s="181" t="inlineStr">
        <is>
          <t>no safe stacks available; best caution stacks retained</t>
        </is>
      </c>
      <c r="J14" s="181" t="n">
        <v>5</v>
      </c>
      <c r="K14" s="181" t="n"/>
      <c r="L14" s="181" t="n"/>
      <c r="M14" s="181" t="n"/>
      <c r="N14" s="181" t="n"/>
      <c r="O14" s="181" t="n"/>
      <c r="P14" s="181" t="n"/>
    </row>
    <row r="15">
      <c r="A15" s="181" t="inlineStr">
        <is>
          <t>Liver</t>
        </is>
      </c>
      <c r="B15" s="181" t="n">
        <v>1</v>
      </c>
      <c r="C15" s="181" t="inlineStr">
        <is>
          <t>2-stack</t>
        </is>
      </c>
      <c r="D15" s="181" t="inlineStr">
        <is>
          <t>caution</t>
        </is>
      </c>
      <c r="E15" s="181" t="n">
        <v>24.5</v>
      </c>
      <c r="F15" s="181" t="inlineStr">
        <is>
          <t>Milk Thistle</t>
        </is>
      </c>
      <c r="G15" s="181" t="inlineStr">
        <is>
          <t>Turmeric</t>
        </is>
      </c>
      <c r="H15" s="181" t="n"/>
      <c r="I15" s="181" t="inlineStr">
        <is>
          <t>no safe stacks available; best caution stacks retained</t>
        </is>
      </c>
      <c r="J15" s="181" t="n">
        <v>2</v>
      </c>
      <c r="K15" s="181" t="n"/>
      <c r="L15" s="181" t="n"/>
      <c r="M15" s="181" t="n"/>
      <c r="N15" s="181" t="n"/>
      <c r="O15" s="181" t="n"/>
      <c r="P15" s="181" t="n"/>
    </row>
    <row r="16">
      <c r="A16" s="181" t="inlineStr">
        <is>
          <t>Liver</t>
        </is>
      </c>
      <c r="B16" s="181" t="n">
        <v>2</v>
      </c>
      <c r="C16" s="181" t="inlineStr">
        <is>
          <t>2-stack</t>
        </is>
      </c>
      <c r="D16" s="181" t="inlineStr">
        <is>
          <t>caution</t>
        </is>
      </c>
      <c r="E16" s="181" t="n">
        <v>23.75</v>
      </c>
      <c r="F16" s="181" t="inlineStr">
        <is>
          <t>Milk Thistle</t>
        </is>
      </c>
      <c r="G16" s="181" t="inlineStr">
        <is>
          <t>Garlic</t>
        </is>
      </c>
      <c r="H16" s="181" t="n"/>
      <c r="I16" s="181" t="inlineStr">
        <is>
          <t>no safe stacks available; best caution stacks retained</t>
        </is>
      </c>
      <c r="J16" s="181" t="n">
        <v>2</v>
      </c>
      <c r="K16" s="181" t="n"/>
      <c r="L16" s="181" t="n"/>
      <c r="M16" s="181" t="n"/>
      <c r="N16" s="181" t="n"/>
      <c r="O16" s="181" t="n"/>
      <c r="P16" s="181" t="n"/>
    </row>
    <row r="17">
      <c r="A17" s="181" t="inlineStr">
        <is>
          <t>Liver</t>
        </is>
      </c>
      <c r="B17" s="181" t="n">
        <v>3</v>
      </c>
      <c r="C17" s="181" t="inlineStr">
        <is>
          <t>2-stack</t>
        </is>
      </c>
      <c r="D17" s="181" t="inlineStr">
        <is>
          <t>caution</t>
        </is>
      </c>
      <c r="E17" s="181" t="n">
        <v>21</v>
      </c>
      <c r="F17" s="181" t="inlineStr">
        <is>
          <t>Milk Thistle</t>
        </is>
      </c>
      <c r="G17" s="181" t="inlineStr">
        <is>
          <t>Ashwagandha</t>
        </is>
      </c>
      <c r="H17" s="181" t="n"/>
      <c r="I17" s="181" t="inlineStr">
        <is>
          <t>no safe stacks available; best caution stacks retained</t>
        </is>
      </c>
      <c r="J17" s="181" t="n">
        <v>2</v>
      </c>
      <c r="K17" s="181" t="n"/>
      <c r="L17" s="181" t="n"/>
      <c r="M17" s="181" t="n"/>
      <c r="N17" s="181" t="n"/>
      <c r="O17" s="181" t="n"/>
      <c r="P17" s="181" t="n"/>
    </row>
    <row r="18">
      <c r="A18" s="181" t="inlineStr">
        <is>
          <t>Liver</t>
        </is>
      </c>
      <c r="B18" s="181" t="n">
        <v>1</v>
      </c>
      <c r="C18" s="181" t="inlineStr">
        <is>
          <t>3-stack</t>
        </is>
      </c>
      <c r="D18" s="181" t="inlineStr">
        <is>
          <t>caution</t>
        </is>
      </c>
      <c r="E18" s="181" t="n">
        <v>35.5</v>
      </c>
      <c r="F18" s="181" t="inlineStr">
        <is>
          <t>Milk Thistle</t>
        </is>
      </c>
      <c r="G18" s="181" t="inlineStr">
        <is>
          <t>Rhodiola Rosea</t>
        </is>
      </c>
      <c r="H18" s="181" t="inlineStr">
        <is>
          <t>Turmeric</t>
        </is>
      </c>
      <c r="I18" s="181" t="inlineStr">
        <is>
          <t>no safe stacks available; best caution stacks retained</t>
        </is>
      </c>
      <c r="J18" s="181" t="n">
        <v>4</v>
      </c>
      <c r="K18" s="181" t="n"/>
      <c r="L18" s="181" t="n"/>
      <c r="M18" s="181" t="n"/>
      <c r="N18" s="181" t="n"/>
      <c r="O18" s="181" t="n"/>
      <c r="P18" s="181" t="n"/>
    </row>
    <row r="19">
      <c r="A19" s="181" t="inlineStr">
        <is>
          <t>Liver</t>
        </is>
      </c>
      <c r="B19" s="181" t="n">
        <v>2</v>
      </c>
      <c r="C19" s="181" t="inlineStr">
        <is>
          <t>3-stack</t>
        </is>
      </c>
      <c r="D19" s="181" t="inlineStr">
        <is>
          <t>caution</t>
        </is>
      </c>
      <c r="E19" s="181" t="n">
        <v>34.75</v>
      </c>
      <c r="F19" s="181" t="inlineStr">
        <is>
          <t>Milk Thistle</t>
        </is>
      </c>
      <c r="G19" s="181" t="inlineStr">
        <is>
          <t>Rhodiola Rosea</t>
        </is>
      </c>
      <c r="H19" s="181" t="inlineStr">
        <is>
          <t>Garlic</t>
        </is>
      </c>
      <c r="I19" s="181" t="inlineStr">
        <is>
          <t>no safe stacks available; best caution stacks retained</t>
        </is>
      </c>
      <c r="J19" s="181" t="n">
        <v>4</v>
      </c>
      <c r="K19" s="181" t="n"/>
      <c r="L19" s="181" t="n"/>
      <c r="M19" s="181" t="n"/>
      <c r="N19" s="181" t="n"/>
      <c r="O19" s="181" t="n"/>
      <c r="P19" s="181" t="n"/>
    </row>
    <row r="20">
      <c r="A20" s="181" t="inlineStr">
        <is>
          <t>Liver</t>
        </is>
      </c>
      <c r="B20" s="181" t="n">
        <v>3</v>
      </c>
      <c r="C20" s="181" t="inlineStr">
        <is>
          <t>3-stack</t>
        </is>
      </c>
      <c r="D20" s="181" t="inlineStr">
        <is>
          <t>caution</t>
        </is>
      </c>
      <c r="E20" s="181" t="n">
        <v>32</v>
      </c>
      <c r="F20" s="181" t="inlineStr">
        <is>
          <t>Milk Thistle</t>
        </is>
      </c>
      <c r="G20" s="181" t="inlineStr">
        <is>
          <t>Rhodiola Rosea</t>
        </is>
      </c>
      <c r="H20" s="181" t="inlineStr">
        <is>
          <t>Ashwagandha</t>
        </is>
      </c>
      <c r="I20" s="181" t="inlineStr">
        <is>
          <t>no safe stacks available; best caution stacks retained</t>
        </is>
      </c>
      <c r="J20" s="181" t="n">
        <v>4</v>
      </c>
      <c r="K20" s="181" t="n"/>
      <c r="L20" s="181" t="n"/>
      <c r="M20" s="181" t="n"/>
      <c r="N20" s="181" t="n"/>
      <c r="O20" s="181" t="n"/>
      <c r="P20" s="181" t="n"/>
    </row>
    <row r="21">
      <c r="A21" s="181" t="n"/>
      <c r="B21" s="181" t="n"/>
      <c r="C21" s="181" t="n"/>
      <c r="D21" s="181" t="n"/>
      <c r="E21" s="181" t="n"/>
      <c r="F21" s="181" t="n"/>
      <c r="G21" s="181" t="n"/>
      <c r="H21" s="181" t="n"/>
      <c r="I21" s="181" t="n"/>
      <c r="J21" s="181" t="n"/>
      <c r="K21" s="181" t="n"/>
      <c r="L21" s="181" t="n"/>
      <c r="M21" s="181" t="n"/>
      <c r="N21" s="181" t="n"/>
      <c r="O21" s="181" t="n"/>
      <c r="P21" s="181" t="n"/>
    </row>
    <row r="22">
      <c r="A22" s="181" t="n"/>
      <c r="B22" s="181" t="n"/>
      <c r="C22" s="181" t="n"/>
      <c r="D22" s="181" t="n"/>
      <c r="E22" s="181" t="n"/>
      <c r="F22" s="181" t="n"/>
      <c r="G22" s="181" t="n"/>
      <c r="H22" s="181" t="n"/>
      <c r="I22" s="181" t="n"/>
      <c r="J22" s="181" t="n"/>
      <c r="K22" s="181" t="n"/>
      <c r="L22" s="181" t="n"/>
      <c r="M22" s="181" t="n"/>
      <c r="N22" s="181" t="n"/>
      <c r="O22" s="181" t="n"/>
      <c r="P22" s="181" t="n"/>
    </row>
    <row r="23">
      <c r="A23" s="181" t="n"/>
      <c r="B23" s="181" t="n"/>
      <c r="C23" s="181" t="n"/>
      <c r="D23" s="181" t="n"/>
      <c r="E23" s="181" t="n"/>
      <c r="F23" s="181" t="n"/>
      <c r="G23" s="181" t="n"/>
      <c r="H23" s="181" t="n"/>
      <c r="I23" s="181" t="n"/>
      <c r="J23" s="181" t="n"/>
      <c r="K23" s="181" t="n"/>
      <c r="L23" s="181" t="n"/>
      <c r="M23" s="181" t="n"/>
      <c r="N23" s="181" t="n"/>
      <c r="O23" s="181" t="n"/>
      <c r="P23" s="181" t="n"/>
    </row>
    <row r="24">
      <c r="A24" s="181" t="n"/>
      <c r="B24" s="181" t="n"/>
      <c r="C24" s="181" t="n"/>
      <c r="D24" s="181" t="n"/>
      <c r="E24" s="181" t="n"/>
      <c r="F24" s="181" t="n"/>
      <c r="G24" s="181" t="n"/>
      <c r="H24" s="181" t="n"/>
      <c r="I24" s="181" t="n"/>
      <c r="J24" s="181" t="n"/>
      <c r="K24" s="181" t="n"/>
      <c r="L24" s="181" t="n"/>
      <c r="M24" s="181" t="n"/>
      <c r="N24" s="181" t="n"/>
      <c r="O24" s="181" t="n"/>
      <c r="P24" s="181" t="n"/>
    </row>
    <row r="25">
      <c r="A25" s="181" t="n"/>
      <c r="B25" s="181" t="n"/>
      <c r="C25" s="181" t="n"/>
      <c r="D25" s="181" t="n"/>
      <c r="E25" s="181" t="n"/>
      <c r="F25" s="181" t="n"/>
      <c r="G25" s="181" t="n"/>
      <c r="H25" s="181" t="n"/>
      <c r="I25" s="181" t="n"/>
      <c r="J25" s="181" t="n"/>
      <c r="K25" s="181" t="n"/>
      <c r="L25" s="181" t="n"/>
      <c r="M25" s="181" t="n"/>
      <c r="N25" s="181" t="n"/>
      <c r="O25" s="181" t="n"/>
      <c r="P25" s="181" t="n"/>
    </row>
    <row r="26">
      <c r="A26" s="181" t="n"/>
      <c r="B26" s="181" t="n"/>
      <c r="C26" s="181" t="n"/>
      <c r="D26" s="181" t="n"/>
      <c r="E26" s="181" t="n"/>
      <c r="F26" s="181" t="n"/>
      <c r="G26" s="181" t="n"/>
      <c r="H26" s="181" t="n"/>
      <c r="I26" s="181" t="n"/>
      <c r="J26" s="181" t="n"/>
      <c r="K26" s="181" t="n"/>
      <c r="L26" s="181" t="n"/>
      <c r="M26" s="181" t="n"/>
      <c r="N26" s="181" t="n"/>
      <c r="O26" s="181" t="n"/>
      <c r="P26" s="181" t="n"/>
    </row>
    <row r="27">
      <c r="A27" s="181" t="n"/>
      <c r="B27" s="181" t="n"/>
      <c r="C27" s="181" t="n"/>
      <c r="D27" s="181" t="n"/>
      <c r="E27" s="181" t="n"/>
      <c r="F27" s="181" t="n"/>
      <c r="G27" s="181" t="n"/>
      <c r="H27" s="181" t="n"/>
      <c r="I27" s="181" t="n"/>
      <c r="J27" s="181" t="n"/>
      <c r="K27" s="181" t="n"/>
      <c r="L27" s="181" t="n"/>
      <c r="M27" s="181" t="n"/>
      <c r="N27" s="181" t="n"/>
      <c r="O27" s="181" t="n"/>
      <c r="P27" s="181" t="n"/>
    </row>
    <row r="28">
      <c r="A28" s="181" t="n"/>
      <c r="B28" s="181" t="n"/>
      <c r="C28" s="181" t="n"/>
      <c r="D28" s="181" t="n"/>
      <c r="E28" s="181" t="n"/>
      <c r="F28" s="181" t="n"/>
      <c r="G28" s="181" t="n"/>
      <c r="H28" s="181" t="n"/>
      <c r="I28" s="181" t="n"/>
      <c r="J28" s="181" t="n"/>
      <c r="K28" s="181" t="n"/>
      <c r="L28" s="181" t="n"/>
      <c r="M28" s="181" t="n"/>
      <c r="N28" s="181" t="n"/>
      <c r="O28" s="181" t="n"/>
      <c r="P28" s="181" t="n"/>
    </row>
    <row r="29">
      <c r="A29" s="181" t="n"/>
      <c r="B29" s="181" t="n"/>
      <c r="C29" s="181" t="n"/>
      <c r="D29" s="181" t="n"/>
      <c r="E29" s="181" t="n"/>
      <c r="F29" s="181" t="n"/>
      <c r="G29" s="181" t="n"/>
      <c r="H29" s="181" t="n"/>
      <c r="I29" s="181" t="n"/>
      <c r="J29" s="181" t="n"/>
      <c r="K29" s="181" t="n"/>
      <c r="L29" s="181" t="n"/>
      <c r="M29" s="181" t="n"/>
      <c r="N29" s="181" t="n"/>
      <c r="O29" s="181" t="n"/>
      <c r="P29" s="181" t="n"/>
    </row>
    <row r="30">
      <c r="A30" s="181" t="n"/>
      <c r="B30" s="181" t="n"/>
      <c r="C30" s="181" t="n"/>
      <c r="D30" s="181" t="n"/>
      <c r="E30" s="181" t="n"/>
      <c r="F30" s="181" t="n"/>
      <c r="G30" s="181" t="n"/>
      <c r="H30" s="181" t="n"/>
      <c r="I30" s="181" t="n"/>
      <c r="J30" s="181" t="n"/>
      <c r="K30" s="181" t="n"/>
      <c r="L30" s="181" t="n"/>
      <c r="M30" s="181" t="n"/>
      <c r="N30" s="181" t="n"/>
      <c r="O30" s="181" t="n"/>
      <c r="P30" s="181" t="n"/>
    </row>
    <row r="31">
      <c r="A31" s="181" t="n"/>
      <c r="B31" s="181" t="n"/>
      <c r="C31" s="181" t="n"/>
      <c r="D31" s="181" t="n"/>
      <c r="E31" s="181" t="n"/>
      <c r="F31" s="181" t="n"/>
      <c r="G31" s="181" t="n"/>
      <c r="H31" s="181" t="n"/>
      <c r="I31" s="181" t="n"/>
      <c r="J31" s="181" t="n"/>
      <c r="K31" s="181" t="n"/>
      <c r="L31" s="181" t="n"/>
      <c r="M31" s="181" t="n"/>
      <c r="N31" s="181" t="n"/>
      <c r="O31" s="181" t="n"/>
      <c r="P31" s="181" t="n"/>
    </row>
    <row r="32">
      <c r="A32" s="181" t="n"/>
      <c r="B32" s="181" t="n"/>
      <c r="C32" s="181" t="n"/>
      <c r="D32" s="181" t="n"/>
      <c r="E32" s="181" t="n"/>
      <c r="F32" s="181" t="n"/>
      <c r="G32" s="181" t="n"/>
      <c r="H32" s="181" t="n"/>
      <c r="I32" s="181" t="n"/>
      <c r="J32" s="181" t="n"/>
      <c r="K32" s="181" t="n"/>
      <c r="L32" s="181" t="n"/>
      <c r="M32" s="181" t="n"/>
      <c r="N32" s="181" t="n"/>
      <c r="O32" s="181" t="n"/>
      <c r="P32" s="181" t="n"/>
    </row>
    <row r="33">
      <c r="A33" s="181" t="n"/>
      <c r="B33" s="181" t="n"/>
      <c r="C33" s="181" t="n"/>
      <c r="D33" s="181" t="n"/>
      <c r="E33" s="181" t="n"/>
      <c r="F33" s="181" t="n"/>
      <c r="G33" s="181" t="n"/>
      <c r="H33" s="181" t="n"/>
      <c r="I33" s="181" t="n"/>
      <c r="J33" s="181" t="n"/>
      <c r="K33" s="181" t="n"/>
      <c r="L33" s="181" t="n"/>
      <c r="M33" s="181" t="n"/>
      <c r="N33" s="181" t="n"/>
      <c r="O33" s="181" t="n"/>
      <c r="P33" s="181" t="n"/>
    </row>
    <row r="34">
      <c r="A34" s="181" t="n"/>
      <c r="B34" s="181" t="n"/>
      <c r="C34" s="181" t="n"/>
      <c r="D34" s="181" t="n"/>
      <c r="E34" s="181" t="n"/>
      <c r="F34" s="181" t="n"/>
      <c r="G34" s="181" t="n"/>
      <c r="H34" s="181" t="n"/>
      <c r="I34" s="181" t="n"/>
      <c r="J34" s="181" t="n"/>
      <c r="K34" s="181" t="n"/>
      <c r="L34" s="181" t="n"/>
      <c r="M34" s="181" t="n"/>
      <c r="N34" s="181" t="n"/>
      <c r="O34" s="181" t="n"/>
      <c r="P34" s="181" t="n"/>
    </row>
    <row r="35">
      <c r="A35" s="181" t="n"/>
      <c r="B35" s="181" t="n"/>
      <c r="C35" s="181" t="n"/>
      <c r="D35" s="181" t="n"/>
      <c r="E35" s="181" t="n"/>
      <c r="F35" s="181" t="n"/>
      <c r="G35" s="181" t="n"/>
      <c r="H35" s="181" t="n"/>
      <c r="I35" s="181" t="n"/>
      <c r="J35" s="181" t="n"/>
      <c r="K35" s="181" t="n"/>
      <c r="L35" s="181" t="n"/>
      <c r="M35" s="181" t="n"/>
      <c r="N35" s="181" t="n"/>
      <c r="O35" s="181" t="n"/>
      <c r="P35" s="181" t="n"/>
    </row>
    <row r="36">
      <c r="A36" s="181" t="n"/>
      <c r="B36" s="181" t="n"/>
      <c r="C36" s="181" t="n"/>
      <c r="D36" s="181" t="n"/>
      <c r="E36" s="181" t="n"/>
      <c r="F36" s="181" t="n"/>
      <c r="G36" s="181" t="n"/>
      <c r="H36" s="181" t="n"/>
      <c r="I36" s="181" t="n"/>
      <c r="J36" s="181" t="n"/>
      <c r="K36" s="181" t="n"/>
      <c r="L36" s="181" t="n"/>
      <c r="M36" s="181" t="n"/>
      <c r="N36" s="181" t="n"/>
      <c r="O36" s="181" t="n"/>
      <c r="P36" s="181" t="n"/>
    </row>
    <row r="37">
      <c r="A37" s="181" t="n"/>
      <c r="B37" s="181" t="n"/>
      <c r="C37" s="181" t="n"/>
      <c r="D37" s="181" t="n"/>
      <c r="E37" s="181" t="n"/>
      <c r="F37" s="181" t="n"/>
      <c r="G37" s="181" t="n"/>
      <c r="H37" s="181" t="n"/>
      <c r="I37" s="181" t="n"/>
      <c r="J37" s="181" t="n"/>
      <c r="K37" s="181" t="n"/>
      <c r="L37" s="181" t="n"/>
      <c r="M37" s="181" t="n"/>
      <c r="N37" s="181" t="n"/>
      <c r="O37" s="181" t="n"/>
      <c r="P37" s="181" t="n"/>
    </row>
    <row r="38">
      <c r="A38" s="181" t="n"/>
      <c r="B38" s="181" t="n"/>
      <c r="C38" s="181" t="n"/>
      <c r="D38" s="181" t="n"/>
      <c r="E38" s="181" t="n"/>
      <c r="F38" s="181" t="n"/>
      <c r="G38" s="181" t="n"/>
      <c r="H38" s="181" t="n"/>
      <c r="I38" s="181" t="n"/>
      <c r="J38" s="181" t="n"/>
      <c r="K38" s="181" t="n"/>
      <c r="L38" s="181" t="n"/>
      <c r="M38" s="181" t="n"/>
      <c r="N38" s="181" t="n"/>
      <c r="O38" s="181" t="n"/>
      <c r="P38" s="181" t="n"/>
    </row>
    <row r="39">
      <c r="A39" s="181" t="n"/>
      <c r="B39" s="181" t="n"/>
      <c r="C39" s="181" t="n"/>
      <c r="D39" s="181" t="n"/>
      <c r="E39" s="181" t="n"/>
      <c r="F39" s="181" t="n"/>
      <c r="G39" s="181" t="n"/>
      <c r="H39" s="181" t="n"/>
      <c r="I39" s="181" t="n"/>
      <c r="J39" s="181" t="n"/>
      <c r="K39" s="181" t="n"/>
      <c r="L39" s="181" t="n"/>
      <c r="M39" s="181" t="n"/>
      <c r="N39" s="181" t="n"/>
      <c r="O39" s="181" t="n"/>
      <c r="P39" s="181" t="n"/>
    </row>
    <row r="40">
      <c r="A40" s="181" t="n"/>
      <c r="B40" s="181" t="n"/>
      <c r="C40" s="181" t="n"/>
      <c r="D40" s="181" t="n"/>
      <c r="E40" s="181" t="n"/>
      <c r="F40" s="181" t="n"/>
      <c r="G40" s="181" t="n"/>
      <c r="H40" s="181" t="n"/>
      <c r="I40" s="181" t="n"/>
      <c r="J40" s="181" t="n"/>
      <c r="K40" s="181" t="n"/>
      <c r="L40" s="181" t="n"/>
      <c r="M40" s="181" t="n"/>
      <c r="N40" s="181" t="n"/>
      <c r="O40" s="181" t="n"/>
      <c r="P40" s="181" t="n"/>
    </row>
    <row r="41">
      <c r="A41" s="181" t="n"/>
      <c r="B41" s="181" t="n"/>
      <c r="C41" s="181" t="n"/>
      <c r="D41" s="181" t="n"/>
      <c r="E41" s="181" t="n"/>
      <c r="F41" s="181" t="n"/>
      <c r="G41" s="181" t="n"/>
      <c r="H41" s="181" t="n"/>
      <c r="I41" s="181" t="n"/>
      <c r="J41" s="181" t="n"/>
      <c r="K41" s="181" t="n"/>
      <c r="L41" s="181" t="n"/>
      <c r="M41" s="181" t="n"/>
      <c r="N41" s="181" t="n"/>
      <c r="O41" s="181" t="n"/>
      <c r="P41" s="181" t="n"/>
    </row>
    <row r="42">
      <c r="A42" s="181" t="n"/>
      <c r="B42" s="181" t="n"/>
      <c r="C42" s="181" t="n"/>
      <c r="D42" s="181" t="n"/>
      <c r="E42" s="181" t="n"/>
      <c r="F42" s="181" t="n"/>
      <c r="G42" s="181" t="n"/>
      <c r="H42" s="181" t="n"/>
      <c r="I42" s="181" t="n"/>
      <c r="J42" s="181" t="n"/>
      <c r="K42" s="181" t="n"/>
      <c r="L42" s="181" t="n"/>
      <c r="M42" s="181" t="n"/>
      <c r="N42" s="181" t="n"/>
      <c r="O42" s="181" t="n"/>
      <c r="P42" s="181" t="n"/>
    </row>
    <row r="43">
      <c r="A43" s="181" t="n"/>
      <c r="B43" s="181" t="n"/>
      <c r="C43" s="181" t="n"/>
      <c r="D43" s="181" t="n"/>
      <c r="E43" s="181" t="n"/>
      <c r="F43" s="181" t="n"/>
      <c r="G43" s="181" t="n"/>
      <c r="H43" s="181" t="n"/>
      <c r="I43" s="181" t="n"/>
      <c r="J43" s="181" t="n"/>
      <c r="K43" s="181" t="n"/>
      <c r="L43" s="181" t="n"/>
      <c r="M43" s="181" t="n"/>
      <c r="N43" s="181" t="n"/>
      <c r="O43" s="181" t="n"/>
      <c r="P43" s="181" t="n"/>
    </row>
    <row r="44">
      <c r="A44" s="181" t="n"/>
      <c r="B44" s="181" t="n"/>
      <c r="C44" s="181" t="n"/>
      <c r="D44" s="181" t="n"/>
      <c r="E44" s="181" t="n"/>
      <c r="F44" s="181" t="n"/>
      <c r="G44" s="181" t="n"/>
      <c r="H44" s="181" t="n"/>
      <c r="I44" s="181" t="n"/>
      <c r="J44" s="181" t="n"/>
      <c r="K44" s="181" t="n"/>
      <c r="L44" s="181" t="n"/>
      <c r="M44" s="181" t="n"/>
      <c r="N44" s="181" t="n"/>
      <c r="O44" s="181" t="n"/>
      <c r="P44" s="181" t="n"/>
    </row>
    <row r="45">
      <c r="A45" s="181" t="n"/>
      <c r="B45" s="181" t="n"/>
      <c r="C45" s="181" t="n"/>
      <c r="D45" s="181" t="n"/>
      <c r="E45" s="181" t="n"/>
      <c r="F45" s="181" t="n"/>
      <c r="G45" s="181" t="n"/>
      <c r="H45" s="181" t="n"/>
      <c r="I45" s="181" t="n"/>
      <c r="J45" s="181" t="n"/>
      <c r="K45" s="181" t="n"/>
      <c r="L45" s="181" t="n"/>
      <c r="M45" s="181" t="n"/>
      <c r="N45" s="181" t="n"/>
      <c r="O45" s="181" t="n"/>
      <c r="P45" s="181" t="n"/>
    </row>
    <row r="46">
      <c r="A46" s="181" t="n"/>
      <c r="B46" s="181" t="n"/>
      <c r="C46" s="181" t="n"/>
      <c r="D46" s="181" t="n"/>
      <c r="E46" s="181" t="n"/>
      <c r="F46" s="181" t="n"/>
      <c r="G46" s="181" t="n"/>
      <c r="H46" s="181" t="n"/>
      <c r="I46" s="181" t="n"/>
      <c r="J46" s="181" t="n"/>
      <c r="K46" s="181" t="n"/>
      <c r="L46" s="181" t="n"/>
      <c r="M46" s="181" t="n"/>
      <c r="N46" s="181" t="n"/>
      <c r="O46" s="181" t="n"/>
      <c r="P46" s="181" t="n"/>
    </row>
    <row r="47">
      <c r="A47" s="181" t="n"/>
      <c r="B47" s="181" t="n"/>
      <c r="C47" s="181" t="n"/>
      <c r="D47" s="181" t="n"/>
      <c r="E47" s="181" t="n"/>
      <c r="F47" s="181" t="n"/>
      <c r="G47" s="181" t="n"/>
      <c r="H47" s="181" t="n"/>
      <c r="I47" s="181" t="n"/>
      <c r="J47" s="181" t="n"/>
      <c r="K47" s="181" t="n"/>
      <c r="L47" s="181" t="n"/>
      <c r="M47" s="181" t="n"/>
      <c r="N47" s="181" t="n"/>
      <c r="O47" s="181" t="n"/>
      <c r="P47" s="181" t="n"/>
    </row>
    <row r="48">
      <c r="A48" s="181" t="n"/>
      <c r="B48" s="181" t="n"/>
      <c r="C48" s="181" t="n"/>
      <c r="D48" s="181" t="n"/>
      <c r="E48" s="181" t="n"/>
      <c r="F48" s="181" t="n"/>
      <c r="G48" s="181" t="n"/>
      <c r="H48" s="181" t="n"/>
      <c r="I48" s="181" t="n"/>
      <c r="J48" s="181" t="n"/>
      <c r="K48" s="181" t="n"/>
      <c r="L48" s="181" t="n"/>
      <c r="M48" s="181" t="n"/>
      <c r="N48" s="181" t="n"/>
      <c r="O48" s="181" t="n"/>
      <c r="P48" s="181" t="n"/>
    </row>
    <row r="49">
      <c r="A49" s="181" t="n"/>
      <c r="B49" s="181" t="n"/>
      <c r="C49" s="181" t="n"/>
      <c r="D49" s="181" t="n"/>
      <c r="E49" s="181" t="n"/>
      <c r="F49" s="181" t="n"/>
      <c r="G49" s="181" t="n"/>
      <c r="H49" s="181" t="n"/>
      <c r="I49" s="181" t="n"/>
      <c r="J49" s="181" t="n"/>
      <c r="K49" s="181" t="n"/>
      <c r="L49" s="181" t="n"/>
      <c r="M49" s="181" t="n"/>
      <c r="N49" s="181" t="n"/>
      <c r="O49" s="181" t="n"/>
      <c r="P49" s="181" t="n"/>
    </row>
    <row r="50">
      <c r="A50" s="181" t="n"/>
      <c r="B50" s="181" t="n"/>
      <c r="C50" s="181" t="n"/>
      <c r="D50" s="181" t="n"/>
      <c r="E50" s="181" t="n"/>
      <c r="F50" s="181" t="n"/>
      <c r="G50" s="181" t="n"/>
      <c r="H50" s="181" t="n"/>
      <c r="I50" s="181" t="n"/>
      <c r="J50" s="181" t="n"/>
      <c r="K50" s="181" t="n"/>
      <c r="L50" s="181" t="n"/>
      <c r="M50" s="181" t="n"/>
      <c r="N50" s="181" t="n"/>
      <c r="O50" s="181" t="n"/>
      <c r="P50" s="181" t="n"/>
    </row>
    <row r="51">
      <c r="A51" s="181" t="n"/>
      <c r="B51" s="181" t="n"/>
      <c r="C51" s="181" t="n"/>
      <c r="D51" s="181" t="n"/>
      <c r="E51" s="181" t="n"/>
      <c r="F51" s="181" t="n"/>
      <c r="G51" s="181" t="n"/>
      <c r="H51" s="181" t="n"/>
      <c r="I51" s="181" t="n"/>
      <c r="J51" s="181" t="n"/>
      <c r="K51" s="181" t="n"/>
      <c r="L51" s="181" t="n"/>
      <c r="M51" s="181" t="n"/>
      <c r="N51" s="181" t="n"/>
      <c r="O51" s="181" t="n"/>
      <c r="P51" s="181" t="n"/>
    </row>
    <row r="52">
      <c r="A52" s="181" t="n"/>
      <c r="B52" s="181" t="n"/>
      <c r="C52" s="181" t="n"/>
      <c r="D52" s="181" t="n"/>
      <c r="E52" s="181" t="n"/>
      <c r="F52" s="181" t="n"/>
      <c r="G52" s="181" t="n"/>
      <c r="H52" s="181" t="n"/>
      <c r="I52" s="181" t="n"/>
      <c r="J52" s="181" t="n"/>
      <c r="K52" s="181" t="n"/>
      <c r="L52" s="181" t="n"/>
      <c r="M52" s="181" t="n"/>
      <c r="N52" s="181" t="n"/>
      <c r="O52" s="181" t="n"/>
      <c r="P52" s="181" t="n"/>
    </row>
    <row r="53">
      <c r="A53" s="181" t="n"/>
      <c r="B53" s="181" t="n"/>
      <c r="C53" s="181" t="n"/>
      <c r="D53" s="181" t="n"/>
      <c r="E53" s="181" t="n"/>
      <c r="F53" s="181" t="n"/>
      <c r="G53" s="181" t="n"/>
      <c r="H53" s="181" t="n"/>
      <c r="I53" s="181" t="n"/>
      <c r="J53" s="181" t="n"/>
      <c r="K53" s="181" t="n"/>
      <c r="L53" s="181" t="n"/>
      <c r="M53" s="181" t="n"/>
      <c r="N53" s="181" t="n"/>
      <c r="O53" s="181" t="n"/>
      <c r="P53" s="181" t="n"/>
    </row>
    <row r="54">
      <c r="A54" s="181" t="n"/>
      <c r="B54" s="181" t="n"/>
      <c r="C54" s="181" t="n"/>
      <c r="D54" s="181" t="n"/>
      <c r="E54" s="181" t="n"/>
      <c r="F54" s="181" t="n"/>
      <c r="G54" s="181" t="n"/>
      <c r="H54" s="181" t="n"/>
      <c r="I54" s="181" t="n"/>
      <c r="J54" s="181" t="n"/>
      <c r="K54" s="181" t="n"/>
      <c r="L54" s="181" t="n"/>
      <c r="M54" s="181" t="n"/>
      <c r="N54" s="181" t="n"/>
      <c r="O54" s="181" t="n"/>
      <c r="P54" s="181" t="n"/>
    </row>
    <row r="55">
      <c r="A55" s="181" t="n"/>
      <c r="B55" s="181" t="n"/>
      <c r="C55" s="181" t="n"/>
      <c r="D55" s="181" t="n"/>
      <c r="E55" s="181" t="n"/>
      <c r="F55" s="181" t="n"/>
      <c r="G55" s="181" t="n"/>
      <c r="H55" s="181" t="n"/>
      <c r="I55" s="181" t="n"/>
      <c r="J55" s="181" t="n"/>
      <c r="K55" s="181" t="n"/>
      <c r="L55" s="181" t="n"/>
      <c r="M55" s="181" t="n"/>
      <c r="N55" s="181" t="n"/>
      <c r="O55" s="181" t="n"/>
      <c r="P55" s="181" t="n"/>
    </row>
    <row r="56">
      <c r="A56" s="181" t="n"/>
      <c r="B56" s="181" t="n"/>
      <c r="C56" s="181" t="n"/>
      <c r="D56" s="181" t="n"/>
      <c r="E56" s="181" t="n"/>
      <c r="F56" s="181" t="n"/>
      <c r="G56" s="181" t="n"/>
      <c r="H56" s="181" t="n"/>
      <c r="I56" s="181" t="n"/>
      <c r="J56" s="181" t="n"/>
      <c r="K56" s="181" t="n"/>
      <c r="L56" s="181" t="n"/>
      <c r="M56" s="181" t="n"/>
      <c r="N56" s="181" t="n"/>
      <c r="O56" s="181" t="n"/>
      <c r="P56" s="181" t="n"/>
    </row>
    <row r="57">
      <c r="A57" s="181" t="n"/>
      <c r="B57" s="181" t="n"/>
      <c r="C57" s="181" t="n"/>
      <c r="D57" s="181" t="n"/>
      <c r="E57" s="181" t="n"/>
      <c r="F57" s="181" t="n"/>
      <c r="G57" s="181" t="n"/>
      <c r="H57" s="181" t="n"/>
      <c r="I57" s="181" t="n"/>
      <c r="J57" s="181" t="n"/>
      <c r="K57" s="181" t="n"/>
      <c r="L57" s="181" t="n"/>
      <c r="M57" s="181" t="n"/>
      <c r="N57" s="181" t="n"/>
      <c r="O57" s="181" t="n"/>
      <c r="P57" s="181" t="n"/>
    </row>
    <row r="58">
      <c r="A58" s="181" t="n"/>
      <c r="B58" s="181" t="n"/>
      <c r="C58" s="181" t="n"/>
      <c r="D58" s="181" t="n"/>
      <c r="E58" s="181" t="n"/>
      <c r="F58" s="181" t="n"/>
      <c r="G58" s="181" t="n"/>
      <c r="H58" s="181" t="n"/>
      <c r="I58" s="181" t="n"/>
      <c r="J58" s="181" t="n"/>
      <c r="K58" s="181" t="n"/>
      <c r="L58" s="181" t="n"/>
      <c r="M58" s="181" t="n"/>
      <c r="N58" s="181" t="n"/>
      <c r="O58" s="181" t="n"/>
      <c r="P58" s="181" t="n"/>
    </row>
    <row r="59">
      <c r="A59" s="181" t="n"/>
      <c r="B59" s="181" t="n"/>
      <c r="C59" s="181" t="n"/>
      <c r="D59" s="181" t="n"/>
      <c r="E59" s="181" t="n"/>
      <c r="F59" s="181" t="n"/>
      <c r="G59" s="181" t="n"/>
      <c r="H59" s="181" t="n"/>
      <c r="I59" s="181" t="n"/>
      <c r="J59" s="181" t="n"/>
      <c r="K59" s="181" t="n"/>
      <c r="L59" s="181" t="n"/>
      <c r="M59" s="181" t="n"/>
      <c r="N59" s="181" t="n"/>
      <c r="O59" s="181" t="n"/>
      <c r="P59" s="181" t="n"/>
    </row>
    <row r="60">
      <c r="A60" s="181" t="n"/>
      <c r="B60" s="181" t="n"/>
      <c r="C60" s="181" t="n"/>
      <c r="D60" s="181" t="n"/>
      <c r="E60" s="181" t="n"/>
      <c r="F60" s="181" t="n"/>
      <c r="G60" s="181" t="n"/>
      <c r="H60" s="181" t="n"/>
      <c r="I60" s="181" t="n"/>
      <c r="J60" s="181" t="n"/>
      <c r="K60" s="181" t="n"/>
      <c r="L60" s="181" t="n"/>
      <c r="M60" s="181" t="n"/>
      <c r="N60" s="181" t="n"/>
      <c r="O60" s="181" t="n"/>
      <c r="P60" s="181" t="n"/>
    </row>
    <row r="61">
      <c r="A61" s="181" t="n"/>
      <c r="B61" s="181" t="n"/>
      <c r="C61" s="181" t="n"/>
      <c r="D61" s="181" t="n"/>
      <c r="E61" s="181" t="n"/>
      <c r="F61" s="181" t="n"/>
      <c r="G61" s="181" t="n"/>
      <c r="H61" s="181" t="n"/>
      <c r="I61" s="181" t="n"/>
      <c r="J61" s="181" t="n"/>
      <c r="K61" s="181" t="n"/>
      <c r="L61" s="181" t="n"/>
      <c r="M61" s="181" t="n"/>
      <c r="N61" s="181" t="n"/>
      <c r="O61" s="181" t="n"/>
      <c r="P61" s="181" t="n"/>
    </row>
    <row r="62">
      <c r="A62" s="181" t="n"/>
      <c r="B62" s="181" t="n"/>
      <c r="C62" s="181" t="n"/>
      <c r="D62" s="181" t="n"/>
      <c r="E62" s="181" t="n"/>
      <c r="F62" s="181" t="n"/>
      <c r="G62" s="181" t="n"/>
      <c r="H62" s="181" t="n"/>
      <c r="I62" s="181" t="n"/>
      <c r="J62" s="181" t="n"/>
      <c r="K62" s="181" t="n"/>
      <c r="L62" s="181" t="n"/>
      <c r="M62" s="181" t="n"/>
      <c r="N62" s="181" t="n"/>
      <c r="O62" s="181" t="n"/>
      <c r="P62" s="181" t="n"/>
    </row>
    <row r="63">
      <c r="A63" s="181" t="n"/>
      <c r="B63" s="181" t="n"/>
      <c r="C63" s="181" t="n"/>
      <c r="D63" s="181" t="n"/>
      <c r="E63" s="181" t="n"/>
      <c r="F63" s="181" t="n"/>
      <c r="G63" s="181" t="n"/>
      <c r="H63" s="181" t="n"/>
      <c r="I63" s="181" t="n"/>
      <c r="J63" s="181" t="n"/>
      <c r="K63" s="181" t="n"/>
      <c r="L63" s="181" t="n"/>
      <c r="M63" s="181" t="n"/>
      <c r="N63" s="181" t="n"/>
      <c r="O63" s="181" t="n"/>
      <c r="P63" s="181" t="n"/>
    </row>
    <row r="64">
      <c r="A64" s="181" t="n"/>
      <c r="B64" s="181" t="n"/>
      <c r="C64" s="181" t="n"/>
      <c r="D64" s="181" t="n"/>
      <c r="E64" s="181" t="n"/>
      <c r="F64" s="181" t="n"/>
      <c r="G64" s="181" t="n"/>
      <c r="H64" s="181" t="n"/>
      <c r="I64" s="181" t="n"/>
      <c r="J64" s="181" t="n"/>
      <c r="K64" s="181" t="n"/>
      <c r="L64" s="181" t="n"/>
      <c r="M64" s="181" t="n"/>
      <c r="N64" s="181" t="n"/>
      <c r="O64" s="181" t="n"/>
      <c r="P64" s="181" t="n"/>
    </row>
    <row r="65">
      <c r="A65" s="181" t="n"/>
      <c r="B65" s="181" t="n"/>
      <c r="C65" s="181" t="n"/>
      <c r="D65" s="181" t="n"/>
      <c r="E65" s="181" t="n"/>
      <c r="F65" s="181" t="n"/>
      <c r="G65" s="181" t="n"/>
      <c r="H65" s="181" t="n"/>
      <c r="I65" s="181" t="n"/>
      <c r="J65" s="181" t="n"/>
      <c r="K65" s="181" t="n"/>
      <c r="L65" s="181" t="n"/>
      <c r="M65" s="181" t="n"/>
      <c r="N65" s="181" t="n"/>
      <c r="O65" s="181" t="n"/>
      <c r="P65" s="181" t="n"/>
    </row>
    <row r="66">
      <c r="A66" s="181" t="n"/>
      <c r="B66" s="181" t="n"/>
      <c r="C66" s="181" t="n"/>
      <c r="D66" s="181" t="n"/>
      <c r="E66" s="181" t="n"/>
      <c r="F66" s="181" t="n"/>
      <c r="G66" s="181" t="n"/>
      <c r="H66" s="181" t="n"/>
      <c r="I66" s="181" t="n"/>
      <c r="J66" s="181" t="n"/>
      <c r="K66" s="181" t="n"/>
      <c r="L66" s="181" t="n"/>
      <c r="M66" s="181" t="n"/>
      <c r="N66" s="181" t="n"/>
      <c r="O66" s="181" t="n"/>
      <c r="P66" s="181" t="n"/>
    </row>
    <row r="67">
      <c r="A67" s="181" t="n"/>
      <c r="B67" s="181" t="n"/>
      <c r="C67" s="181" t="n"/>
      <c r="D67" s="181" t="n"/>
      <c r="E67" s="181" t="n"/>
      <c r="F67" s="181" t="n"/>
      <c r="G67" s="181" t="n"/>
      <c r="H67" s="181" t="n"/>
      <c r="I67" s="181" t="n"/>
      <c r="J67" s="181" t="n"/>
      <c r="K67" s="181" t="n"/>
      <c r="L67" s="181" t="n"/>
      <c r="M67" s="181" t="n"/>
      <c r="N67" s="181" t="n"/>
      <c r="O67" s="181" t="n"/>
      <c r="P67" s="181" t="n"/>
    </row>
    <row r="68">
      <c r="A68" s="181" t="n"/>
      <c r="B68" s="181" t="n"/>
      <c r="C68" s="181" t="n"/>
      <c r="D68" s="181" t="n"/>
      <c r="E68" s="181" t="n"/>
      <c r="F68" s="181" t="n"/>
      <c r="G68" s="181" t="n"/>
      <c r="H68" s="181" t="n"/>
      <c r="I68" s="181" t="n"/>
      <c r="J68" s="181" t="n"/>
      <c r="K68" s="181" t="n"/>
      <c r="L68" s="181" t="n"/>
      <c r="M68" s="181" t="n"/>
      <c r="N68" s="181" t="n"/>
      <c r="O68" s="181" t="n"/>
      <c r="P68" s="181" t="n"/>
    </row>
    <row r="69">
      <c r="A69" s="181" t="n"/>
      <c r="B69" s="181" t="n"/>
      <c r="C69" s="181" t="n"/>
      <c r="D69" s="181" t="n"/>
      <c r="E69" s="181" t="n"/>
      <c r="F69" s="181" t="n"/>
      <c r="G69" s="181" t="n"/>
      <c r="H69" s="181" t="n"/>
      <c r="I69" s="181" t="n"/>
      <c r="J69" s="181" t="n"/>
      <c r="K69" s="181" t="n"/>
      <c r="L69" s="181" t="n"/>
      <c r="M69" s="181" t="n"/>
      <c r="N69" s="181" t="n"/>
      <c r="O69" s="181" t="n"/>
      <c r="P69" s="181" t="n"/>
    </row>
    <row r="70">
      <c r="A70" s="181" t="n"/>
      <c r="B70" s="181" t="n"/>
      <c r="C70" s="181" t="n"/>
      <c r="D70" s="181" t="n"/>
      <c r="E70" s="181" t="n"/>
      <c r="F70" s="181" t="n"/>
      <c r="G70" s="181" t="n"/>
      <c r="H70" s="181" t="n"/>
      <c r="I70" s="181" t="n"/>
      <c r="J70" s="181" t="n"/>
      <c r="K70" s="181" t="n"/>
      <c r="L70" s="181" t="n"/>
      <c r="M70" s="181" t="n"/>
      <c r="N70" s="181" t="n"/>
      <c r="O70" s="181" t="n"/>
      <c r="P70" s="181" t="n"/>
    </row>
    <row r="71">
      <c r="A71" s="181" t="n"/>
      <c r="B71" s="181" t="n"/>
      <c r="C71" s="181" t="n"/>
      <c r="D71" s="181" t="n"/>
      <c r="E71" s="181" t="n"/>
      <c r="F71" s="181" t="n"/>
      <c r="G71" s="181" t="n"/>
      <c r="H71" s="181" t="n"/>
      <c r="I71" s="181" t="n"/>
      <c r="J71" s="181" t="n"/>
      <c r="K71" s="181" t="n"/>
      <c r="L71" s="181" t="n"/>
      <c r="M71" s="181" t="n"/>
      <c r="N71" s="181" t="n"/>
      <c r="O71" s="181" t="n"/>
      <c r="P71" s="181" t="n"/>
    </row>
    <row r="72">
      <c r="A72" s="181" t="n"/>
      <c r="B72" s="181" t="n"/>
      <c r="C72" s="181" t="n"/>
      <c r="D72" s="181" t="n"/>
      <c r="E72" s="181" t="n"/>
      <c r="F72" s="181" t="n"/>
      <c r="G72" s="181" t="n"/>
      <c r="H72" s="181" t="n"/>
      <c r="I72" s="181" t="n"/>
      <c r="J72" s="181" t="n"/>
      <c r="K72" s="181" t="n"/>
      <c r="L72" s="181" t="n"/>
      <c r="M72" s="181" t="n"/>
      <c r="N72" s="181" t="n"/>
      <c r="O72" s="181" t="n"/>
      <c r="P72" s="181" t="n"/>
    </row>
    <row r="73">
      <c r="A73" s="181" t="n"/>
      <c r="B73" s="181" t="n"/>
      <c r="C73" s="181" t="n"/>
      <c r="D73" s="181" t="n"/>
      <c r="E73" s="181" t="n"/>
      <c r="F73" s="181" t="n"/>
      <c r="G73" s="181" t="n"/>
      <c r="H73" s="181" t="n"/>
      <c r="I73" s="181" t="n"/>
      <c r="J73" s="181" t="n"/>
      <c r="K73" s="181" t="n"/>
      <c r="L73" s="181" t="n"/>
      <c r="M73" s="181" t="n"/>
      <c r="N73" s="181" t="n"/>
      <c r="O73" s="181" t="n"/>
      <c r="P73" s="181" t="n"/>
    </row>
    <row r="74">
      <c r="A74" s="181" t="n"/>
      <c r="B74" s="181" t="n"/>
      <c r="C74" s="181" t="n"/>
      <c r="D74" s="181" t="n"/>
      <c r="E74" s="181" t="n"/>
      <c r="F74" s="181" t="n"/>
      <c r="G74" s="181" t="n"/>
      <c r="H74" s="181" t="n"/>
      <c r="I74" s="181" t="n"/>
      <c r="J74" s="181" t="n"/>
      <c r="K74" s="181" t="n"/>
      <c r="L74" s="181" t="n"/>
      <c r="M74" s="181" t="n"/>
      <c r="N74" s="181" t="n"/>
      <c r="O74" s="181" t="n"/>
      <c r="P74" s="181" t="n"/>
    </row>
    <row r="75">
      <c r="A75" s="181" t="n"/>
      <c r="B75" s="181" t="n"/>
      <c r="C75" s="181" t="n"/>
      <c r="D75" s="181" t="n"/>
      <c r="E75" s="181" t="n"/>
      <c r="F75" s="181" t="n"/>
      <c r="G75" s="181" t="n"/>
      <c r="H75" s="181" t="n"/>
      <c r="I75" s="181" t="n"/>
      <c r="J75" s="181" t="n"/>
      <c r="K75" s="181" t="n"/>
      <c r="L75" s="181" t="n"/>
      <c r="M75" s="181" t="n"/>
      <c r="N75" s="181" t="n"/>
      <c r="O75" s="181" t="n"/>
      <c r="P75" s="181" t="n"/>
    </row>
    <row r="76">
      <c r="A76" s="181" t="n"/>
      <c r="B76" s="181" t="n"/>
      <c r="C76" s="181" t="n"/>
      <c r="D76" s="181" t="n"/>
      <c r="E76" s="181" t="n"/>
      <c r="F76" s="181" t="n"/>
      <c r="G76" s="181" t="n"/>
      <c r="H76" s="181" t="n"/>
      <c r="I76" s="181" t="n"/>
      <c r="J76" s="181" t="n"/>
      <c r="K76" s="181" t="n"/>
      <c r="L76" s="181" t="n"/>
      <c r="M76" s="181" t="n"/>
      <c r="N76" s="181" t="n"/>
      <c r="O76" s="181" t="n"/>
      <c r="P76" s="181" t="n"/>
    </row>
    <row r="77">
      <c r="A77" s="181" t="n"/>
      <c r="B77" s="181" t="n"/>
      <c r="C77" s="181" t="n"/>
      <c r="D77" s="181" t="n"/>
      <c r="E77" s="181" t="n"/>
      <c r="F77" s="181" t="n"/>
      <c r="G77" s="181" t="n"/>
      <c r="H77" s="181" t="n"/>
      <c r="I77" s="181" t="n"/>
      <c r="J77" s="181" t="n"/>
      <c r="K77" s="181" t="n"/>
      <c r="L77" s="181" t="n"/>
      <c r="M77" s="181" t="n"/>
      <c r="N77" s="181" t="n"/>
      <c r="O77" s="181" t="n"/>
      <c r="P77" s="181" t="n"/>
    </row>
    <row r="78">
      <c r="A78" s="181" t="n"/>
      <c r="B78" s="181" t="n"/>
      <c r="C78" s="181" t="n"/>
      <c r="D78" s="181" t="n"/>
      <c r="E78" s="181" t="n"/>
      <c r="F78" s="181" t="n"/>
      <c r="G78" s="181" t="n"/>
      <c r="H78" s="181" t="n"/>
      <c r="I78" s="181" t="n"/>
      <c r="J78" s="181" t="n"/>
      <c r="K78" s="181" t="n"/>
      <c r="L78" s="181" t="n"/>
      <c r="M78" s="181" t="n"/>
      <c r="N78" s="181" t="n"/>
      <c r="O78" s="181" t="n"/>
      <c r="P78" s="181" t="n"/>
    </row>
    <row r="79">
      <c r="A79" s="181" t="n"/>
      <c r="B79" s="181" t="n"/>
      <c r="C79" s="181" t="n"/>
      <c r="D79" s="181" t="n"/>
      <c r="E79" s="181" t="n"/>
      <c r="F79" s="181" t="n"/>
      <c r="G79" s="181" t="n"/>
      <c r="H79" s="181" t="n"/>
      <c r="I79" s="181" t="n"/>
      <c r="J79" s="181" t="n"/>
      <c r="K79" s="181" t="n"/>
      <c r="L79" s="181" t="n"/>
      <c r="M79" s="181" t="n"/>
      <c r="N79" s="181" t="n"/>
      <c r="O79" s="181" t="n"/>
      <c r="P79" s="181" t="n"/>
    </row>
    <row r="80">
      <c r="A80" s="181" t="n"/>
      <c r="B80" s="181" t="n"/>
      <c r="C80" s="181" t="n"/>
      <c r="D80" s="181" t="n"/>
      <c r="E80" s="181" t="n"/>
      <c r="F80" s="181" t="n"/>
      <c r="G80" s="181" t="n"/>
      <c r="H80" s="181" t="n"/>
      <c r="I80" s="181" t="n"/>
      <c r="J80" s="181" t="n"/>
      <c r="K80" s="181" t="n"/>
      <c r="L80" s="181" t="n"/>
      <c r="M80" s="181" t="n"/>
      <c r="N80" s="181" t="n"/>
      <c r="O80" s="181" t="n"/>
      <c r="P80" s="181" t="n"/>
    </row>
    <row r="81">
      <c r="A81" s="181" t="n"/>
      <c r="B81" s="181" t="n"/>
      <c r="C81" s="181" t="n"/>
      <c r="D81" s="181" t="n"/>
      <c r="E81" s="181" t="n"/>
      <c r="F81" s="181" t="n"/>
      <c r="G81" s="181" t="n"/>
      <c r="H81" s="181" t="n"/>
      <c r="I81" s="181" t="n"/>
      <c r="J81" s="181" t="n"/>
      <c r="K81" s="181" t="n"/>
      <c r="L81" s="181" t="n"/>
      <c r="M81" s="181" t="n"/>
      <c r="N81" s="181" t="n"/>
      <c r="O81" s="181" t="n"/>
      <c r="P81" s="181" t="n"/>
    </row>
    <row r="82">
      <c r="A82" s="181" t="n"/>
      <c r="B82" s="181" t="n"/>
      <c r="C82" s="181" t="n"/>
      <c r="D82" s="181" t="n"/>
      <c r="E82" s="181" t="n"/>
      <c r="F82" s="181" t="n"/>
      <c r="G82" s="181" t="n"/>
      <c r="H82" s="181" t="n"/>
      <c r="I82" s="181" t="n"/>
      <c r="J82" s="181" t="n"/>
      <c r="K82" s="181" t="n"/>
      <c r="L82" s="181" t="n"/>
      <c r="M82" s="181" t="n"/>
      <c r="N82" s="181" t="n"/>
      <c r="O82" s="181" t="n"/>
      <c r="P82" s="181" t="n"/>
    </row>
    <row r="83">
      <c r="A83" s="181" t="n"/>
      <c r="B83" s="181" t="n"/>
      <c r="C83" s="181" t="n"/>
      <c r="D83" s="181" t="n"/>
      <c r="E83" s="181" t="n"/>
      <c r="F83" s="181" t="n"/>
      <c r="G83" s="181" t="n"/>
      <c r="H83" s="181" t="n"/>
      <c r="I83" s="181" t="n"/>
      <c r="J83" s="181" t="n"/>
      <c r="K83" s="181" t="n"/>
      <c r="L83" s="181" t="n"/>
      <c r="M83" s="181" t="n"/>
      <c r="N83" s="181" t="n"/>
      <c r="O83" s="181" t="n"/>
      <c r="P83" s="181" t="n"/>
    </row>
    <row r="84">
      <c r="A84" s="181" t="n"/>
      <c r="B84" s="181" t="n"/>
      <c r="C84" s="181" t="n"/>
      <c r="D84" s="181" t="n"/>
      <c r="E84" s="181" t="n"/>
      <c r="F84" s="181" t="n"/>
      <c r="G84" s="181" t="n"/>
      <c r="H84" s="181" t="n"/>
      <c r="I84" s="181" t="n"/>
      <c r="J84" s="181" t="n"/>
      <c r="K84" s="181" t="n"/>
      <c r="L84" s="181" t="n"/>
      <c r="M84" s="181" t="n"/>
      <c r="N84" s="181" t="n"/>
      <c r="O84" s="181" t="n"/>
      <c r="P84" s="181" t="n"/>
    </row>
    <row r="85">
      <c r="A85" s="181" t="n"/>
      <c r="B85" s="181" t="n"/>
      <c r="C85" s="181" t="n"/>
      <c r="D85" s="181" t="n"/>
      <c r="E85" s="181" t="n"/>
      <c r="F85" s="181" t="n"/>
      <c r="G85" s="181" t="n"/>
      <c r="H85" s="181" t="n"/>
      <c r="I85" s="181" t="n"/>
      <c r="J85" s="181" t="n"/>
      <c r="K85" s="181" t="n"/>
      <c r="L85" s="181" t="n"/>
      <c r="M85" s="181" t="n"/>
      <c r="N85" s="181" t="n"/>
      <c r="O85" s="181" t="n"/>
      <c r="P85" s="181" t="n"/>
    </row>
    <row r="86">
      <c r="A86" s="181" t="n"/>
      <c r="B86" s="181" t="n"/>
      <c r="C86" s="181" t="n"/>
      <c r="D86" s="181" t="n"/>
      <c r="E86" s="181" t="n"/>
      <c r="F86" s="181" t="n"/>
      <c r="G86" s="181" t="n"/>
      <c r="H86" s="181" t="n"/>
      <c r="I86" s="181" t="n"/>
      <c r="J86" s="181" t="n"/>
      <c r="K86" s="181" t="n"/>
      <c r="L86" s="181" t="n"/>
      <c r="M86" s="181" t="n"/>
      <c r="N86" s="181" t="n"/>
      <c r="O86" s="181" t="n"/>
      <c r="P86" s="181" t="n"/>
    </row>
    <row r="87">
      <c r="A87" s="181" t="n"/>
      <c r="B87" s="181" t="n"/>
      <c r="C87" s="181" t="n"/>
      <c r="D87" s="181" t="n"/>
      <c r="E87" s="181" t="n"/>
      <c r="F87" s="181" t="n"/>
      <c r="G87" s="181" t="n"/>
      <c r="H87" s="181" t="n"/>
      <c r="I87" s="181" t="n"/>
      <c r="J87" s="181" t="n"/>
      <c r="K87" s="181" t="n"/>
      <c r="L87" s="181" t="n"/>
      <c r="M87" s="181" t="n"/>
      <c r="N87" s="181" t="n"/>
      <c r="O87" s="181" t="n"/>
      <c r="P87" s="181" t="n"/>
    </row>
    <row r="88">
      <c r="A88" s="181" t="n"/>
      <c r="B88" s="181" t="n"/>
      <c r="C88" s="181" t="n"/>
      <c r="D88" s="181" t="n"/>
      <c r="E88" s="181" t="n"/>
      <c r="F88" s="181" t="n"/>
      <c r="G88" s="181" t="n"/>
      <c r="H88" s="181" t="n"/>
      <c r="I88" s="181" t="n"/>
      <c r="J88" s="181" t="n"/>
      <c r="K88" s="181" t="n"/>
      <c r="L88" s="181" t="n"/>
      <c r="M88" s="181" t="n"/>
      <c r="N88" s="181" t="n"/>
      <c r="O88" s="181" t="n"/>
      <c r="P88" s="181" t="n"/>
    </row>
    <row r="89">
      <c r="A89" s="181" t="n"/>
      <c r="B89" s="181" t="n"/>
      <c r="C89" s="181" t="n"/>
      <c r="D89" s="181" t="n"/>
      <c r="E89" s="181" t="n"/>
      <c r="F89" s="181" t="n"/>
      <c r="G89" s="181" t="n"/>
      <c r="H89" s="181" t="n"/>
      <c r="I89" s="181" t="n"/>
      <c r="J89" s="181" t="n"/>
      <c r="K89" s="181" t="n"/>
      <c r="L89" s="181" t="n"/>
      <c r="M89" s="181" t="n"/>
      <c r="N89" s="181" t="n"/>
      <c r="O89" s="181" t="n"/>
      <c r="P89" s="181" t="n"/>
    </row>
    <row r="90">
      <c r="A90" s="181" t="n"/>
      <c r="B90" s="181" t="n"/>
      <c r="C90" s="181" t="n"/>
      <c r="D90" s="181" t="n"/>
      <c r="E90" s="181" t="n"/>
      <c r="F90" s="181" t="n"/>
      <c r="G90" s="181" t="n"/>
      <c r="H90" s="181" t="n"/>
      <c r="I90" s="181" t="n"/>
      <c r="J90" s="181" t="n"/>
      <c r="K90" s="181" t="n"/>
      <c r="L90" s="181" t="n"/>
      <c r="M90" s="181" t="n"/>
      <c r="N90" s="181" t="n"/>
      <c r="O90" s="181" t="n"/>
      <c r="P90" s="181" t="n"/>
    </row>
    <row r="91">
      <c r="A91" s="181" t="n"/>
      <c r="B91" s="181" t="n"/>
      <c r="C91" s="181" t="n"/>
      <c r="D91" s="181" t="n"/>
      <c r="E91" s="181" t="n"/>
      <c r="F91" s="181" t="n"/>
      <c r="G91" s="181" t="n"/>
      <c r="H91" s="181" t="n"/>
      <c r="I91" s="181" t="n"/>
      <c r="J91" s="181" t="n"/>
      <c r="K91" s="181" t="n"/>
      <c r="L91" s="181" t="n"/>
      <c r="M91" s="181" t="n"/>
      <c r="N91" s="181" t="n"/>
      <c r="O91" s="181" t="n"/>
      <c r="P91" s="181" t="n"/>
    </row>
    <row r="92">
      <c r="A92" s="181" t="n"/>
      <c r="B92" s="181" t="n"/>
      <c r="C92" s="181" t="n"/>
      <c r="D92" s="181" t="n"/>
      <c r="E92" s="181" t="n"/>
      <c r="F92" s="181" t="n"/>
      <c r="G92" s="181" t="n"/>
      <c r="H92" s="181" t="n"/>
      <c r="I92" s="181" t="n"/>
      <c r="J92" s="181" t="n"/>
      <c r="K92" s="181" t="n"/>
      <c r="L92" s="181" t="n"/>
      <c r="M92" s="181" t="n"/>
      <c r="N92" s="181" t="n"/>
      <c r="O92" s="181" t="n"/>
      <c r="P92" s="181" t="n"/>
    </row>
    <row r="93">
      <c r="A93" s="181" t="n"/>
      <c r="B93" s="181" t="n"/>
      <c r="C93" s="181" t="n"/>
      <c r="D93" s="181" t="n"/>
      <c r="E93" s="181" t="n"/>
      <c r="F93" s="181" t="n"/>
      <c r="G93" s="181" t="n"/>
      <c r="H93" s="181" t="n"/>
      <c r="I93" s="181" t="n"/>
      <c r="J93" s="181" t="n"/>
      <c r="K93" s="181" t="n"/>
      <c r="L93" s="181" t="n"/>
      <c r="M93" s="181" t="n"/>
      <c r="N93" s="181" t="n"/>
      <c r="O93" s="181" t="n"/>
      <c r="P93" s="181" t="n"/>
    </row>
    <row r="94">
      <c r="A94" s="181" t="n"/>
      <c r="B94" s="181" t="n"/>
      <c r="C94" s="181" t="n"/>
      <c r="D94" s="181" t="n"/>
      <c r="E94" s="181" t="n"/>
      <c r="F94" s="181" t="n"/>
      <c r="G94" s="181" t="n"/>
      <c r="H94" s="181" t="n"/>
      <c r="I94" s="181" t="n"/>
      <c r="J94" s="181" t="n"/>
      <c r="K94" s="181" t="n"/>
      <c r="L94" s="181" t="n"/>
      <c r="M94" s="181" t="n"/>
      <c r="N94" s="181" t="n"/>
      <c r="O94" s="181" t="n"/>
      <c r="P94" s="181" t="n"/>
    </row>
    <row r="95">
      <c r="A95" s="181" t="n"/>
      <c r="B95" s="181" t="n"/>
      <c r="C95" s="181" t="n"/>
      <c r="D95" s="181" t="n"/>
      <c r="E95" s="181" t="n"/>
      <c r="F95" s="181" t="n"/>
      <c r="G95" s="181" t="n"/>
      <c r="H95" s="181" t="n"/>
      <c r="I95" s="181" t="n"/>
      <c r="J95" s="181" t="n"/>
      <c r="K95" s="181" t="n"/>
      <c r="L95" s="181" t="n"/>
      <c r="M95" s="181" t="n"/>
      <c r="N95" s="181" t="n"/>
      <c r="O95" s="181" t="n"/>
      <c r="P95" s="181" t="n"/>
    </row>
    <row r="96">
      <c r="A96" s="181" t="n"/>
      <c r="B96" s="181" t="n"/>
      <c r="C96" s="181" t="n"/>
      <c r="D96" s="181" t="n"/>
      <c r="E96" s="181" t="n"/>
      <c r="F96" s="181" t="n"/>
      <c r="G96" s="181" t="n"/>
      <c r="H96" s="181" t="n"/>
      <c r="I96" s="181" t="n"/>
      <c r="J96" s="181" t="n"/>
      <c r="K96" s="181" t="n"/>
      <c r="L96" s="181" t="n"/>
      <c r="M96" s="181" t="n"/>
      <c r="N96" s="181" t="n"/>
      <c r="O96" s="181" t="n"/>
      <c r="P96" s="181" t="n"/>
    </row>
    <row r="97">
      <c r="A97" s="181" t="n"/>
      <c r="B97" s="181" t="n"/>
      <c r="C97" s="181" t="n"/>
      <c r="D97" s="181" t="n"/>
      <c r="E97" s="181" t="n"/>
      <c r="F97" s="181" t="n"/>
      <c r="G97" s="181" t="n"/>
      <c r="H97" s="181" t="n"/>
      <c r="I97" s="181" t="n"/>
      <c r="J97" s="181" t="n"/>
      <c r="K97" s="181" t="n"/>
      <c r="L97" s="181" t="n"/>
      <c r="M97" s="181" t="n"/>
      <c r="N97" s="181" t="n"/>
      <c r="O97" s="181" t="n"/>
      <c r="P97" s="181" t="n"/>
    </row>
    <row r="98">
      <c r="A98" s="181" t="n"/>
      <c r="B98" s="181" t="n"/>
      <c r="C98" s="181" t="n"/>
      <c r="D98" s="181" t="n"/>
      <c r="E98" s="181" t="n"/>
      <c r="F98" s="181" t="n"/>
      <c r="G98" s="181" t="n"/>
      <c r="H98" s="181" t="n"/>
      <c r="I98" s="181" t="n"/>
      <c r="J98" s="181" t="n"/>
      <c r="K98" s="181" t="n"/>
      <c r="L98" s="181" t="n"/>
      <c r="M98" s="181" t="n"/>
      <c r="N98" s="181" t="n"/>
      <c r="O98" s="181" t="n"/>
      <c r="P98" s="181" t="n"/>
    </row>
    <row r="99">
      <c r="A99" s="181" t="n"/>
      <c r="B99" s="181" t="n"/>
      <c r="C99" s="181" t="n"/>
      <c r="D99" s="181" t="n"/>
      <c r="E99" s="181" t="n"/>
      <c r="F99" s="181" t="n"/>
      <c r="G99" s="181" t="n"/>
      <c r="H99" s="181" t="n"/>
      <c r="I99" s="181" t="n"/>
      <c r="J99" s="181" t="n"/>
      <c r="K99" s="181" t="n"/>
      <c r="L99" s="181" t="n"/>
      <c r="M99" s="181" t="n"/>
      <c r="N99" s="181" t="n"/>
      <c r="O99" s="181" t="n"/>
      <c r="P99" s="181" t="n"/>
    </row>
    <row r="100">
      <c r="A100" s="181" t="n"/>
      <c r="B100" s="181" t="n"/>
      <c r="C100" s="181" t="n"/>
      <c r="D100" s="181" t="n"/>
      <c r="E100" s="181" t="n"/>
      <c r="F100" s="181" t="n"/>
      <c r="G100" s="181" t="n"/>
      <c r="H100" s="181" t="n"/>
      <c r="I100" s="181" t="n"/>
      <c r="J100" s="181" t="n"/>
      <c r="K100" s="181" t="n"/>
      <c r="L100" s="181" t="n"/>
      <c r="M100" s="181" t="n"/>
      <c r="N100" s="181" t="n"/>
      <c r="O100" s="181" t="n"/>
      <c r="P100" s="181" t="n"/>
    </row>
    <row r="101">
      <c r="A101" s="181" t="n"/>
      <c r="B101" s="181" t="n"/>
      <c r="C101" s="181" t="n"/>
      <c r="D101" s="181" t="n"/>
      <c r="E101" s="181" t="n"/>
      <c r="F101" s="181" t="n"/>
      <c r="G101" s="181" t="n"/>
      <c r="H101" s="181" t="n"/>
      <c r="I101" s="181" t="n"/>
      <c r="J101" s="181" t="n"/>
      <c r="K101" s="181" t="n"/>
      <c r="L101" s="181" t="n"/>
      <c r="M101" s="181" t="n"/>
      <c r="N101" s="181" t="n"/>
      <c r="O101" s="181" t="n"/>
      <c r="P101" s="181" t="n"/>
    </row>
    <row r="102">
      <c r="A102" s="181" t="n"/>
      <c r="B102" s="181" t="n"/>
      <c r="C102" s="181" t="n"/>
      <c r="D102" s="181" t="n"/>
      <c r="E102" s="181" t="n"/>
      <c r="F102" s="181" t="n"/>
      <c r="G102" s="181" t="n"/>
      <c r="H102" s="181" t="n"/>
      <c r="I102" s="181" t="n"/>
      <c r="J102" s="181" t="n"/>
      <c r="K102" s="181" t="n"/>
      <c r="L102" s="181" t="n"/>
      <c r="M102" s="181" t="n"/>
      <c r="N102" s="181" t="n"/>
      <c r="O102" s="181" t="n"/>
      <c r="P102" s="181" t="n"/>
    </row>
    <row r="103">
      <c r="A103" s="181" t="n"/>
      <c r="B103" s="181" t="n"/>
      <c r="C103" s="181" t="n"/>
      <c r="D103" s="181" t="n"/>
      <c r="E103" s="181" t="n"/>
      <c r="F103" s="181" t="n"/>
      <c r="G103" s="181" t="n"/>
      <c r="H103" s="181" t="n"/>
      <c r="I103" s="181" t="n"/>
      <c r="J103" s="181" t="n"/>
      <c r="K103" s="181" t="n"/>
      <c r="L103" s="181" t="n"/>
      <c r="M103" s="181" t="n"/>
      <c r="N103" s="181" t="n"/>
      <c r="O103" s="181" t="n"/>
      <c r="P103" s="181" t="n"/>
    </row>
    <row r="104">
      <c r="A104" s="181" t="n"/>
      <c r="B104" s="181" t="n"/>
      <c r="C104" s="181" t="n"/>
      <c r="D104" s="181" t="n"/>
      <c r="E104" s="181" t="n"/>
      <c r="F104" s="181" t="n"/>
      <c r="G104" s="181" t="n"/>
      <c r="H104" s="181" t="n"/>
      <c r="I104" s="181" t="n"/>
      <c r="J104" s="181" t="n"/>
      <c r="K104" s="181" t="n"/>
      <c r="L104" s="181" t="n"/>
      <c r="M104" s="181" t="n"/>
      <c r="N104" s="181" t="n"/>
      <c r="O104" s="181" t="n"/>
      <c r="P104" s="181" t="n"/>
    </row>
    <row r="105">
      <c r="A105" s="181" t="n"/>
      <c r="B105" s="181" t="n"/>
      <c r="C105" s="181" t="n"/>
      <c r="D105" s="181" t="n"/>
      <c r="E105" s="181" t="n"/>
      <c r="F105" s="181" t="n"/>
      <c r="G105" s="181" t="n"/>
      <c r="H105" s="181" t="n"/>
      <c r="I105" s="181" t="n"/>
      <c r="J105" s="181" t="n"/>
      <c r="K105" s="181" t="n"/>
      <c r="L105" s="181" t="n"/>
      <c r="M105" s="181" t="n"/>
      <c r="N105" s="181" t="n"/>
      <c r="O105" s="181" t="n"/>
      <c r="P105" s="181" t="n"/>
    </row>
    <row r="106">
      <c r="A106" s="181" t="n"/>
      <c r="B106" s="181" t="n"/>
      <c r="C106" s="181" t="n"/>
      <c r="D106" s="181" t="n"/>
      <c r="E106" s="181" t="n"/>
      <c r="F106" s="181" t="n"/>
      <c r="G106" s="181" t="n"/>
      <c r="H106" s="181" t="n"/>
      <c r="I106" s="181" t="n"/>
      <c r="J106" s="181" t="n"/>
      <c r="K106" s="181" t="n"/>
      <c r="L106" s="181" t="n"/>
      <c r="M106" s="181" t="n"/>
      <c r="N106" s="181" t="n"/>
      <c r="O106" s="181" t="n"/>
      <c r="P106" s="181" t="n"/>
    </row>
    <row r="107">
      <c r="A107" s="181" t="n"/>
      <c r="B107" s="181" t="n"/>
      <c r="C107" s="181" t="n"/>
      <c r="D107" s="181" t="n"/>
      <c r="E107" s="181" t="n"/>
      <c r="F107" s="181" t="n"/>
      <c r="G107" s="181" t="n"/>
      <c r="H107" s="181" t="n"/>
      <c r="I107" s="181" t="n"/>
      <c r="J107" s="181" t="n"/>
      <c r="K107" s="181" t="n"/>
      <c r="L107" s="181" t="n"/>
      <c r="M107" s="181" t="n"/>
      <c r="N107" s="181" t="n"/>
      <c r="O107" s="181" t="n"/>
      <c r="P107" s="181" t="n"/>
    </row>
    <row r="108">
      <c r="A108" s="181" t="n"/>
      <c r="B108" s="181" t="n"/>
      <c r="C108" s="181" t="n"/>
      <c r="D108" s="181" t="n"/>
      <c r="E108" s="181" t="n"/>
      <c r="F108" s="181" t="n"/>
      <c r="G108" s="181" t="n"/>
      <c r="H108" s="181" t="n"/>
      <c r="I108" s="181" t="n"/>
      <c r="J108" s="181" t="n"/>
      <c r="K108" s="181" t="n"/>
      <c r="L108" s="181" t="n"/>
      <c r="M108" s="181" t="n"/>
      <c r="N108" s="181" t="n"/>
      <c r="O108" s="181" t="n"/>
      <c r="P108" s="181" t="n"/>
    </row>
    <row r="109">
      <c r="A109" s="181" t="n"/>
      <c r="B109" s="181" t="n"/>
      <c r="C109" s="181" t="n"/>
      <c r="D109" s="181" t="n"/>
      <c r="E109" s="181" t="n"/>
      <c r="F109" s="181" t="n"/>
      <c r="G109" s="181" t="n"/>
      <c r="H109" s="181" t="n"/>
      <c r="I109" s="181" t="n"/>
      <c r="J109" s="181" t="n"/>
      <c r="K109" s="181" t="n"/>
      <c r="L109" s="181" t="n"/>
      <c r="M109" s="181" t="n"/>
      <c r="N109" s="181" t="n"/>
      <c r="O109" s="181" t="n"/>
      <c r="P109" s="181" t="n"/>
    </row>
    <row r="110">
      <c r="A110" s="181" t="n"/>
      <c r="B110" s="181" t="n"/>
      <c r="C110" s="181" t="n"/>
      <c r="D110" s="181" t="n"/>
      <c r="E110" s="181" t="n"/>
      <c r="F110" s="181" t="n"/>
      <c r="G110" s="181" t="n"/>
      <c r="H110" s="181" t="n"/>
      <c r="I110" s="181" t="n"/>
      <c r="J110" s="181" t="n"/>
      <c r="K110" s="181" t="n"/>
      <c r="L110" s="181" t="n"/>
      <c r="M110" s="181" t="n"/>
      <c r="N110" s="181" t="n"/>
      <c r="O110" s="181" t="n"/>
      <c r="P110" s="181" t="n"/>
    </row>
    <row r="111">
      <c r="A111" s="181" t="n"/>
      <c r="B111" s="181" t="n"/>
      <c r="C111" s="181" t="n"/>
      <c r="D111" s="181" t="n"/>
      <c r="E111" s="181" t="n"/>
      <c r="F111" s="181" t="n"/>
      <c r="G111" s="181" t="n"/>
      <c r="H111" s="181" t="n"/>
      <c r="I111" s="181" t="n"/>
      <c r="J111" s="181" t="n"/>
      <c r="K111" s="181" t="n"/>
      <c r="L111" s="181" t="n"/>
      <c r="M111" s="181" t="n"/>
      <c r="N111" s="181" t="n"/>
      <c r="O111" s="181" t="n"/>
      <c r="P111" s="181" t="n"/>
    </row>
    <row r="112">
      <c r="A112" s="181" t="n"/>
      <c r="B112" s="181" t="n"/>
      <c r="C112" s="181" t="n"/>
      <c r="D112" s="181" t="n"/>
      <c r="E112" s="181" t="n"/>
      <c r="F112" s="181" t="n"/>
      <c r="G112" s="181" t="n"/>
      <c r="H112" s="181" t="n"/>
      <c r="I112" s="181" t="n"/>
      <c r="J112" s="181" t="n"/>
      <c r="K112" s="181" t="n"/>
      <c r="L112" s="181" t="n"/>
      <c r="M112" s="181" t="n"/>
      <c r="N112" s="181" t="n"/>
      <c r="O112" s="181" t="n"/>
      <c r="P112" s="181" t="n"/>
    </row>
    <row r="113">
      <c r="A113" s="181" t="n"/>
      <c r="B113" s="181" t="n"/>
      <c r="C113" s="181" t="n"/>
      <c r="D113" s="181" t="n"/>
      <c r="E113" s="181" t="n"/>
      <c r="F113" s="181" t="n"/>
      <c r="G113" s="181" t="n"/>
      <c r="H113" s="181" t="n"/>
      <c r="I113" s="181" t="n"/>
      <c r="J113" s="181" t="n"/>
      <c r="K113" s="181" t="n"/>
      <c r="L113" s="181" t="n"/>
      <c r="M113" s="181" t="n"/>
      <c r="N113" s="181" t="n"/>
      <c r="O113" s="181" t="n"/>
      <c r="P113" s="181" t="n"/>
    </row>
    <row r="114">
      <c r="A114" s="181" t="n"/>
      <c r="B114" s="181" t="n"/>
      <c r="C114" s="181" t="n"/>
      <c r="D114" s="181" t="n"/>
      <c r="E114" s="181" t="n"/>
      <c r="F114" s="181" t="n"/>
      <c r="G114" s="181" t="n"/>
      <c r="H114" s="181" t="n"/>
      <c r="I114" s="181" t="n"/>
      <c r="J114" s="181" t="n"/>
      <c r="K114" s="181" t="n"/>
      <c r="L114" s="181" t="n"/>
      <c r="M114" s="181" t="n"/>
      <c r="N114" s="181" t="n"/>
      <c r="O114" s="181" t="n"/>
      <c r="P114" s="181" t="n"/>
    </row>
    <row r="115">
      <c r="A115" s="181" t="n"/>
      <c r="B115" s="181" t="n"/>
      <c r="C115" s="181" t="n"/>
      <c r="D115" s="181" t="n"/>
      <c r="E115" s="181" t="n"/>
      <c r="F115" s="181" t="n"/>
      <c r="G115" s="181" t="n"/>
      <c r="H115" s="181" t="n"/>
      <c r="I115" s="181" t="n"/>
      <c r="J115" s="181" t="n"/>
      <c r="K115" s="181" t="n"/>
      <c r="L115" s="181" t="n"/>
      <c r="M115" s="181" t="n"/>
      <c r="N115" s="181" t="n"/>
      <c r="O115" s="181" t="n"/>
      <c r="P115" s="181" t="n"/>
    </row>
    <row r="116">
      <c r="A116" s="181" t="n"/>
      <c r="B116" s="181" t="n"/>
      <c r="C116" s="181" t="n"/>
      <c r="D116" s="181" t="n"/>
      <c r="E116" s="181" t="n"/>
      <c r="F116" s="181" t="n"/>
      <c r="G116" s="181" t="n"/>
      <c r="H116" s="181" t="n"/>
      <c r="I116" s="181" t="n"/>
      <c r="J116" s="181" t="n"/>
      <c r="K116" s="181" t="n"/>
      <c r="L116" s="181" t="n"/>
      <c r="M116" s="181" t="n"/>
      <c r="N116" s="181" t="n"/>
      <c r="O116" s="181" t="n"/>
      <c r="P116" s="181" t="n"/>
    </row>
    <row r="117">
      <c r="A117" s="181" t="n"/>
      <c r="B117" s="181" t="n"/>
      <c r="C117" s="181" t="n"/>
      <c r="D117" s="181" t="n"/>
      <c r="E117" s="181" t="n"/>
      <c r="F117" s="181" t="n"/>
      <c r="G117" s="181" t="n"/>
      <c r="H117" s="181" t="n"/>
      <c r="I117" s="181" t="n"/>
      <c r="J117" s="181" t="n"/>
      <c r="K117" s="181" t="n"/>
      <c r="L117" s="181" t="n"/>
      <c r="M117" s="181" t="n"/>
      <c r="N117" s="181" t="n"/>
      <c r="O117" s="181" t="n"/>
      <c r="P117" s="181" t="n"/>
    </row>
    <row r="118">
      <c r="A118" s="181" t="n"/>
      <c r="B118" s="181" t="n"/>
      <c r="C118" s="181" t="n"/>
      <c r="D118" s="181" t="n"/>
      <c r="E118" s="181" t="n"/>
      <c r="F118" s="181" t="n"/>
      <c r="G118" s="181" t="n"/>
      <c r="H118" s="181" t="n"/>
      <c r="I118" s="181" t="n"/>
      <c r="J118" s="181" t="n"/>
      <c r="K118" s="181" t="n"/>
      <c r="L118" s="181" t="n"/>
      <c r="M118" s="181" t="n"/>
      <c r="N118" s="181" t="n"/>
      <c r="O118" s="181" t="n"/>
      <c r="P118" s="181" t="n"/>
    </row>
    <row r="119">
      <c r="A119" s="181" t="n"/>
      <c r="B119" s="181" t="n"/>
      <c r="C119" s="181" t="n"/>
      <c r="D119" s="181" t="n"/>
      <c r="E119" s="181" t="n"/>
      <c r="F119" s="181" t="n"/>
      <c r="G119" s="181" t="n"/>
      <c r="H119" s="181" t="n"/>
      <c r="I119" s="181" t="n"/>
      <c r="J119" s="181" t="n"/>
      <c r="K119" s="181" t="n"/>
      <c r="L119" s="181" t="n"/>
      <c r="M119" s="181" t="n"/>
      <c r="N119" s="181" t="n"/>
      <c r="O119" s="181" t="n"/>
      <c r="P119" s="181" t="n"/>
    </row>
    <row r="120">
      <c r="A120" s="181" t="n"/>
      <c r="B120" s="181" t="n"/>
      <c r="C120" s="181" t="n"/>
      <c r="D120" s="181" t="n"/>
      <c r="E120" s="181" t="n"/>
      <c r="F120" s="181" t="n"/>
      <c r="G120" s="181" t="n"/>
      <c r="H120" s="181" t="n"/>
      <c r="I120" s="181" t="n"/>
      <c r="J120" s="181" t="n"/>
      <c r="K120" s="181" t="n"/>
      <c r="L120" s="181" t="n"/>
      <c r="M120" s="181" t="n"/>
      <c r="N120" s="181" t="n"/>
      <c r="O120" s="181" t="n"/>
      <c r="P120" s="181" t="n"/>
    </row>
    <row r="121">
      <c r="A121" s="181" t="n"/>
      <c r="B121" s="181" t="n"/>
      <c r="C121" s="181" t="n"/>
      <c r="D121" s="181" t="n"/>
      <c r="E121" s="181" t="n"/>
      <c r="F121" s="181" t="n"/>
      <c r="G121" s="181" t="n"/>
      <c r="H121" s="181" t="n"/>
      <c r="I121" s="181" t="n"/>
      <c r="J121" s="181" t="n"/>
      <c r="K121" s="181" t="n"/>
      <c r="L121" s="181" t="n"/>
      <c r="M121" s="181" t="n"/>
      <c r="N121" s="181" t="n"/>
      <c r="O121" s="181" t="n"/>
      <c r="P121" s="181" t="n"/>
    </row>
    <row r="122">
      <c r="A122" s="181" t="n"/>
      <c r="B122" s="181" t="n"/>
      <c r="C122" s="181" t="n"/>
      <c r="D122" s="181" t="n"/>
      <c r="E122" s="181" t="n"/>
      <c r="F122" s="181" t="n"/>
      <c r="G122" s="181" t="n"/>
      <c r="H122" s="181" t="n"/>
      <c r="I122" s="181" t="n"/>
      <c r="J122" s="181" t="n"/>
      <c r="K122" s="181" t="n"/>
      <c r="L122" s="181" t="n"/>
      <c r="M122" s="181" t="n"/>
      <c r="N122" s="181" t="n"/>
      <c r="O122" s="181" t="n"/>
      <c r="P122" s="181" t="n"/>
    </row>
    <row r="123">
      <c r="A123" s="181" t="n"/>
      <c r="B123" s="181" t="n"/>
      <c r="C123" s="181" t="n"/>
      <c r="D123" s="181" t="n"/>
      <c r="E123" s="181" t="n"/>
      <c r="F123" s="181" t="n"/>
      <c r="G123" s="181" t="n"/>
      <c r="H123" s="181" t="n"/>
      <c r="I123" s="181" t="n"/>
      <c r="J123" s="181" t="n"/>
      <c r="K123" s="181" t="n"/>
      <c r="L123" s="181" t="n"/>
      <c r="M123" s="181" t="n"/>
      <c r="N123" s="181" t="n"/>
      <c r="O123" s="181" t="n"/>
      <c r="P123" s="181" t="n"/>
    </row>
    <row r="124">
      <c r="A124" s="181" t="n"/>
      <c r="B124" s="181" t="n"/>
      <c r="C124" s="181" t="n"/>
      <c r="D124" s="181" t="n"/>
      <c r="E124" s="181" t="n"/>
      <c r="F124" s="181" t="n"/>
      <c r="G124" s="181" t="n"/>
      <c r="H124" s="181" t="n"/>
      <c r="I124" s="181" t="n"/>
      <c r="J124" s="181" t="n"/>
      <c r="K124" s="181" t="n"/>
      <c r="L124" s="181" t="n"/>
      <c r="M124" s="181" t="n"/>
      <c r="N124" s="181" t="n"/>
      <c r="O124" s="181" t="n"/>
      <c r="P124" s="181" t="n"/>
    </row>
    <row r="125">
      <c r="A125" s="181" t="n"/>
      <c r="B125" s="181" t="n"/>
      <c r="C125" s="181" t="n"/>
      <c r="D125" s="181" t="n"/>
      <c r="E125" s="181" t="n"/>
      <c r="F125" s="181" t="n"/>
      <c r="G125" s="181" t="n"/>
      <c r="H125" s="181" t="n"/>
      <c r="I125" s="181" t="n"/>
      <c r="J125" s="181" t="n"/>
      <c r="K125" s="181" t="n"/>
      <c r="L125" s="181" t="n"/>
      <c r="M125" s="181" t="n"/>
      <c r="N125" s="181" t="n"/>
      <c r="O125" s="181" t="n"/>
      <c r="P125" s="181" t="n"/>
    </row>
    <row r="126">
      <c r="A126" s="181" t="n"/>
      <c r="B126" s="181" t="n"/>
      <c r="C126" s="181" t="n"/>
      <c r="D126" s="181" t="n"/>
      <c r="E126" s="181" t="n"/>
      <c r="F126" s="181" t="n"/>
      <c r="G126" s="181" t="n"/>
      <c r="H126" s="181" t="n"/>
      <c r="I126" s="181" t="n"/>
      <c r="J126" s="181" t="n"/>
      <c r="K126" s="181" t="n"/>
      <c r="L126" s="181" t="n"/>
      <c r="M126" s="181" t="n"/>
      <c r="N126" s="181" t="n"/>
      <c r="O126" s="181" t="n"/>
      <c r="P126" s="181" t="n"/>
    </row>
    <row r="127">
      <c r="A127" s="181" t="n"/>
      <c r="B127" s="181" t="n"/>
      <c r="C127" s="181" t="n"/>
      <c r="D127" s="181" t="n"/>
      <c r="E127" s="181" t="n"/>
      <c r="F127" s="181" t="n"/>
      <c r="G127" s="181" t="n"/>
      <c r="H127" s="181" t="n"/>
      <c r="I127" s="181" t="n"/>
      <c r="J127" s="181" t="n"/>
      <c r="K127" s="181" t="n"/>
      <c r="L127" s="181" t="n"/>
      <c r="M127" s="181" t="n"/>
      <c r="N127" s="181" t="n"/>
      <c r="O127" s="181" t="n"/>
      <c r="P127" s="181" t="n"/>
    </row>
    <row r="128">
      <c r="A128" s="181" t="n"/>
      <c r="B128" s="181" t="n"/>
      <c r="C128" s="181" t="n"/>
      <c r="D128" s="181" t="n"/>
      <c r="E128" s="181" t="n"/>
      <c r="F128" s="181" t="n"/>
      <c r="G128" s="181" t="n"/>
      <c r="H128" s="181" t="n"/>
      <c r="I128" s="181" t="n"/>
      <c r="J128" s="181" t="n"/>
      <c r="K128" s="181" t="n"/>
      <c r="L128" s="181" t="n"/>
      <c r="M128" s="181" t="n"/>
      <c r="N128" s="181" t="n"/>
      <c r="O128" s="181" t="n"/>
      <c r="P128" s="181" t="n"/>
    </row>
    <row r="129">
      <c r="A129" s="181" t="n"/>
      <c r="B129" s="181" t="n"/>
      <c r="C129" s="181" t="n"/>
      <c r="D129" s="181" t="n"/>
      <c r="E129" s="181" t="n"/>
      <c r="F129" s="181" t="n"/>
      <c r="G129" s="181" t="n"/>
      <c r="H129" s="181" t="n"/>
      <c r="I129" s="181" t="n"/>
      <c r="J129" s="181" t="n"/>
      <c r="K129" s="181" t="n"/>
      <c r="L129" s="181" t="n"/>
      <c r="M129" s="181" t="n"/>
      <c r="N129" s="181" t="n"/>
      <c r="O129" s="181" t="n"/>
      <c r="P129" s="181" t="n"/>
    </row>
    <row r="130">
      <c r="A130" s="181" t="n"/>
      <c r="B130" s="181" t="n"/>
      <c r="C130" s="181" t="n"/>
      <c r="D130" s="181" t="n"/>
      <c r="E130" s="181" t="n"/>
      <c r="F130" s="181" t="n"/>
      <c r="G130" s="181" t="n"/>
      <c r="H130" s="181" t="n"/>
      <c r="I130" s="181" t="n"/>
      <c r="J130" s="181" t="n"/>
      <c r="K130" s="181" t="n"/>
      <c r="L130" s="181" t="n"/>
      <c r="M130" s="181" t="n"/>
      <c r="N130" s="181" t="n"/>
      <c r="O130" s="181" t="n"/>
      <c r="P130" s="181" t="n"/>
    </row>
    <row r="131">
      <c r="A131" s="181" t="n"/>
      <c r="B131" s="181" t="n"/>
      <c r="C131" s="181" t="n"/>
      <c r="D131" s="181" t="n"/>
      <c r="E131" s="181" t="n"/>
      <c r="F131" s="181" t="n"/>
      <c r="G131" s="181" t="n"/>
      <c r="H131" s="181" t="n"/>
      <c r="I131" s="181" t="n"/>
      <c r="J131" s="181" t="n"/>
      <c r="K131" s="181" t="n"/>
      <c r="L131" s="181" t="n"/>
      <c r="M131" s="181" t="n"/>
      <c r="N131" s="181" t="n"/>
      <c r="O131" s="181" t="n"/>
      <c r="P131" s="181" t="n"/>
    </row>
    <row r="132">
      <c r="A132" s="181" t="n"/>
      <c r="B132" s="181" t="n"/>
      <c r="C132" s="181" t="n"/>
      <c r="D132" s="181" t="n"/>
      <c r="E132" s="181" t="n"/>
      <c r="F132" s="181" t="n"/>
      <c r="G132" s="181" t="n"/>
      <c r="H132" s="181" t="n"/>
      <c r="I132" s="181" t="n"/>
      <c r="J132" s="181" t="n"/>
      <c r="K132" s="181" t="n"/>
      <c r="L132" s="181" t="n"/>
      <c r="M132" s="181" t="n"/>
      <c r="N132" s="181" t="n"/>
      <c r="O132" s="181" t="n"/>
      <c r="P132" s="181" t="n"/>
    </row>
    <row r="133">
      <c r="A133" s="181" t="n"/>
      <c r="B133" s="181" t="n"/>
      <c r="C133" s="181" t="n"/>
      <c r="D133" s="181" t="n"/>
      <c r="E133" s="181" t="n"/>
      <c r="F133" s="181" t="n"/>
      <c r="G133" s="181" t="n"/>
      <c r="H133" s="181" t="n"/>
      <c r="I133" s="181" t="n"/>
      <c r="J133" s="181" t="n"/>
      <c r="K133" s="181" t="n"/>
      <c r="L133" s="181" t="n"/>
      <c r="M133" s="181" t="n"/>
      <c r="N133" s="181" t="n"/>
      <c r="O133" s="181" t="n"/>
      <c r="P133" s="181" t="n"/>
    </row>
    <row r="134">
      <c r="A134" s="181" t="n"/>
      <c r="B134" s="181" t="n"/>
      <c r="C134" s="181" t="n"/>
      <c r="D134" s="181" t="n"/>
      <c r="E134" s="181" t="n"/>
      <c r="F134" s="181" t="n"/>
      <c r="G134" s="181" t="n"/>
      <c r="H134" s="181" t="n"/>
      <c r="I134" s="181" t="n"/>
      <c r="J134" s="181" t="n"/>
      <c r="K134" s="181" t="n"/>
      <c r="L134" s="181" t="n"/>
      <c r="M134" s="181" t="n"/>
      <c r="N134" s="181" t="n"/>
      <c r="O134" s="181" t="n"/>
      <c r="P134" s="181" t="n"/>
    </row>
    <row r="135">
      <c r="A135" s="181" t="n"/>
      <c r="B135" s="181" t="n"/>
      <c r="C135" s="181" t="n"/>
      <c r="D135" s="181" t="n"/>
      <c r="E135" s="181" t="n"/>
      <c r="F135" s="181" t="n"/>
      <c r="G135" s="181" t="n"/>
      <c r="H135" s="181" t="n"/>
      <c r="I135" s="181" t="n"/>
      <c r="J135" s="181" t="n"/>
      <c r="K135" s="181" t="n"/>
      <c r="L135" s="181" t="n"/>
      <c r="M135" s="181" t="n"/>
      <c r="N135" s="181" t="n"/>
      <c r="O135" s="181" t="n"/>
      <c r="P135" s="181" t="n"/>
    </row>
    <row r="136">
      <c r="A136" s="181" t="n"/>
      <c r="B136" s="181" t="n"/>
      <c r="C136" s="181" t="n"/>
      <c r="D136" s="181" t="n"/>
      <c r="E136" s="181" t="n"/>
      <c r="F136" s="181" t="n"/>
      <c r="G136" s="181" t="n"/>
      <c r="H136" s="181" t="n"/>
      <c r="I136" s="181" t="n"/>
      <c r="J136" s="181" t="n"/>
      <c r="K136" s="181" t="n"/>
      <c r="L136" s="181" t="n"/>
      <c r="M136" s="181" t="n"/>
      <c r="N136" s="181" t="n"/>
      <c r="O136" s="181" t="n"/>
      <c r="P136" s="181" t="n"/>
    </row>
    <row r="137">
      <c r="A137" s="181" t="n"/>
      <c r="B137" s="181" t="n"/>
      <c r="C137" s="181" t="n"/>
      <c r="D137" s="181" t="n"/>
      <c r="E137" s="181" t="n"/>
      <c r="F137" s="181" t="n"/>
      <c r="G137" s="181" t="n"/>
      <c r="H137" s="181" t="n"/>
      <c r="I137" s="181" t="n"/>
      <c r="J137" s="181" t="n"/>
      <c r="K137" s="181" t="n"/>
      <c r="L137" s="181" t="n"/>
      <c r="M137" s="181" t="n"/>
      <c r="N137" s="181" t="n"/>
      <c r="O137" s="181" t="n"/>
      <c r="P137" s="181" t="n"/>
    </row>
    <row r="138">
      <c r="A138" s="181" t="n"/>
      <c r="B138" s="181" t="n"/>
      <c r="C138" s="181" t="n"/>
      <c r="D138" s="181" t="n"/>
      <c r="E138" s="181" t="n"/>
      <c r="F138" s="181" t="n"/>
      <c r="G138" s="181" t="n"/>
      <c r="H138" s="181" t="n"/>
      <c r="I138" s="181" t="n"/>
      <c r="J138" s="181" t="n"/>
      <c r="K138" s="181" t="n"/>
      <c r="L138" s="181" t="n"/>
      <c r="M138" s="181" t="n"/>
      <c r="N138" s="181" t="n"/>
      <c r="O138" s="181" t="n"/>
      <c r="P138" s="181" t="n"/>
    </row>
    <row r="139">
      <c r="A139" s="181" t="n"/>
      <c r="B139" s="181" t="n"/>
      <c r="C139" s="181" t="n"/>
      <c r="D139" s="181" t="n"/>
      <c r="E139" s="181" t="n"/>
      <c r="F139" s="181" t="n"/>
      <c r="G139" s="181" t="n"/>
      <c r="H139" s="181" t="n"/>
      <c r="I139" s="181" t="n"/>
      <c r="J139" s="181" t="n"/>
      <c r="K139" s="181" t="n"/>
      <c r="L139" s="181" t="n"/>
      <c r="M139" s="181" t="n"/>
      <c r="N139" s="181" t="n"/>
      <c r="O139" s="181" t="n"/>
      <c r="P139" s="181" t="n"/>
    </row>
    <row r="140">
      <c r="A140" s="181" t="n"/>
      <c r="B140" s="181" t="n"/>
      <c r="C140" s="181" t="n"/>
      <c r="D140" s="181" t="n"/>
      <c r="E140" s="181" t="n"/>
      <c r="F140" s="181" t="n"/>
      <c r="G140" s="181" t="n"/>
      <c r="H140" s="181" t="n"/>
      <c r="I140" s="181" t="n"/>
      <c r="J140" s="181" t="n"/>
      <c r="K140" s="181" t="n"/>
      <c r="L140" s="181" t="n"/>
      <c r="M140" s="181" t="n"/>
      <c r="N140" s="181" t="n"/>
      <c r="O140" s="181" t="n"/>
      <c r="P140" s="181" t="n"/>
    </row>
    <row r="141">
      <c r="A141" s="181" t="n"/>
      <c r="B141" s="181" t="n"/>
      <c r="C141" s="181" t="n"/>
      <c r="D141" s="181" t="n"/>
      <c r="E141" s="181" t="n"/>
      <c r="F141" s="181" t="n"/>
      <c r="G141" s="181" t="n"/>
      <c r="H141" s="181" t="n"/>
      <c r="I141" s="181" t="n"/>
      <c r="J141" s="181" t="n"/>
      <c r="K141" s="181" t="n"/>
      <c r="L141" s="181" t="n"/>
      <c r="M141" s="181" t="n"/>
      <c r="N141" s="181" t="n"/>
      <c r="O141" s="181" t="n"/>
      <c r="P141" s="181" t="n"/>
    </row>
    <row r="142">
      <c r="A142" s="181" t="n"/>
      <c r="B142" s="181" t="n"/>
      <c r="C142" s="181" t="n"/>
      <c r="D142" s="181" t="n"/>
      <c r="E142" s="181" t="n"/>
      <c r="F142" s="181" t="n"/>
      <c r="G142" s="181" t="n"/>
      <c r="H142" s="181" t="n"/>
      <c r="I142" s="181" t="n"/>
      <c r="J142" s="181" t="n"/>
      <c r="K142" s="181" t="n"/>
      <c r="L142" s="181" t="n"/>
      <c r="M142" s="181" t="n"/>
      <c r="N142" s="181" t="n"/>
      <c r="O142" s="181" t="n"/>
      <c r="P142" s="181" t="n"/>
    </row>
    <row r="143">
      <c r="A143" s="181" t="n"/>
      <c r="B143" s="181" t="n"/>
      <c r="C143" s="181" t="n"/>
      <c r="D143" s="181" t="n"/>
      <c r="E143" s="181" t="n"/>
      <c r="F143" s="181" t="n"/>
      <c r="G143" s="181" t="n"/>
      <c r="H143" s="181" t="n"/>
      <c r="I143" s="181" t="n"/>
      <c r="J143" s="181" t="n"/>
      <c r="K143" s="181" t="n"/>
      <c r="L143" s="181" t="n"/>
      <c r="M143" s="181" t="n"/>
      <c r="N143" s="181" t="n"/>
      <c r="O143" s="181" t="n"/>
      <c r="P143" s="181" t="n"/>
    </row>
    <row r="144">
      <c r="A144" s="181" t="n"/>
      <c r="B144" s="181" t="n"/>
      <c r="C144" s="181" t="n"/>
      <c r="D144" s="181" t="n"/>
      <c r="E144" s="181" t="n"/>
      <c r="F144" s="181" t="n"/>
      <c r="G144" s="181" t="n"/>
      <c r="H144" s="181" t="n"/>
      <c r="I144" s="181" t="n"/>
      <c r="J144" s="181" t="n"/>
      <c r="K144" s="181" t="n"/>
      <c r="L144" s="181" t="n"/>
      <c r="M144" s="181" t="n"/>
      <c r="N144" s="181" t="n"/>
      <c r="O144" s="181" t="n"/>
      <c r="P144" s="181" t="n"/>
    </row>
    <row r="145">
      <c r="A145" s="181" t="n"/>
      <c r="B145" s="181" t="n"/>
      <c r="C145" s="181" t="n"/>
      <c r="D145" s="181" t="n"/>
      <c r="E145" s="181" t="n"/>
      <c r="F145" s="181" t="n"/>
      <c r="G145" s="181" t="n"/>
      <c r="H145" s="181" t="n"/>
      <c r="I145" s="181" t="n"/>
      <c r="J145" s="181" t="n"/>
      <c r="K145" s="181" t="n"/>
      <c r="L145" s="181" t="n"/>
      <c r="M145" s="181" t="n"/>
      <c r="N145" s="181" t="n"/>
      <c r="O145" s="181" t="n"/>
      <c r="P145" s="181" t="n"/>
    </row>
    <row r="146">
      <c r="A146" s="181" t="n"/>
      <c r="B146" s="181" t="n"/>
      <c r="C146" s="181" t="n"/>
      <c r="D146" s="181" t="n"/>
      <c r="E146" s="181" t="n"/>
      <c r="F146" s="181" t="n"/>
      <c r="G146" s="181" t="n"/>
      <c r="H146" s="181" t="n"/>
      <c r="I146" s="181" t="n"/>
      <c r="J146" s="181" t="n"/>
      <c r="K146" s="181" t="n"/>
      <c r="L146" s="181" t="n"/>
      <c r="M146" s="181" t="n"/>
      <c r="N146" s="181" t="n"/>
      <c r="O146" s="181" t="n"/>
      <c r="P146" s="181" t="n"/>
    </row>
    <row r="147">
      <c r="A147" s="181" t="n"/>
      <c r="B147" s="181" t="n"/>
      <c r="C147" s="181" t="n"/>
      <c r="D147" s="181" t="n"/>
      <c r="E147" s="181" t="n"/>
      <c r="F147" s="181" t="n"/>
      <c r="G147" s="181" t="n"/>
      <c r="H147" s="181" t="n"/>
      <c r="I147" s="181" t="n"/>
      <c r="J147" s="181" t="n"/>
      <c r="K147" s="181" t="n"/>
      <c r="L147" s="181" t="n"/>
      <c r="M147" s="181" t="n"/>
      <c r="N147" s="181" t="n"/>
      <c r="O147" s="181" t="n"/>
      <c r="P147" s="181" t="n"/>
    </row>
    <row r="148">
      <c r="A148" s="181" t="n"/>
      <c r="B148" s="181" t="n"/>
      <c r="C148" s="181" t="n"/>
      <c r="D148" s="181" t="n"/>
      <c r="E148" s="181" t="n"/>
      <c r="F148" s="181" t="n"/>
      <c r="G148" s="181" t="n"/>
      <c r="H148" s="181" t="n"/>
      <c r="I148" s="181" t="n"/>
      <c r="J148" s="181" t="n"/>
      <c r="K148" s="181" t="n"/>
      <c r="L148" s="181" t="n"/>
      <c r="M148" s="181" t="n"/>
      <c r="N148" s="181" t="n"/>
      <c r="O148" s="181" t="n"/>
      <c r="P148" s="181" t="n"/>
    </row>
    <row r="149">
      <c r="A149" s="181" t="n"/>
      <c r="B149" s="181" t="n"/>
      <c r="C149" s="181" t="n"/>
      <c r="D149" s="181" t="n"/>
      <c r="E149" s="181" t="n"/>
      <c r="F149" s="181" t="n"/>
      <c r="G149" s="181" t="n"/>
      <c r="H149" s="181" t="n"/>
      <c r="I149" s="181" t="n"/>
      <c r="J149" s="181" t="n"/>
      <c r="K149" s="181" t="n"/>
      <c r="L149" s="181" t="n"/>
      <c r="M149" s="181" t="n"/>
      <c r="N149" s="181" t="n"/>
      <c r="O149" s="181" t="n"/>
      <c r="P149" s="181" t="n"/>
    </row>
    <row r="150">
      <c r="A150" s="181" t="n"/>
      <c r="B150" s="181" t="n"/>
      <c r="C150" s="181" t="n"/>
      <c r="D150" s="181" t="n"/>
      <c r="E150" s="181" t="n"/>
      <c r="F150" s="181" t="n"/>
      <c r="G150" s="181" t="n"/>
      <c r="H150" s="181" t="n"/>
      <c r="I150" s="181" t="n"/>
      <c r="J150" s="181" t="n"/>
      <c r="K150" s="181" t="n"/>
      <c r="L150" s="181" t="n"/>
      <c r="M150" s="181" t="n"/>
      <c r="N150" s="181" t="n"/>
      <c r="O150" s="181" t="n"/>
      <c r="P150" s="181" t="n"/>
    </row>
    <row r="151">
      <c r="A151" s="181" t="n"/>
      <c r="B151" s="181" t="n"/>
      <c r="C151" s="181" t="n"/>
      <c r="D151" s="181" t="n"/>
      <c r="E151" s="181" t="n"/>
      <c r="F151" s="181" t="n"/>
      <c r="G151" s="181" t="n"/>
      <c r="H151" s="181" t="n"/>
      <c r="I151" s="181" t="n"/>
      <c r="J151" s="181" t="n"/>
      <c r="K151" s="181" t="n"/>
      <c r="L151" s="181" t="n"/>
      <c r="M151" s="181" t="n"/>
      <c r="N151" s="181" t="n"/>
      <c r="O151" s="181" t="n"/>
      <c r="P151" s="181" t="n"/>
    </row>
    <row r="152">
      <c r="A152" s="181" t="n"/>
      <c r="B152" s="181" t="n"/>
      <c r="C152" s="181" t="n"/>
      <c r="D152" s="181" t="n"/>
      <c r="E152" s="181" t="n"/>
      <c r="F152" s="181" t="n"/>
      <c r="G152" s="181" t="n"/>
      <c r="H152" s="181" t="n"/>
      <c r="I152" s="181" t="n"/>
      <c r="J152" s="181" t="n"/>
      <c r="K152" s="181" t="n"/>
      <c r="L152" s="181" t="n"/>
      <c r="M152" s="181" t="n"/>
      <c r="N152" s="181" t="n"/>
      <c r="O152" s="181" t="n"/>
      <c r="P152" s="181" t="n"/>
    </row>
    <row r="153">
      <c r="A153" s="181" t="n"/>
      <c r="B153" s="181" t="n"/>
      <c r="C153" s="181" t="n"/>
      <c r="D153" s="181" t="n"/>
      <c r="E153" s="181" t="n"/>
      <c r="F153" s="181" t="n"/>
      <c r="G153" s="181" t="n"/>
      <c r="H153" s="181" t="n"/>
      <c r="I153" s="181" t="n"/>
      <c r="J153" s="181" t="n"/>
      <c r="K153" s="181" t="n"/>
      <c r="L153" s="181" t="n"/>
      <c r="M153" s="181" t="n"/>
      <c r="N153" s="181" t="n"/>
      <c r="O153" s="181" t="n"/>
      <c r="P153" s="181" t="n"/>
    </row>
    <row r="154">
      <c r="A154" s="181" t="n"/>
      <c r="B154" s="181" t="n"/>
      <c r="C154" s="181" t="n"/>
      <c r="D154" s="181" t="n"/>
      <c r="E154" s="181" t="n"/>
      <c r="F154" s="181" t="n"/>
      <c r="G154" s="181" t="n"/>
      <c r="H154" s="181" t="n"/>
      <c r="I154" s="181" t="n"/>
      <c r="J154" s="181" t="n"/>
      <c r="K154" s="181" t="n"/>
      <c r="L154" s="181" t="n"/>
      <c r="M154" s="181" t="n"/>
      <c r="N154" s="181" t="n"/>
      <c r="O154" s="181" t="n"/>
      <c r="P154" s="181" t="n"/>
    </row>
    <row r="155">
      <c r="A155" s="181" t="n"/>
      <c r="B155" s="181" t="n"/>
      <c r="C155" s="181" t="n"/>
      <c r="D155" s="181" t="n"/>
      <c r="E155" s="181" t="n"/>
      <c r="F155" s="181" t="n"/>
      <c r="G155" s="181" t="n"/>
      <c r="H155" s="181" t="n"/>
      <c r="I155" s="181" t="n"/>
      <c r="J155" s="181" t="n"/>
      <c r="K155" s="181" t="n"/>
      <c r="L155" s="181" t="n"/>
      <c r="M155" s="181" t="n"/>
      <c r="N155" s="181" t="n"/>
      <c r="O155" s="181" t="n"/>
      <c r="P155" s="181" t="n"/>
    </row>
    <row r="156">
      <c r="A156" s="181" t="n"/>
      <c r="B156" s="181" t="n"/>
      <c r="C156" s="181" t="n"/>
      <c r="D156" s="181" t="n"/>
      <c r="E156" s="181" t="n"/>
      <c r="F156" s="181" t="n"/>
      <c r="G156" s="181" t="n"/>
      <c r="H156" s="181" t="n"/>
      <c r="I156" s="181" t="n"/>
      <c r="J156" s="181" t="n"/>
      <c r="K156" s="181" t="n"/>
      <c r="L156" s="181" t="n"/>
      <c r="M156" s="181" t="n"/>
      <c r="N156" s="181" t="n"/>
      <c r="O156" s="181" t="n"/>
      <c r="P156" s="181" t="n"/>
    </row>
    <row r="157">
      <c r="A157" s="181" t="n"/>
      <c r="B157" s="181" t="n"/>
      <c r="C157" s="181" t="n"/>
      <c r="D157" s="181" t="n"/>
      <c r="E157" s="181" t="n"/>
      <c r="F157" s="181" t="n"/>
      <c r="G157" s="181" t="n"/>
      <c r="H157" s="181" t="n"/>
      <c r="I157" s="181" t="n"/>
      <c r="J157" s="181" t="n"/>
      <c r="K157" s="181" t="n"/>
      <c r="L157" s="181" t="n"/>
      <c r="M157" s="181" t="n"/>
      <c r="N157" s="181" t="n"/>
      <c r="O157" s="181" t="n"/>
      <c r="P157" s="181" t="n"/>
    </row>
    <row r="158">
      <c r="A158" s="181" t="n"/>
      <c r="B158" s="181" t="n"/>
      <c r="C158" s="181" t="n"/>
      <c r="D158" s="181" t="n"/>
      <c r="E158" s="181" t="n"/>
      <c r="F158" s="181" t="n"/>
      <c r="G158" s="181" t="n"/>
      <c r="H158" s="181" t="n"/>
      <c r="I158" s="181" t="n"/>
      <c r="J158" s="181" t="n"/>
      <c r="K158" s="181" t="n"/>
      <c r="L158" s="181" t="n"/>
      <c r="M158" s="181" t="n"/>
      <c r="N158" s="181" t="n"/>
      <c r="O158" s="181" t="n"/>
      <c r="P158" s="181" t="n"/>
    </row>
    <row r="159">
      <c r="A159" s="181" t="n"/>
      <c r="B159" s="181" t="n"/>
      <c r="C159" s="181" t="n"/>
      <c r="D159" s="181" t="n"/>
      <c r="E159" s="181" t="n"/>
      <c r="F159" s="181" t="n"/>
      <c r="G159" s="181" t="n"/>
      <c r="H159" s="181" t="n"/>
      <c r="I159" s="181" t="n"/>
      <c r="J159" s="181" t="n"/>
      <c r="K159" s="181" t="n"/>
      <c r="L159" s="181" t="n"/>
      <c r="M159" s="181" t="n"/>
      <c r="N159" s="181" t="n"/>
      <c r="O159" s="181" t="n"/>
      <c r="P159" s="181" t="n"/>
    </row>
    <row r="160">
      <c r="A160" s="181" t="n"/>
      <c r="B160" s="181" t="n"/>
      <c r="C160" s="181" t="n"/>
      <c r="D160" s="181" t="n"/>
      <c r="E160" s="181" t="n"/>
      <c r="F160" s="181" t="n"/>
      <c r="G160" s="181" t="n"/>
      <c r="H160" s="181" t="n"/>
      <c r="I160" s="181" t="n"/>
      <c r="J160" s="181" t="n"/>
      <c r="K160" s="181" t="n"/>
      <c r="L160" s="181" t="n"/>
      <c r="M160" s="181" t="n"/>
      <c r="N160" s="181" t="n"/>
      <c r="O160" s="181" t="n"/>
      <c r="P160" s="181" t="n"/>
    </row>
    <row r="161">
      <c r="A161" s="181" t="n"/>
      <c r="B161" s="181" t="n"/>
      <c r="C161" s="181" t="n"/>
      <c r="D161" s="181" t="n"/>
      <c r="E161" s="181" t="n"/>
      <c r="F161" s="181" t="n"/>
      <c r="G161" s="181" t="n"/>
      <c r="H161" s="181" t="n"/>
      <c r="I161" s="181" t="n"/>
      <c r="J161" s="181" t="n"/>
      <c r="K161" s="181" t="n"/>
      <c r="L161" s="181" t="n"/>
      <c r="M161" s="181" t="n"/>
      <c r="N161" s="181" t="n"/>
      <c r="O161" s="181" t="n"/>
      <c r="P161" s="181" t="n"/>
    </row>
    <row r="162">
      <c r="A162" s="181" t="n"/>
      <c r="B162" s="181" t="n"/>
      <c r="C162" s="181" t="n"/>
      <c r="D162" s="181" t="n"/>
      <c r="E162" s="181" t="n"/>
      <c r="F162" s="181" t="n"/>
      <c r="G162" s="181" t="n"/>
      <c r="H162" s="181" t="n"/>
      <c r="I162" s="181" t="n"/>
      <c r="J162" s="181" t="n"/>
      <c r="K162" s="181" t="n"/>
      <c r="L162" s="181" t="n"/>
      <c r="M162" s="181" t="n"/>
      <c r="N162" s="181" t="n"/>
      <c r="O162" s="181" t="n"/>
      <c r="P162" s="181" t="n"/>
    </row>
    <row r="163">
      <c r="A163" s="181" t="n"/>
      <c r="B163" s="181" t="n"/>
      <c r="C163" s="181" t="n"/>
      <c r="D163" s="181" t="n"/>
      <c r="E163" s="181" t="n"/>
      <c r="F163" s="181" t="n"/>
      <c r="G163" s="181" t="n"/>
      <c r="H163" s="181" t="n"/>
      <c r="I163" s="181" t="n"/>
      <c r="J163" s="181" t="n"/>
      <c r="K163" s="181" t="n"/>
      <c r="L163" s="181" t="n"/>
      <c r="M163" s="181" t="n"/>
      <c r="N163" s="181" t="n"/>
      <c r="O163" s="181" t="n"/>
      <c r="P163" s="181" t="n"/>
    </row>
    <row r="164">
      <c r="A164" s="181" t="n"/>
      <c r="B164" s="181" t="n"/>
      <c r="C164" s="181" t="n"/>
      <c r="D164" s="181" t="n"/>
      <c r="E164" s="181" t="n"/>
      <c r="F164" s="181" t="n"/>
      <c r="G164" s="181" t="n"/>
      <c r="H164" s="181" t="n"/>
      <c r="I164" s="181" t="n"/>
      <c r="J164" s="181" t="n"/>
      <c r="K164" s="181" t="n"/>
      <c r="L164" s="181" t="n"/>
      <c r="M164" s="181" t="n"/>
      <c r="N164" s="181" t="n"/>
      <c r="O164" s="181" t="n"/>
      <c r="P164" s="181" t="n"/>
    </row>
    <row r="165">
      <c r="A165" s="181" t="n"/>
      <c r="B165" s="181" t="n"/>
      <c r="C165" s="181" t="n"/>
      <c r="D165" s="181" t="n"/>
      <c r="E165" s="181" t="n"/>
      <c r="F165" s="181" t="n"/>
      <c r="G165" s="181" t="n"/>
      <c r="H165" s="181" t="n"/>
      <c r="I165" s="181" t="n"/>
      <c r="J165" s="181" t="n"/>
      <c r="K165" s="181" t="n"/>
      <c r="L165" s="181" t="n"/>
      <c r="M165" s="181" t="n"/>
      <c r="N165" s="181" t="n"/>
      <c r="O165" s="181" t="n"/>
      <c r="P165" s="181" t="n"/>
    </row>
    <row r="166">
      <c r="A166" s="181" t="n"/>
      <c r="B166" s="181" t="n"/>
      <c r="C166" s="181" t="n"/>
      <c r="D166" s="181" t="n"/>
      <c r="E166" s="181" t="n"/>
      <c r="F166" s="181" t="n"/>
      <c r="G166" s="181" t="n"/>
      <c r="H166" s="181" t="n"/>
      <c r="I166" s="181" t="n"/>
      <c r="J166" s="181" t="n"/>
      <c r="K166" s="181" t="n"/>
      <c r="L166" s="181" t="n"/>
      <c r="M166" s="181" t="n"/>
      <c r="N166" s="181" t="n"/>
      <c r="O166" s="181" t="n"/>
      <c r="P166" s="181" t="n"/>
    </row>
    <row r="167">
      <c r="A167" s="181" t="n"/>
      <c r="B167" s="181" t="n"/>
      <c r="C167" s="181" t="n"/>
      <c r="D167" s="181" t="n"/>
      <c r="E167" s="181" t="n"/>
      <c r="F167" s="181" t="n"/>
      <c r="G167" s="181" t="n"/>
      <c r="H167" s="181" t="n"/>
      <c r="I167" s="181" t="n"/>
      <c r="J167" s="181" t="n"/>
      <c r="K167" s="181" t="n"/>
      <c r="L167" s="181" t="n"/>
      <c r="M167" s="181" t="n"/>
      <c r="N167" s="181" t="n"/>
      <c r="O167" s="181" t="n"/>
      <c r="P167" s="181" t="n"/>
    </row>
    <row r="168">
      <c r="A168" s="181" t="n"/>
      <c r="B168" s="181" t="n"/>
      <c r="C168" s="181" t="n"/>
      <c r="D168" s="181" t="n"/>
      <c r="E168" s="181" t="n"/>
      <c r="F168" s="181" t="n"/>
      <c r="G168" s="181" t="n"/>
      <c r="H168" s="181" t="n"/>
      <c r="I168" s="181" t="n"/>
      <c r="J168" s="181" t="n"/>
      <c r="K168" s="181" t="n"/>
      <c r="L168" s="181" t="n"/>
      <c r="M168" s="181" t="n"/>
      <c r="N168" s="181" t="n"/>
      <c r="O168" s="181" t="n"/>
      <c r="P168" s="181" t="n"/>
    </row>
    <row r="169">
      <c r="A169" s="181" t="n"/>
      <c r="B169" s="181" t="n"/>
      <c r="C169" s="181" t="n"/>
      <c r="D169" s="181" t="n"/>
      <c r="E169" s="181" t="n"/>
      <c r="F169" s="181" t="n"/>
      <c r="G169" s="181" t="n"/>
      <c r="H169" s="181" t="n"/>
      <c r="I169" s="181" t="n"/>
      <c r="J169" s="181" t="n"/>
      <c r="K169" s="181" t="n"/>
      <c r="L169" s="181" t="n"/>
      <c r="M169" s="181" t="n"/>
      <c r="N169" s="181" t="n"/>
      <c r="O169" s="181" t="n"/>
      <c r="P169" s="181" t="n"/>
    </row>
    <row r="170">
      <c r="A170" s="181" t="n"/>
      <c r="B170" s="181" t="n"/>
      <c r="C170" s="181" t="n"/>
      <c r="D170" s="181" t="n"/>
      <c r="E170" s="181" t="n"/>
      <c r="F170" s="181" t="n"/>
      <c r="G170" s="181" t="n"/>
      <c r="H170" s="181" t="n"/>
      <c r="I170" s="181" t="n"/>
      <c r="J170" s="181" t="n"/>
      <c r="K170" s="181" t="n"/>
      <c r="L170" s="181" t="n"/>
      <c r="M170" s="181" t="n"/>
      <c r="N170" s="181" t="n"/>
      <c r="O170" s="181" t="n"/>
      <c r="P170" s="181" t="n"/>
    </row>
    <row r="171">
      <c r="A171" s="181" t="n"/>
      <c r="B171" s="181" t="n"/>
      <c r="C171" s="181" t="n"/>
      <c r="D171" s="181" t="n"/>
      <c r="E171" s="181" t="n"/>
      <c r="F171" s="181" t="n"/>
      <c r="G171" s="181" t="n"/>
      <c r="H171" s="181" t="n"/>
      <c r="I171" s="181" t="n"/>
      <c r="J171" s="181" t="n"/>
      <c r="K171" s="181" t="n"/>
      <c r="L171" s="181" t="n"/>
      <c r="M171" s="181" t="n"/>
      <c r="N171" s="181" t="n"/>
      <c r="O171" s="181" t="n"/>
      <c r="P171" s="181" t="n"/>
    </row>
    <row r="172">
      <c r="A172" s="181" t="n"/>
      <c r="B172" s="181" t="n"/>
      <c r="C172" s="181" t="n"/>
      <c r="D172" s="181" t="n"/>
      <c r="E172" s="181" t="n"/>
      <c r="F172" s="181" t="n"/>
      <c r="G172" s="181" t="n"/>
      <c r="H172" s="181" t="n"/>
      <c r="I172" s="181" t="n"/>
      <c r="J172" s="181" t="n"/>
      <c r="K172" s="181" t="n"/>
      <c r="L172" s="181" t="n"/>
      <c r="M172" s="181" t="n"/>
      <c r="N172" s="181" t="n"/>
      <c r="O172" s="181" t="n"/>
      <c r="P172" s="181" t="n"/>
    </row>
    <row r="173">
      <c r="A173" s="181" t="n"/>
      <c r="B173" s="181" t="n"/>
      <c r="C173" s="181" t="n"/>
      <c r="D173" s="181" t="n"/>
      <c r="E173" s="181" t="n"/>
      <c r="F173" s="181" t="n"/>
      <c r="G173" s="181" t="n"/>
      <c r="H173" s="181" t="n"/>
      <c r="I173" s="181" t="n"/>
      <c r="J173" s="181" t="n"/>
      <c r="K173" s="181" t="n"/>
      <c r="L173" s="181" t="n"/>
      <c r="M173" s="181" t="n"/>
      <c r="N173" s="181" t="n"/>
      <c r="O173" s="181" t="n"/>
      <c r="P173" s="181" t="n"/>
    </row>
    <row r="174">
      <c r="A174" s="181" t="n"/>
      <c r="B174" s="181" t="n"/>
      <c r="C174" s="181" t="n"/>
      <c r="D174" s="181" t="n"/>
      <c r="E174" s="181" t="n"/>
      <c r="F174" s="181" t="n"/>
      <c r="G174" s="181" t="n"/>
      <c r="H174" s="181" t="n"/>
      <c r="I174" s="181" t="n"/>
      <c r="J174" s="181" t="n"/>
      <c r="K174" s="181" t="n"/>
      <c r="L174" s="181" t="n"/>
      <c r="M174" s="181" t="n"/>
      <c r="N174" s="181" t="n"/>
      <c r="O174" s="181" t="n"/>
      <c r="P174" s="181" t="n"/>
    </row>
    <row r="175">
      <c r="A175" s="181" t="n"/>
      <c r="B175" s="181" t="n"/>
      <c r="C175" s="181" t="n"/>
      <c r="D175" s="181" t="n"/>
      <c r="E175" s="181" t="n"/>
      <c r="F175" s="181" t="n"/>
      <c r="G175" s="181" t="n"/>
      <c r="H175" s="181" t="n"/>
      <c r="I175" s="181" t="n"/>
      <c r="J175" s="181" t="n"/>
      <c r="K175" s="181" t="n"/>
      <c r="L175" s="181" t="n"/>
      <c r="M175" s="181" t="n"/>
      <c r="N175" s="181" t="n"/>
      <c r="O175" s="181" t="n"/>
      <c r="P175" s="181" t="n"/>
    </row>
    <row r="176">
      <c r="A176" s="181" t="n"/>
      <c r="B176" s="181" t="n"/>
      <c r="C176" s="181" t="n"/>
      <c r="D176" s="181" t="n"/>
      <c r="E176" s="181" t="n"/>
      <c r="F176" s="181" t="n"/>
      <c r="G176" s="181" t="n"/>
      <c r="H176" s="181" t="n"/>
      <c r="I176" s="181" t="n"/>
      <c r="J176" s="181" t="n"/>
      <c r="K176" s="181" t="n"/>
      <c r="L176" s="181" t="n"/>
      <c r="M176" s="181" t="n"/>
      <c r="N176" s="181" t="n"/>
      <c r="O176" s="181" t="n"/>
      <c r="P176" s="181" t="n"/>
    </row>
    <row r="177">
      <c r="A177" s="181" t="n"/>
      <c r="B177" s="181" t="n"/>
      <c r="C177" s="181" t="n"/>
      <c r="D177" s="181" t="n"/>
      <c r="E177" s="181" t="n"/>
      <c r="F177" s="181" t="n"/>
      <c r="G177" s="181" t="n"/>
      <c r="H177" s="181" t="n"/>
      <c r="I177" s="181" t="n"/>
      <c r="J177" s="181" t="n"/>
      <c r="K177" s="181" t="n"/>
      <c r="L177" s="181" t="n"/>
      <c r="M177" s="181" t="n"/>
      <c r="N177" s="181" t="n"/>
      <c r="O177" s="181" t="n"/>
      <c r="P177" s="181" t="n"/>
    </row>
    <row r="178">
      <c r="A178" s="181" t="n"/>
      <c r="B178" s="181" t="n"/>
      <c r="C178" s="181" t="n"/>
      <c r="D178" s="181" t="n"/>
      <c r="E178" s="181" t="n"/>
      <c r="F178" s="181" t="n"/>
      <c r="G178" s="181" t="n"/>
      <c r="H178" s="181" t="n"/>
      <c r="I178" s="181" t="n"/>
      <c r="J178" s="181" t="n"/>
      <c r="K178" s="181" t="n"/>
      <c r="L178" s="181" t="n"/>
      <c r="M178" s="181" t="n"/>
      <c r="N178" s="181" t="n"/>
      <c r="O178" s="181" t="n"/>
      <c r="P178" s="181" t="n"/>
    </row>
    <row r="179">
      <c r="A179" s="181" t="n"/>
      <c r="B179" s="181" t="n"/>
      <c r="C179" s="181" t="n"/>
      <c r="D179" s="181" t="n"/>
      <c r="E179" s="181" t="n"/>
      <c r="F179" s="181" t="n"/>
      <c r="G179" s="181" t="n"/>
      <c r="H179" s="181" t="n"/>
      <c r="I179" s="181" t="n"/>
      <c r="J179" s="181" t="n"/>
      <c r="K179" s="181" t="n"/>
      <c r="L179" s="181" t="n"/>
      <c r="M179" s="181" t="n"/>
      <c r="N179" s="181" t="n"/>
      <c r="O179" s="181" t="n"/>
      <c r="P179" s="181" t="n"/>
    </row>
    <row r="180">
      <c r="A180" s="181" t="n"/>
      <c r="B180" s="181" t="n"/>
      <c r="C180" s="181" t="n"/>
      <c r="D180" s="181" t="n"/>
      <c r="E180" s="181" t="n"/>
      <c r="F180" s="181" t="n"/>
      <c r="G180" s="181" t="n"/>
      <c r="H180" s="181" t="n"/>
      <c r="I180" s="181" t="n"/>
      <c r="J180" s="181" t="n"/>
      <c r="K180" s="181" t="n"/>
      <c r="L180" s="181" t="n"/>
      <c r="M180" s="181" t="n"/>
      <c r="N180" s="181" t="n"/>
      <c r="O180" s="181" t="n"/>
      <c r="P180" s="181" t="n"/>
    </row>
    <row r="181">
      <c r="A181" s="181" t="n"/>
      <c r="B181" s="181" t="n"/>
      <c r="C181" s="181" t="n"/>
      <c r="D181" s="181" t="n"/>
      <c r="E181" s="181" t="n"/>
      <c r="F181" s="181" t="n"/>
      <c r="G181" s="181" t="n"/>
      <c r="H181" s="181" t="n"/>
      <c r="I181" s="181" t="n"/>
      <c r="J181" s="181" t="n"/>
      <c r="K181" s="181" t="n"/>
      <c r="L181" s="181" t="n"/>
      <c r="M181" s="181" t="n"/>
      <c r="N181" s="181" t="n"/>
      <c r="O181" s="181" t="n"/>
      <c r="P181" s="181" t="n"/>
    </row>
    <row r="182">
      <c r="A182" s="181" t="n"/>
      <c r="B182" s="181" t="n"/>
      <c r="C182" s="181" t="n"/>
      <c r="D182" s="181" t="n"/>
      <c r="E182" s="181" t="n"/>
      <c r="F182" s="181" t="n"/>
      <c r="G182" s="181" t="n"/>
      <c r="H182" s="181" t="n"/>
      <c r="I182" s="181" t="n"/>
      <c r="J182" s="181" t="n"/>
      <c r="K182" s="181" t="n"/>
      <c r="L182" s="181" t="n"/>
      <c r="M182" s="181" t="n"/>
      <c r="N182" s="181" t="n"/>
      <c r="O182" s="181" t="n"/>
      <c r="P182" s="181" t="n"/>
    </row>
    <row r="183">
      <c r="A183" s="181" t="n"/>
      <c r="B183" s="181" t="n"/>
      <c r="C183" s="181" t="n"/>
      <c r="D183" s="181" t="n"/>
      <c r="E183" s="181" t="n"/>
      <c r="F183" s="181" t="n"/>
      <c r="G183" s="181" t="n"/>
      <c r="H183" s="181" t="n"/>
      <c r="I183" s="181" t="n"/>
      <c r="J183" s="181" t="n"/>
      <c r="K183" s="181" t="n"/>
      <c r="L183" s="181" t="n"/>
      <c r="M183" s="181" t="n"/>
      <c r="N183" s="181" t="n"/>
      <c r="O183" s="181" t="n"/>
      <c r="P183" s="181" t="n"/>
    </row>
    <row r="184">
      <c r="A184" s="181" t="n"/>
      <c r="B184" s="181" t="n"/>
      <c r="C184" s="181" t="n"/>
      <c r="D184" s="181" t="n"/>
      <c r="E184" s="181" t="n"/>
      <c r="F184" s="181" t="n"/>
      <c r="G184" s="181" t="n"/>
      <c r="H184" s="181" t="n"/>
      <c r="I184" s="181" t="n"/>
      <c r="J184" s="181" t="n"/>
      <c r="K184" s="181" t="n"/>
      <c r="L184" s="181" t="n"/>
      <c r="M184" s="181" t="n"/>
      <c r="N184" s="181" t="n"/>
      <c r="O184" s="181" t="n"/>
      <c r="P184" s="181" t="n"/>
    </row>
    <row r="185">
      <c r="A185" s="181" t="n"/>
      <c r="B185" s="181" t="n"/>
      <c r="C185" s="181" t="n"/>
      <c r="D185" s="181" t="n"/>
      <c r="E185" s="181" t="n"/>
      <c r="F185" s="181" t="n"/>
      <c r="G185" s="181" t="n"/>
      <c r="H185" s="181" t="n"/>
      <c r="I185" s="181" t="n"/>
      <c r="J185" s="181" t="n"/>
      <c r="K185" s="181" t="n"/>
      <c r="L185" s="181" t="n"/>
      <c r="M185" s="181" t="n"/>
      <c r="N185" s="181" t="n"/>
      <c r="O185" s="181" t="n"/>
      <c r="P185" s="181" t="n"/>
    </row>
    <row r="186">
      <c r="A186" s="181" t="n"/>
      <c r="B186" s="181" t="n"/>
      <c r="C186" s="181" t="n"/>
      <c r="D186" s="181" t="n"/>
      <c r="E186" s="181" t="n"/>
      <c r="F186" s="181" t="n"/>
      <c r="G186" s="181" t="n"/>
      <c r="H186" s="181" t="n"/>
      <c r="I186" s="181" t="n"/>
      <c r="J186" s="181" t="n"/>
      <c r="K186" s="181" t="n"/>
      <c r="L186" s="181" t="n"/>
      <c r="M186" s="181" t="n"/>
      <c r="N186" s="181" t="n"/>
      <c r="O186" s="181" t="n"/>
      <c r="P186" s="181" t="n"/>
    </row>
    <row r="187">
      <c r="A187" s="181" t="n"/>
      <c r="B187" s="181" t="n"/>
      <c r="C187" s="181" t="n"/>
      <c r="D187" s="181" t="n"/>
      <c r="E187" s="181" t="n"/>
      <c r="F187" s="181" t="n"/>
      <c r="G187" s="181" t="n"/>
      <c r="H187" s="181" t="n"/>
      <c r="I187" s="181" t="n"/>
      <c r="J187" s="181" t="n"/>
      <c r="K187" s="181" t="n"/>
      <c r="L187" s="181" t="n"/>
      <c r="M187" s="181" t="n"/>
      <c r="N187" s="181" t="n"/>
      <c r="O187" s="181" t="n"/>
      <c r="P187" s="181" t="n"/>
    </row>
    <row r="188">
      <c r="A188" s="181" t="n"/>
      <c r="B188" s="181" t="n"/>
      <c r="C188" s="181" t="n"/>
      <c r="D188" s="181" t="n"/>
      <c r="E188" s="181" t="n"/>
      <c r="F188" s="181" t="n"/>
      <c r="G188" s="181" t="n"/>
      <c r="H188" s="181" t="n"/>
      <c r="I188" s="181" t="n"/>
      <c r="J188" s="181" t="n"/>
      <c r="K188" s="181" t="n"/>
      <c r="L188" s="181" t="n"/>
      <c r="M188" s="181" t="n"/>
      <c r="N188" s="181" t="n"/>
      <c r="O188" s="181" t="n"/>
      <c r="P188" s="181" t="n"/>
    </row>
    <row r="189">
      <c r="A189" s="181" t="n"/>
      <c r="B189" s="181" t="n"/>
      <c r="C189" s="181" t="n"/>
      <c r="D189" s="181" t="n"/>
      <c r="E189" s="181" t="n"/>
      <c r="F189" s="181" t="n"/>
      <c r="G189" s="181" t="n"/>
      <c r="H189" s="181" t="n"/>
      <c r="I189" s="181" t="n"/>
      <c r="J189" s="181" t="n"/>
      <c r="K189" s="181" t="n"/>
      <c r="L189" s="181" t="n"/>
      <c r="M189" s="181" t="n"/>
      <c r="N189" s="181" t="n"/>
      <c r="O189" s="181" t="n"/>
      <c r="P189" s="181" t="n"/>
    </row>
    <row r="190">
      <c r="A190" s="181" t="n"/>
      <c r="B190" s="181" t="n"/>
      <c r="C190" s="181" t="n"/>
      <c r="D190" s="181" t="n"/>
      <c r="E190" s="181" t="n"/>
      <c r="F190" s="181" t="n"/>
      <c r="G190" s="181" t="n"/>
      <c r="H190" s="181" t="n"/>
      <c r="I190" s="181" t="n"/>
      <c r="J190" s="181" t="n"/>
      <c r="K190" s="181" t="n"/>
      <c r="L190" s="181" t="n"/>
      <c r="M190" s="181" t="n"/>
      <c r="N190" s="181" t="n"/>
      <c r="O190" s="181" t="n"/>
      <c r="P190" s="181" t="n"/>
    </row>
    <row r="191">
      <c r="A191" s="181" t="n"/>
      <c r="B191" s="181" t="n"/>
      <c r="C191" s="181" t="n"/>
      <c r="D191" s="181" t="n"/>
      <c r="E191" s="181" t="n"/>
      <c r="F191" s="181" t="n"/>
      <c r="G191" s="181" t="n"/>
      <c r="H191" s="181" t="n"/>
      <c r="I191" s="181" t="n"/>
      <c r="J191" s="181" t="n"/>
      <c r="K191" s="181" t="n"/>
      <c r="L191" s="181" t="n"/>
      <c r="M191" s="181" t="n"/>
      <c r="N191" s="181" t="n"/>
      <c r="O191" s="181" t="n"/>
      <c r="P191" s="181" t="n"/>
    </row>
    <row r="192">
      <c r="A192" s="181" t="n"/>
      <c r="B192" s="181" t="n"/>
      <c r="C192" s="181" t="n"/>
      <c r="D192" s="181" t="n"/>
      <c r="E192" s="181" t="n"/>
      <c r="F192" s="181" t="n"/>
      <c r="G192" s="181" t="n"/>
      <c r="H192" s="181" t="n"/>
      <c r="I192" s="181" t="n"/>
      <c r="J192" s="181" t="n"/>
      <c r="K192" s="181" t="n"/>
      <c r="L192" s="181" t="n"/>
      <c r="M192" s="181" t="n"/>
      <c r="N192" s="181" t="n"/>
      <c r="O192" s="181" t="n"/>
      <c r="P192" s="181" t="n"/>
    </row>
    <row r="193">
      <c r="A193" s="181" t="n"/>
      <c r="B193" s="181" t="n"/>
      <c r="C193" s="181" t="n"/>
      <c r="D193" s="181" t="n"/>
      <c r="E193" s="181" t="n"/>
      <c r="F193" s="181" t="n"/>
      <c r="G193" s="181" t="n"/>
      <c r="H193" s="181" t="n"/>
      <c r="I193" s="181" t="n"/>
      <c r="J193" s="181" t="n"/>
      <c r="K193" s="181" t="n"/>
      <c r="L193" s="181" t="n"/>
      <c r="M193" s="181" t="n"/>
      <c r="N193" s="181" t="n"/>
      <c r="O193" s="181" t="n"/>
      <c r="P193" s="181" t="n"/>
    </row>
    <row r="194">
      <c r="A194" s="181" t="n"/>
      <c r="B194" s="181" t="n"/>
      <c r="C194" s="181" t="n"/>
      <c r="D194" s="181" t="n"/>
      <c r="E194" s="181" t="n"/>
      <c r="F194" s="181" t="n"/>
      <c r="G194" s="181" t="n"/>
      <c r="H194" s="181" t="n"/>
      <c r="I194" s="181" t="n"/>
      <c r="J194" s="181" t="n"/>
      <c r="K194" s="181" t="n"/>
      <c r="L194" s="181" t="n"/>
      <c r="M194" s="181" t="n"/>
      <c r="N194" s="181" t="n"/>
      <c r="O194" s="181" t="n"/>
      <c r="P194" s="181" t="n"/>
    </row>
    <row r="195">
      <c r="A195" s="181" t="n"/>
      <c r="B195" s="181" t="n"/>
      <c r="C195" s="181" t="n"/>
      <c r="D195" s="181" t="n"/>
      <c r="E195" s="181" t="n"/>
      <c r="F195" s="181" t="n"/>
      <c r="G195" s="181" t="n"/>
      <c r="H195" s="181" t="n"/>
      <c r="I195" s="181" t="n"/>
      <c r="J195" s="181" t="n"/>
      <c r="K195" s="181" t="n"/>
      <c r="L195" s="181" t="n"/>
      <c r="M195" s="181" t="n"/>
      <c r="N195" s="181" t="n"/>
      <c r="O195" s="181" t="n"/>
      <c r="P195" s="181" t="n"/>
    </row>
    <row r="196">
      <c r="A196" s="181" t="n"/>
      <c r="B196" s="181" t="n"/>
      <c r="C196" s="181" t="n"/>
      <c r="D196" s="181" t="n"/>
      <c r="E196" s="181" t="n"/>
      <c r="F196" s="181" t="n"/>
      <c r="G196" s="181" t="n"/>
      <c r="H196" s="181" t="n"/>
      <c r="I196" s="181" t="n"/>
      <c r="J196" s="181" t="n"/>
      <c r="K196" s="181" t="n"/>
      <c r="L196" s="181" t="n"/>
      <c r="M196" s="181" t="n"/>
      <c r="N196" s="181" t="n"/>
      <c r="O196" s="181" t="n"/>
      <c r="P196" s="181" t="n"/>
    </row>
    <row r="197">
      <c r="A197" s="181" t="n"/>
      <c r="B197" s="181" t="n"/>
      <c r="C197" s="181" t="n"/>
      <c r="D197" s="181" t="n"/>
      <c r="E197" s="181" t="n"/>
      <c r="F197" s="181" t="n"/>
      <c r="G197" s="181" t="n"/>
      <c r="H197" s="181" t="n"/>
      <c r="I197" s="181" t="n"/>
      <c r="J197" s="181" t="n"/>
      <c r="K197" s="181" t="n"/>
      <c r="L197" s="181" t="n"/>
      <c r="M197" s="181" t="n"/>
      <c r="N197" s="181" t="n"/>
      <c r="O197" s="181" t="n"/>
      <c r="P197" s="181" t="n"/>
    </row>
    <row r="198">
      <c r="A198" s="181" t="n"/>
      <c r="B198" s="181" t="n"/>
      <c r="C198" s="181" t="n"/>
      <c r="D198" s="181" t="n"/>
      <c r="E198" s="181" t="n"/>
      <c r="F198" s="181" t="n"/>
      <c r="G198" s="181" t="n"/>
      <c r="H198" s="181" t="n"/>
      <c r="I198" s="181" t="n"/>
      <c r="J198" s="181" t="n"/>
      <c r="K198" s="181" t="n"/>
      <c r="L198" s="181" t="n"/>
      <c r="M198" s="181" t="n"/>
      <c r="N198" s="181" t="n"/>
      <c r="O198" s="181" t="n"/>
      <c r="P198" s="181" t="n"/>
    </row>
    <row r="199">
      <c r="A199" s="181" t="n"/>
      <c r="B199" s="181" t="n"/>
      <c r="C199" s="181" t="n"/>
      <c r="D199" s="181" t="n"/>
      <c r="E199" s="181" t="n"/>
      <c r="F199" s="181" t="n"/>
      <c r="G199" s="181" t="n"/>
      <c r="H199" s="181" t="n"/>
      <c r="I199" s="181" t="n"/>
      <c r="J199" s="181" t="n"/>
      <c r="K199" s="181" t="n"/>
      <c r="L199" s="181" t="n"/>
      <c r="M199" s="181" t="n"/>
      <c r="N199" s="181" t="n"/>
      <c r="O199" s="181" t="n"/>
      <c r="P199" s="181" t="n"/>
    </row>
    <row r="200">
      <c r="A200" s="181" t="n"/>
      <c r="B200" s="181" t="n"/>
      <c r="C200" s="181" t="n"/>
      <c r="D200" s="181" t="n"/>
      <c r="E200" s="181" t="n"/>
      <c r="F200" s="181" t="n"/>
      <c r="G200" s="181" t="n"/>
      <c r="H200" s="181" t="n"/>
      <c r="I200" s="181" t="n"/>
      <c r="J200" s="181" t="n"/>
      <c r="K200" s="181" t="n"/>
      <c r="L200" s="181" t="n"/>
      <c r="M200" s="181" t="n"/>
      <c r="N200" s="181" t="n"/>
      <c r="O200" s="181" t="n"/>
      <c r="P200" s="181" t="n"/>
    </row>
  </sheetData>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29000091552734" customWidth="1" style="76" min="1" max="1"/>
    <col width="6.139999866485596" customWidth="1" style="76" min="2" max="2"/>
    <col width="54.29000091552734" customWidth="1" style="76" min="3" max="3"/>
  </cols>
  <sheetData>
    <row r="1">
      <c r="A1" t="inlineStr">
        <is>
          <t>action</t>
        </is>
      </c>
      <c r="B1" t="inlineStr">
        <is>
          <t>result</t>
        </is>
      </c>
      <c r="C1" t="inlineStr">
        <is>
          <t>note</t>
        </is>
      </c>
    </row>
    <row r="2">
      <c r="A2" t="inlineStr">
        <is>
          <t>stack safety review</t>
        </is>
      </c>
      <c r="B2" t="n">
        <v>40</v>
      </c>
      <c r="C2" t="inlineStr">
        <is>
          <t>goal-specific 2- and 3-herb stacks reviewed</t>
        </is>
      </c>
    </row>
    <row r="3">
      <c r="A3" t="inlineStr">
        <is>
          <t>avoid stacks</t>
        </is>
      </c>
      <c r="B3" t="n">
        <v>0</v>
      </c>
      <c r="C3" t="inlineStr">
        <is>
          <t>contains high-severity herb-level contraindications</t>
        </is>
      </c>
    </row>
    <row r="4">
      <c r="A4" t="inlineStr">
        <is>
          <t>caution stacks</t>
        </is>
      </c>
      <c r="B4" t="n">
        <v>19</v>
      </c>
      <c r="C4" t="inlineStr">
        <is>
          <t>moderate or additive-domain risks detected</t>
        </is>
      </c>
    </row>
    <row r="5">
      <c r="A5" t="inlineStr">
        <is>
          <t>safe stacks</t>
        </is>
      </c>
      <c r="B5" t="n">
        <v>6</v>
      </c>
      <c r="C5" t="inlineStr">
        <is>
          <t>no current conflict detected from active rules</t>
        </is>
      </c>
    </row>
  </sheetData>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70999908447266" customWidth="1" style="76" min="1" max="1"/>
    <col width="10.14000034332275" customWidth="1" style="76" min="2" max="2"/>
    <col width="49.43000030517578" customWidth="1" style="76" min="3" max="3"/>
  </cols>
  <sheetData>
    <row r="1">
      <c r="A1" t="inlineStr">
        <is>
          <t>action</t>
        </is>
      </c>
      <c r="B1" t="inlineStr">
        <is>
          <t>result</t>
        </is>
      </c>
      <c r="C1" t="inlineStr">
        <is>
          <t>note</t>
        </is>
      </c>
    </row>
    <row r="2">
      <c r="A2" t="inlineStr">
        <is>
          <t>preferred stack surfacing</t>
        </is>
      </c>
      <c r="B2" t="inlineStr">
        <is>
          <t>complete</t>
        </is>
      </c>
      <c r="C2" t="inlineStr">
        <is>
          <t>selected cleaner stacks per goal and stack size</t>
        </is>
      </c>
    </row>
    <row r="3">
      <c r="A3" t="inlineStr">
        <is>
          <t>preferred rows</t>
        </is>
      </c>
      <c r="B3" t="n">
        <v>19</v>
      </c>
      <c r="C3" t="inlineStr">
        <is>
          <t>top safer stacks retained</t>
        </is>
      </c>
    </row>
    <row r="4">
      <c r="A4" t="inlineStr">
        <is>
          <t>goals processed</t>
        </is>
      </c>
      <c r="B4" t="n">
        <v>4</v>
      </c>
      <c r="C4" t="inlineStr">
        <is>
          <t>sleep, inflammation, mood, liver</t>
        </is>
      </c>
    </row>
  </sheetData>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cols>
    <col width="14.43000030517578" customWidth="1" style="76" min="1" max="1"/>
    <col width="7.570000171661377" customWidth="1" style="76" min="2" max="2"/>
    <col width="16.56999969482422" customWidth="1" style="76" min="3" max="3"/>
    <col width="21.29000091552734" customWidth="1" style="76" min="4" max="4"/>
    <col width="21.29000091552734" customWidth="1" style="76" min="5" max="5"/>
    <col width="8" customWidth="1" style="76" min="6" max="6"/>
    <col width="6" customWidth="1" style="76" min="7" max="7"/>
    <col width="73.70999908447266" customWidth="1" style="76" min="8" max="8"/>
    <col width="55.43000030517578" customWidth="1" style="76" min="9" max="9"/>
    <col width="70.13999938964844" customWidth="1" style="76" min="10" max="10"/>
  </cols>
  <sheetData>
    <row r="1">
      <c r="A1" s="181" t="inlineStr">
        <is>
          <t>goal</t>
        </is>
      </c>
      <c r="B1" s="181" t="inlineStr">
        <is>
          <t>type</t>
        </is>
      </c>
      <c r="C1" s="181" t="inlineStr">
        <is>
          <t>herb1</t>
        </is>
      </c>
      <c r="D1" s="181" t="inlineStr">
        <is>
          <t>herb2</t>
        </is>
      </c>
      <c r="E1" s="181" t="inlineStr">
        <is>
          <t>herb3</t>
        </is>
      </c>
      <c r="F1" s="181" t="inlineStr">
        <is>
          <t>status</t>
        </is>
      </c>
      <c r="G1" s="181" t="inlineStr">
        <is>
          <t>score</t>
        </is>
      </c>
      <c r="H1" s="181" t="inlineStr">
        <is>
          <t>whySelected</t>
        </is>
      </c>
      <c r="I1" s="181" t="inlineStr">
        <is>
          <t>saferAlternative</t>
        </is>
      </c>
      <c r="J1" s="181" t="inlineStr">
        <is>
          <t>notes</t>
        </is>
      </c>
    </row>
    <row r="2">
      <c r="A2" s="181" t="inlineStr">
        <is>
          <t>Sleep</t>
        </is>
      </c>
      <c r="B2" s="181" t="inlineStr">
        <is>
          <t>2-stack</t>
        </is>
      </c>
      <c r="C2" s="181" t="inlineStr">
        <is>
          <t>Rhodiola Rosea</t>
        </is>
      </c>
      <c r="D2" s="181" t="inlineStr">
        <is>
          <t>Lemon Balm</t>
        </is>
      </c>
      <c r="E2" s="181" t="n"/>
      <c r="F2" s="181" t="inlineStr">
        <is>
          <t>safe</t>
        </is>
      </c>
      <c r="G2" s="181" t="n">
        <v>26</v>
      </c>
      <c r="H2" s="181" t="inlineStr">
        <is>
          <t>No contraindication conflicts detected; prioritized as safest option.</t>
        </is>
      </c>
      <c r="I2" s="181" t="inlineStr">
        <is>
          <t>No safer replacement currently available</t>
        </is>
      </c>
      <c r="J2" s="181" t="inlineStr">
        <is>
          <t>safer alternatives exist; weaker caution/review stacks suppressed</t>
        </is>
      </c>
    </row>
    <row r="3">
      <c r="A3" s="181" t="inlineStr">
        <is>
          <t>Sleep</t>
        </is>
      </c>
      <c r="B3" s="181" t="inlineStr">
        <is>
          <t>2-stack</t>
        </is>
      </c>
      <c r="C3" s="181" t="inlineStr">
        <is>
          <t>Rhodiola Rosea</t>
        </is>
      </c>
      <c r="D3" s="181" t="inlineStr">
        <is>
          <t>Holy Basil</t>
        </is>
      </c>
      <c r="E3" s="181" t="n"/>
      <c r="F3" s="181" t="inlineStr">
        <is>
          <t>safe</t>
        </is>
      </c>
      <c r="G3" s="181" t="n">
        <v>23</v>
      </c>
      <c r="H3" s="181" t="inlineStr">
        <is>
          <t>No contraindication conflicts detected; prioritized as safest option.</t>
        </is>
      </c>
      <c r="I3" s="181" t="inlineStr">
        <is>
          <t>No safer replacement currently available</t>
        </is>
      </c>
      <c r="J3" s="181" t="inlineStr">
        <is>
          <t>safer alternatives exist; weaker caution/review stacks suppressed</t>
        </is>
      </c>
    </row>
    <row r="4">
      <c r="A4" s="181" t="inlineStr">
        <is>
          <t>Sleep</t>
        </is>
      </c>
      <c r="B4" s="181" t="inlineStr">
        <is>
          <t>3-stack</t>
        </is>
      </c>
      <c r="C4" s="181" t="inlineStr">
        <is>
          <t>Rhodiola Rosea</t>
        </is>
      </c>
      <c r="D4" s="181" t="inlineStr">
        <is>
          <t>Lemon Balm</t>
        </is>
      </c>
      <c r="E4" s="181" t="inlineStr">
        <is>
          <t>Holy Basil</t>
        </is>
      </c>
      <c r="F4" s="181" t="inlineStr">
        <is>
          <t>safe</t>
        </is>
      </c>
      <c r="G4" s="181" t="n">
        <v>33</v>
      </c>
      <c r="H4" s="181" t="inlineStr">
        <is>
          <t>No contraindication conflicts detected; prioritized as safest option.</t>
        </is>
      </c>
      <c r="I4" s="181" t="inlineStr">
        <is>
          <t>No safer replacement currently available</t>
        </is>
      </c>
      <c r="J4" s="181" t="inlineStr">
        <is>
          <t>safer alternatives exist; weaker caution/review stacks suppressed</t>
        </is>
      </c>
    </row>
    <row r="5">
      <c r="A5" s="181" t="inlineStr">
        <is>
          <t>Sleep</t>
        </is>
      </c>
      <c r="B5" s="181" t="inlineStr">
        <is>
          <t>3-stack</t>
        </is>
      </c>
      <c r="C5" s="181" t="inlineStr">
        <is>
          <t>Rhodiola Rosea</t>
        </is>
      </c>
      <c r="D5" s="181" t="inlineStr">
        <is>
          <t>Lemon Balm</t>
        </is>
      </c>
      <c r="E5" s="181" t="inlineStr">
        <is>
          <t>Echinacea Purpurea</t>
        </is>
      </c>
      <c r="F5" s="181" t="inlineStr">
        <is>
          <t>safe</t>
        </is>
      </c>
      <c r="G5" s="181" t="n">
        <v>32.25</v>
      </c>
      <c r="H5" s="181" t="inlineStr">
        <is>
          <t>No contraindication conflicts detected; prioritized as safest option.</t>
        </is>
      </c>
      <c r="I5" s="181" t="inlineStr">
        <is>
          <t>No safer replacement currently available</t>
        </is>
      </c>
      <c r="J5" s="181" t="inlineStr">
        <is>
          <t>safer alternatives exist; weaker caution/review stacks suppressed</t>
        </is>
      </c>
    </row>
    <row r="6">
      <c r="A6" s="181" t="inlineStr">
        <is>
          <t>Inflammation</t>
        </is>
      </c>
      <c r="B6" s="181" t="inlineStr">
        <is>
          <t>2-stack</t>
        </is>
      </c>
      <c r="C6" s="181" t="inlineStr">
        <is>
          <t>Milk Thistle</t>
        </is>
      </c>
      <c r="D6" s="181" t="inlineStr">
        <is>
          <t>Turmeric</t>
        </is>
      </c>
      <c r="E6" s="181" t="n"/>
      <c r="F6" s="181" t="inlineStr">
        <is>
          <t>caution</t>
        </is>
      </c>
      <c r="G6" s="181" t="n">
        <v>30.5</v>
      </c>
      <c r="H6" s="181" t="inlineStr">
        <is>
          <t>Moderate risk present; retained due to lack of fully safe alternatives.</t>
        </is>
      </c>
      <c r="I6" s="181" t="inlineStr">
        <is>
          <t>Milk Thistle + Ginkgo Biloba</t>
        </is>
      </c>
      <c r="J6" s="181" t="inlineStr">
        <is>
          <t>no safe stacks available; best caution stacks retained</t>
        </is>
      </c>
    </row>
    <row r="7">
      <c r="A7" s="181" t="inlineStr">
        <is>
          <t>Inflammation</t>
        </is>
      </c>
      <c r="B7" s="181" t="inlineStr">
        <is>
          <t>2-stack</t>
        </is>
      </c>
      <c r="C7" s="181" t="inlineStr">
        <is>
          <t>Milk Thistle</t>
        </is>
      </c>
      <c r="D7" s="181" t="inlineStr">
        <is>
          <t>Ashwagandha</t>
        </is>
      </c>
      <c r="E7" s="181" t="n"/>
      <c r="F7" s="181" t="inlineStr">
        <is>
          <t>caution</t>
        </is>
      </c>
      <c r="G7" s="181" t="n">
        <v>28</v>
      </c>
      <c r="H7" s="181" t="inlineStr">
        <is>
          <t>Moderate risk present; retained due to lack of fully safe alternatives.</t>
        </is>
      </c>
      <c r="I7" s="181" t="inlineStr">
        <is>
          <t>Milk Thistle + Ginkgo Biloba</t>
        </is>
      </c>
      <c r="J7" s="181" t="inlineStr">
        <is>
          <t>no safe stacks available; best caution stacks retained</t>
        </is>
      </c>
    </row>
    <row r="8">
      <c r="A8" s="181" t="inlineStr">
        <is>
          <t>Inflammation</t>
        </is>
      </c>
      <c r="B8" s="181" t="inlineStr">
        <is>
          <t>3-stack</t>
        </is>
      </c>
      <c r="C8" s="181" t="inlineStr">
        <is>
          <t>Milk Thistle</t>
        </is>
      </c>
      <c r="D8" s="181" t="inlineStr">
        <is>
          <t>Ginkgo Biloba</t>
        </is>
      </c>
      <c r="E8" s="181" t="inlineStr">
        <is>
          <t>Turmeric</t>
        </is>
      </c>
      <c r="F8" s="181" t="inlineStr">
        <is>
          <t>caution</t>
        </is>
      </c>
      <c r="G8" s="181" t="n">
        <v>45</v>
      </c>
      <c r="H8" s="181" t="inlineStr">
        <is>
          <t>Moderate risk present; retained due to lack of fully safe alternatives.</t>
        </is>
      </c>
      <c r="I8" s="181" t="inlineStr">
        <is>
          <t>Milk Thistle + Ginkgo Biloba + Rhodiola Rosea</t>
        </is>
      </c>
      <c r="J8" s="181" t="inlineStr">
        <is>
          <t>no safe stacks available; best caution stacks retained</t>
        </is>
      </c>
    </row>
    <row r="9">
      <c r="A9" s="181" t="inlineStr">
        <is>
          <t>Inflammation</t>
        </is>
      </c>
      <c r="B9" s="181" t="inlineStr">
        <is>
          <t>3-stack</t>
        </is>
      </c>
      <c r="C9" s="181" t="inlineStr">
        <is>
          <t>Milk Thistle</t>
        </is>
      </c>
      <c r="D9" s="181" t="inlineStr">
        <is>
          <t>Ginkgo Biloba</t>
        </is>
      </c>
      <c r="E9" s="181" t="inlineStr">
        <is>
          <t>Ashwagandha</t>
        </is>
      </c>
      <c r="F9" s="181" t="inlineStr">
        <is>
          <t>caution</t>
        </is>
      </c>
      <c r="G9" s="181" t="n">
        <v>42.5</v>
      </c>
      <c r="H9" s="181" t="inlineStr">
        <is>
          <t>Moderate risk present; retained due to lack of fully safe alternatives.</t>
        </is>
      </c>
      <c r="I9" s="181" t="inlineStr">
        <is>
          <t>Milk Thistle + Ginkgo Biloba + Rhodiola Rosea</t>
        </is>
      </c>
      <c r="J9" s="181" t="inlineStr">
        <is>
          <t>no safe stacks available; best caution stacks retained</t>
        </is>
      </c>
    </row>
    <row r="10">
      <c r="A10" s="181" t="inlineStr">
        <is>
          <t>Mood</t>
        </is>
      </c>
      <c r="B10" s="181" t="inlineStr">
        <is>
          <t>2-stack</t>
        </is>
      </c>
      <c r="C10" s="181" t="inlineStr">
        <is>
          <t>Rhodiola Rosea</t>
        </is>
      </c>
      <c r="D10" s="181" t="inlineStr">
        <is>
          <t>Echinacea Purpurea</t>
        </is>
      </c>
      <c r="E10" s="181" t="n"/>
      <c r="F10" s="181" t="inlineStr">
        <is>
          <t>safe</t>
        </is>
      </c>
      <c r="G10" s="181" t="n">
        <v>25.25</v>
      </c>
      <c r="H10" s="181" t="inlineStr">
        <is>
          <t>No contraindication conflicts detected; prioritized as safest option.</t>
        </is>
      </c>
      <c r="I10" s="181" t="inlineStr">
        <is>
          <t>No safer replacement currently available</t>
        </is>
      </c>
      <c r="J10" s="181" t="inlineStr">
        <is>
          <t>safer alternatives exist; weaker caution/review stacks suppressed</t>
        </is>
      </c>
    </row>
    <row r="11">
      <c r="A11" s="181" t="inlineStr">
        <is>
          <t>Mood</t>
        </is>
      </c>
      <c r="B11" s="181" t="inlineStr">
        <is>
          <t>2-stack</t>
        </is>
      </c>
      <c r="C11" s="181" t="inlineStr">
        <is>
          <t>Rhodiola Rosea</t>
        </is>
      </c>
      <c r="D11" s="181" t="inlineStr">
        <is>
          <t>Holy Basil</t>
        </is>
      </c>
      <c r="E11" s="181" t="n"/>
      <c r="F11" s="181" t="inlineStr">
        <is>
          <t>safe</t>
        </is>
      </c>
      <c r="G11" s="181" t="n">
        <v>23</v>
      </c>
      <c r="H11" s="181" t="inlineStr">
        <is>
          <t>No contraindication conflicts detected; prioritized as safest option.</t>
        </is>
      </c>
      <c r="I11" s="181" t="inlineStr">
        <is>
          <t>No safer replacement currently available</t>
        </is>
      </c>
      <c r="J11" s="181" t="inlineStr">
        <is>
          <t>safer alternatives exist; weaker caution/review stacks suppressed</t>
        </is>
      </c>
    </row>
    <row r="12">
      <c r="A12" s="181" t="inlineStr">
        <is>
          <t>Mood</t>
        </is>
      </c>
      <c r="B12" s="181" t="inlineStr">
        <is>
          <t>3-stack</t>
        </is>
      </c>
      <c r="C12" s="181" t="inlineStr">
        <is>
          <t>Rhodiola Rosea</t>
        </is>
      </c>
      <c r="D12" s="181" t="inlineStr">
        <is>
          <t>Milk Thistle</t>
        </is>
      </c>
      <c r="E12" s="181" t="inlineStr">
        <is>
          <t>Ashwagandha</t>
        </is>
      </c>
      <c r="F12" s="181" t="inlineStr">
        <is>
          <t>caution</t>
        </is>
      </c>
      <c r="G12" s="181" t="n">
        <v>34.75</v>
      </c>
      <c r="H12" s="181" t="inlineStr">
        <is>
          <t>Moderate risk present; retained due to lack of fully safe alternatives.</t>
        </is>
      </c>
      <c r="I12" s="181" t="inlineStr">
        <is>
          <t>Rhodiola Rosea + Milk Thistle + Echinacea Purpurea</t>
        </is>
      </c>
      <c r="J12" s="181" t="inlineStr">
        <is>
          <t>no safe stacks available; best caution stacks retained</t>
        </is>
      </c>
    </row>
    <row r="13">
      <c r="A13" s="181" t="inlineStr">
        <is>
          <t>Mood</t>
        </is>
      </c>
      <c r="B13" s="181" t="inlineStr">
        <is>
          <t>3-stack</t>
        </is>
      </c>
      <c r="C13" s="181" t="inlineStr">
        <is>
          <t>Rhodiola Rosea</t>
        </is>
      </c>
      <c r="D13" s="181" t="inlineStr">
        <is>
          <t>Milk Thistle</t>
        </is>
      </c>
      <c r="E13" s="181" t="inlineStr">
        <is>
          <t>Turmeric</t>
        </is>
      </c>
      <c r="F13" s="181" t="inlineStr">
        <is>
          <t>caution</t>
        </is>
      </c>
      <c r="G13" s="181" t="n">
        <v>32.25</v>
      </c>
      <c r="H13" s="181" t="inlineStr">
        <is>
          <t>Moderate risk present; retained due to lack of fully safe alternatives.</t>
        </is>
      </c>
      <c r="I13" s="181" t="inlineStr">
        <is>
          <t>Rhodiola Rosea + Milk Thistle + Echinacea Purpurea</t>
        </is>
      </c>
      <c r="J13" s="181" t="inlineStr">
        <is>
          <t>no safe stacks available; best caution stacks retained</t>
        </is>
      </c>
    </row>
    <row r="14">
      <c r="A14" s="181" t="inlineStr">
        <is>
          <t>Mood</t>
        </is>
      </c>
      <c r="B14" s="181" t="inlineStr">
        <is>
          <t>3-stack</t>
        </is>
      </c>
      <c r="C14" s="181" t="inlineStr">
        <is>
          <t>Rhodiola Rosea</t>
        </is>
      </c>
      <c r="D14" s="181" t="inlineStr">
        <is>
          <t>Milk Thistle</t>
        </is>
      </c>
      <c r="E14" s="181" t="inlineStr">
        <is>
          <t>Garlic</t>
        </is>
      </c>
      <c r="F14" s="181" t="inlineStr">
        <is>
          <t>caution</t>
        </is>
      </c>
      <c r="G14" s="181" t="n">
        <v>31.5</v>
      </c>
      <c r="H14" s="181" t="inlineStr">
        <is>
          <t>Moderate risk present; retained due to lack of fully safe alternatives.</t>
        </is>
      </c>
      <c r="I14" s="181" t="inlineStr">
        <is>
          <t>Rhodiola Rosea + Milk Thistle + Echinacea Purpurea</t>
        </is>
      </c>
      <c r="J14" s="181" t="inlineStr">
        <is>
          <t>no safe stacks available; best caution stacks retained</t>
        </is>
      </c>
    </row>
    <row r="15">
      <c r="A15" s="181" t="inlineStr">
        <is>
          <t>Liver</t>
        </is>
      </c>
      <c r="B15" s="181" t="inlineStr">
        <is>
          <t>2-stack</t>
        </is>
      </c>
      <c r="C15" s="181" t="inlineStr">
        <is>
          <t>Milk Thistle</t>
        </is>
      </c>
      <c r="D15" s="181" t="inlineStr">
        <is>
          <t>Turmeric</t>
        </is>
      </c>
      <c r="E15" s="181" t="n"/>
      <c r="F15" s="181" t="inlineStr">
        <is>
          <t>caution</t>
        </is>
      </c>
      <c r="G15" s="181" t="n">
        <v>24.5</v>
      </c>
      <c r="H15" s="181" t="inlineStr">
        <is>
          <t>Moderate risk present; retained due to lack of fully safe alternatives.</t>
        </is>
      </c>
      <c r="I15" s="181" t="inlineStr">
        <is>
          <t>Milk Thistle + Rhodiola Rosea</t>
        </is>
      </c>
      <c r="J15" s="181" t="inlineStr">
        <is>
          <t>no safe stacks available; best caution stacks retained</t>
        </is>
      </c>
    </row>
    <row r="16">
      <c r="A16" s="181" t="inlineStr">
        <is>
          <t>Liver</t>
        </is>
      </c>
      <c r="B16" s="181" t="inlineStr">
        <is>
          <t>2-stack</t>
        </is>
      </c>
      <c r="C16" s="181" t="inlineStr">
        <is>
          <t>Milk Thistle</t>
        </is>
      </c>
      <c r="D16" s="181" t="inlineStr">
        <is>
          <t>Garlic</t>
        </is>
      </c>
      <c r="E16" s="181" t="n"/>
      <c r="F16" s="181" t="inlineStr">
        <is>
          <t>caution</t>
        </is>
      </c>
      <c r="G16" s="181" t="n">
        <v>23.75</v>
      </c>
      <c r="H16" s="181" t="inlineStr">
        <is>
          <t>Moderate risk present; retained due to lack of fully safe alternatives.</t>
        </is>
      </c>
      <c r="I16" s="181" t="inlineStr">
        <is>
          <t>Milk Thistle + Rhodiola Rosea</t>
        </is>
      </c>
      <c r="J16" s="181" t="inlineStr">
        <is>
          <t>no safe stacks available; best caution stacks retained</t>
        </is>
      </c>
    </row>
    <row r="17">
      <c r="A17" s="181" t="inlineStr">
        <is>
          <t>Liver</t>
        </is>
      </c>
      <c r="B17" s="181" t="inlineStr">
        <is>
          <t>2-stack</t>
        </is>
      </c>
      <c r="C17" s="181" t="inlineStr">
        <is>
          <t>Milk Thistle</t>
        </is>
      </c>
      <c r="D17" s="181" t="inlineStr">
        <is>
          <t>Ashwagandha</t>
        </is>
      </c>
      <c r="E17" s="181" t="n"/>
      <c r="F17" s="181" t="inlineStr">
        <is>
          <t>caution</t>
        </is>
      </c>
      <c r="G17" s="181" t="n">
        <v>21</v>
      </c>
      <c r="H17" s="181" t="inlineStr">
        <is>
          <t>Moderate risk present; retained due to lack of fully safe alternatives.</t>
        </is>
      </c>
      <c r="I17" s="181" t="inlineStr">
        <is>
          <t>Milk Thistle + Rhodiola Rosea</t>
        </is>
      </c>
      <c r="J17" s="181" t="inlineStr">
        <is>
          <t>no safe stacks available; best caution stacks retained</t>
        </is>
      </c>
    </row>
    <row r="18">
      <c r="A18" s="181" t="inlineStr">
        <is>
          <t>Liver</t>
        </is>
      </c>
      <c r="B18" s="181" t="inlineStr">
        <is>
          <t>3-stack</t>
        </is>
      </c>
      <c r="C18" s="181" t="inlineStr">
        <is>
          <t>Milk Thistle</t>
        </is>
      </c>
      <c r="D18" s="181" t="inlineStr">
        <is>
          <t>Rhodiola Rosea</t>
        </is>
      </c>
      <c r="E18" s="181" t="inlineStr">
        <is>
          <t>Turmeric</t>
        </is>
      </c>
      <c r="F18" s="181" t="inlineStr">
        <is>
          <t>caution</t>
        </is>
      </c>
      <c r="G18" s="181" t="n">
        <v>35.5</v>
      </c>
      <c r="H18" s="181" t="inlineStr">
        <is>
          <t>Moderate risk present; retained due to lack of fully safe alternatives.</t>
        </is>
      </c>
      <c r="I18" s="181" t="inlineStr">
        <is>
          <t>Milk Thistle + Rhodiola Rosea + Echinacea Purpurea</t>
        </is>
      </c>
      <c r="J18" s="181" t="inlineStr">
        <is>
          <t>no safe stacks available; best caution stacks retained</t>
        </is>
      </c>
    </row>
    <row r="19">
      <c r="A19" s="181" t="inlineStr">
        <is>
          <t>Liver</t>
        </is>
      </c>
      <c r="B19" s="181" t="inlineStr">
        <is>
          <t>3-stack</t>
        </is>
      </c>
      <c r="C19" s="181" t="inlineStr">
        <is>
          <t>Milk Thistle</t>
        </is>
      </c>
      <c r="D19" s="181" t="inlineStr">
        <is>
          <t>Rhodiola Rosea</t>
        </is>
      </c>
      <c r="E19" s="181" t="inlineStr">
        <is>
          <t>Garlic</t>
        </is>
      </c>
      <c r="F19" s="181" t="inlineStr">
        <is>
          <t>caution</t>
        </is>
      </c>
      <c r="G19" s="181" t="n">
        <v>34.75</v>
      </c>
      <c r="H19" s="181" t="inlineStr">
        <is>
          <t>Moderate risk present; retained due to lack of fully safe alternatives.</t>
        </is>
      </c>
      <c r="I19" s="181" t="inlineStr">
        <is>
          <t>Milk Thistle + Rhodiola Rosea + Echinacea Purpurea</t>
        </is>
      </c>
      <c r="J19" s="181" t="inlineStr">
        <is>
          <t>no safe stacks available; best caution stacks retained</t>
        </is>
      </c>
    </row>
    <row r="20">
      <c r="A20" s="181" t="inlineStr">
        <is>
          <t>Liver</t>
        </is>
      </c>
      <c r="B20" s="181" t="inlineStr">
        <is>
          <t>3-stack</t>
        </is>
      </c>
      <c r="C20" s="181" t="inlineStr">
        <is>
          <t>Milk Thistle</t>
        </is>
      </c>
      <c r="D20" s="181" t="inlineStr">
        <is>
          <t>Rhodiola Rosea</t>
        </is>
      </c>
      <c r="E20" s="181" t="inlineStr">
        <is>
          <t>Ashwagandha</t>
        </is>
      </c>
      <c r="F20" s="181" t="inlineStr">
        <is>
          <t>caution</t>
        </is>
      </c>
      <c r="G20" s="181" t="n">
        <v>32</v>
      </c>
      <c r="H20" s="181" t="inlineStr">
        <is>
          <t>Moderate risk present; retained due to lack of fully safe alternatives.</t>
        </is>
      </c>
      <c r="I20" s="181" t="inlineStr">
        <is>
          <t>Milk Thistle + Rhodiola Rosea + Echinacea Purpurea</t>
        </is>
      </c>
      <c r="J20" s="181" t="inlineStr">
        <is>
          <t>no safe stacks available; best caution stacks retained</t>
        </is>
      </c>
    </row>
    <row r="21">
      <c r="A21" s="181" t="n"/>
      <c r="B21" s="181" t="n"/>
      <c r="C21" s="181" t="n"/>
      <c r="D21" s="181" t="n"/>
      <c r="E21" s="181" t="n"/>
      <c r="F21" s="181" t="n"/>
      <c r="G21" s="181" t="n"/>
      <c r="H21" s="181" t="n"/>
      <c r="I21" s="181" t="n"/>
      <c r="J21" s="181" t="n"/>
    </row>
    <row r="22">
      <c r="A22" s="181" t="n"/>
      <c r="B22" s="181" t="n"/>
      <c r="C22" s="181" t="n"/>
      <c r="D22" s="181" t="n"/>
      <c r="E22" s="181" t="n"/>
      <c r="F22" s="181" t="n"/>
      <c r="G22" s="181" t="n"/>
      <c r="H22" s="181" t="n"/>
      <c r="I22" s="181" t="n"/>
      <c r="J22" s="181" t="n"/>
    </row>
    <row r="23">
      <c r="A23" s="181" t="n"/>
      <c r="B23" s="181" t="n"/>
      <c r="C23" s="181" t="n"/>
      <c r="D23" s="181" t="n"/>
      <c r="E23" s="181" t="n"/>
      <c r="F23" s="181" t="n"/>
      <c r="G23" s="181" t="n"/>
      <c r="H23" s="181" t="n"/>
      <c r="I23" s="181" t="n"/>
      <c r="J23" s="181" t="n"/>
    </row>
    <row r="24">
      <c r="A24" s="181" t="n"/>
      <c r="B24" s="181" t="n"/>
      <c r="C24" s="181" t="n"/>
      <c r="D24" s="181" t="n"/>
      <c r="E24" s="181" t="n"/>
      <c r="F24" s="181" t="n"/>
      <c r="G24" s="181" t="n"/>
      <c r="H24" s="181" t="n"/>
      <c r="I24" s="181" t="n"/>
      <c r="J24" s="181" t="n"/>
    </row>
    <row r="25">
      <c r="A25" s="181" t="n"/>
      <c r="B25" s="181" t="n"/>
      <c r="C25" s="181" t="n"/>
      <c r="D25" s="181" t="n"/>
      <c r="E25" s="181" t="n"/>
      <c r="F25" s="181" t="n"/>
      <c r="G25" s="181" t="n"/>
      <c r="H25" s="181" t="n"/>
      <c r="I25" s="181" t="n"/>
      <c r="J25" s="181" t="n"/>
    </row>
    <row r="26">
      <c r="A26" s="181" t="n"/>
      <c r="B26" s="181" t="n"/>
      <c r="C26" s="181" t="n"/>
      <c r="D26" s="181" t="n"/>
      <c r="E26" s="181" t="n"/>
      <c r="F26" s="181" t="n"/>
      <c r="G26" s="181" t="n"/>
      <c r="H26" s="181" t="n"/>
      <c r="I26" s="181" t="n"/>
      <c r="J26" s="181" t="n"/>
    </row>
    <row r="27">
      <c r="A27" s="181" t="n"/>
      <c r="B27" s="181" t="n"/>
      <c r="C27" s="181" t="n"/>
      <c r="D27" s="181" t="n"/>
      <c r="E27" s="181" t="n"/>
      <c r="F27" s="181" t="n"/>
      <c r="G27" s="181" t="n"/>
      <c r="H27" s="181" t="n"/>
      <c r="I27" s="181" t="n"/>
      <c r="J27" s="181" t="n"/>
    </row>
    <row r="28">
      <c r="A28" s="181" t="n"/>
      <c r="B28" s="181" t="n"/>
      <c r="C28" s="181" t="n"/>
      <c r="D28" s="181" t="n"/>
      <c r="E28" s="181" t="n"/>
      <c r="F28" s="181" t="n"/>
      <c r="G28" s="181" t="n"/>
      <c r="H28" s="181" t="n"/>
      <c r="I28" s="181" t="n"/>
      <c r="J28" s="181" t="n"/>
    </row>
    <row r="29">
      <c r="A29" s="181" t="n"/>
      <c r="B29" s="181" t="n"/>
      <c r="C29" s="181" t="n"/>
      <c r="D29" s="181" t="n"/>
      <c r="E29" s="181" t="n"/>
      <c r="F29" s="181" t="n"/>
      <c r="G29" s="181" t="n"/>
      <c r="H29" s="181" t="n"/>
      <c r="I29" s="181" t="n"/>
      <c r="J29" s="181" t="n"/>
    </row>
    <row r="30">
      <c r="A30" s="181" t="n"/>
      <c r="B30" s="181" t="n"/>
      <c r="C30" s="181" t="n"/>
      <c r="D30" s="181" t="n"/>
      <c r="E30" s="181" t="n"/>
      <c r="F30" s="181" t="n"/>
      <c r="G30" s="181" t="n"/>
      <c r="H30" s="181" t="n"/>
      <c r="I30" s="181" t="n"/>
      <c r="J30" s="181" t="n"/>
    </row>
    <row r="31">
      <c r="A31" s="181" t="n"/>
      <c r="B31" s="181" t="n"/>
      <c r="C31" s="181" t="n"/>
      <c r="D31" s="181" t="n"/>
      <c r="E31" s="181" t="n"/>
      <c r="F31" s="181" t="n"/>
      <c r="G31" s="181" t="n"/>
      <c r="H31" s="181" t="n"/>
      <c r="I31" s="181" t="n"/>
      <c r="J31" s="181" t="n"/>
    </row>
    <row r="32">
      <c r="A32" s="181" t="n"/>
      <c r="B32" s="181" t="n"/>
      <c r="C32" s="181" t="n"/>
      <c r="D32" s="181" t="n"/>
      <c r="E32" s="181" t="n"/>
      <c r="F32" s="181" t="n"/>
      <c r="G32" s="181" t="n"/>
      <c r="H32" s="181" t="n"/>
      <c r="I32" s="181" t="n"/>
      <c r="J32" s="181" t="n"/>
    </row>
    <row r="33">
      <c r="A33" s="181" t="n"/>
      <c r="B33" s="181" t="n"/>
      <c r="C33" s="181" t="n"/>
      <c r="D33" s="181" t="n"/>
      <c r="E33" s="181" t="n"/>
      <c r="F33" s="181" t="n"/>
      <c r="G33" s="181" t="n"/>
      <c r="H33" s="181" t="n"/>
      <c r="I33" s="181" t="n"/>
      <c r="J33" s="181" t="n"/>
    </row>
    <row r="34">
      <c r="A34" s="181" t="n"/>
      <c r="B34" s="181" t="n"/>
      <c r="C34" s="181" t="n"/>
      <c r="D34" s="181" t="n"/>
      <c r="E34" s="181" t="n"/>
      <c r="F34" s="181" t="n"/>
      <c r="G34" s="181" t="n"/>
      <c r="H34" s="181" t="n"/>
      <c r="I34" s="181" t="n"/>
      <c r="J34" s="181" t="n"/>
    </row>
    <row r="35">
      <c r="A35" s="181" t="n"/>
      <c r="B35" s="181" t="n"/>
      <c r="C35" s="181" t="n"/>
      <c r="D35" s="181" t="n"/>
      <c r="E35" s="181" t="n"/>
      <c r="F35" s="181" t="n"/>
      <c r="G35" s="181" t="n"/>
      <c r="H35" s="181" t="n"/>
      <c r="I35" s="181" t="n"/>
      <c r="J35" s="181" t="n"/>
    </row>
    <row r="36">
      <c r="A36" s="181" t="n"/>
      <c r="B36" s="181" t="n"/>
      <c r="C36" s="181" t="n"/>
      <c r="D36" s="181" t="n"/>
      <c r="E36" s="181" t="n"/>
      <c r="F36" s="181" t="n"/>
      <c r="G36" s="181" t="n"/>
      <c r="H36" s="181" t="n"/>
      <c r="I36" s="181" t="n"/>
      <c r="J36" s="181" t="n"/>
    </row>
    <row r="37">
      <c r="A37" s="181" t="n"/>
      <c r="B37" s="181" t="n"/>
      <c r="C37" s="181" t="n"/>
      <c r="D37" s="181" t="n"/>
      <c r="E37" s="181" t="n"/>
      <c r="F37" s="181" t="n"/>
      <c r="G37" s="181" t="n"/>
      <c r="H37" s="181" t="n"/>
      <c r="I37" s="181" t="n"/>
      <c r="J37" s="181" t="n"/>
    </row>
    <row r="38">
      <c r="A38" s="181" t="n"/>
      <c r="B38" s="181" t="n"/>
      <c r="C38" s="181" t="n"/>
      <c r="D38" s="181" t="n"/>
      <c r="E38" s="181" t="n"/>
      <c r="F38" s="181" t="n"/>
      <c r="G38" s="181" t="n"/>
      <c r="H38" s="181" t="n"/>
      <c r="I38" s="181" t="n"/>
      <c r="J38" s="181" t="n"/>
    </row>
    <row r="39">
      <c r="A39" s="181" t="n"/>
      <c r="B39" s="181" t="n"/>
      <c r="C39" s="181" t="n"/>
      <c r="D39" s="181" t="n"/>
      <c r="E39" s="181" t="n"/>
      <c r="F39" s="181" t="n"/>
      <c r="G39" s="181" t="n"/>
      <c r="H39" s="181" t="n"/>
      <c r="I39" s="181" t="n"/>
      <c r="J39" s="181" t="n"/>
    </row>
    <row r="40">
      <c r="A40" s="181" t="n"/>
      <c r="B40" s="181" t="n"/>
      <c r="C40" s="181" t="n"/>
      <c r="D40" s="181" t="n"/>
      <c r="E40" s="181" t="n"/>
      <c r="F40" s="181" t="n"/>
      <c r="G40" s="181" t="n"/>
      <c r="H40" s="181" t="n"/>
      <c r="I40" s="181" t="n"/>
      <c r="J40" s="181" t="n"/>
    </row>
    <row r="41">
      <c r="A41" s="181" t="n"/>
      <c r="B41" s="181" t="n"/>
      <c r="C41" s="181" t="n"/>
      <c r="D41" s="181" t="n"/>
      <c r="E41" s="181" t="n"/>
      <c r="F41" s="181" t="n"/>
      <c r="G41" s="181" t="n"/>
      <c r="H41" s="181" t="n"/>
      <c r="I41" s="181" t="n"/>
      <c r="J41" s="181" t="n"/>
    </row>
    <row r="42">
      <c r="A42" s="181" t="n"/>
      <c r="B42" s="181" t="n"/>
      <c r="C42" s="181" t="n"/>
      <c r="D42" s="181" t="n"/>
      <c r="E42" s="181" t="n"/>
      <c r="F42" s="181" t="n"/>
      <c r="G42" s="181" t="n"/>
      <c r="H42" s="181" t="n"/>
      <c r="I42" s="181" t="n"/>
      <c r="J42" s="181" t="n"/>
    </row>
    <row r="43">
      <c r="A43" s="181" t="n"/>
      <c r="B43" s="181" t="n"/>
      <c r="C43" s="181" t="n"/>
      <c r="D43" s="181" t="n"/>
      <c r="E43" s="181" t="n"/>
      <c r="F43" s="181" t="n"/>
      <c r="G43" s="181" t="n"/>
      <c r="H43" s="181" t="n"/>
      <c r="I43" s="181" t="n"/>
      <c r="J43" s="181" t="n"/>
    </row>
    <row r="44">
      <c r="A44" s="181" t="n"/>
      <c r="B44" s="181" t="n"/>
      <c r="C44" s="181" t="n"/>
      <c r="D44" s="181" t="n"/>
      <c r="E44" s="181" t="n"/>
      <c r="F44" s="181" t="n"/>
      <c r="G44" s="181" t="n"/>
      <c r="H44" s="181" t="n"/>
      <c r="I44" s="181" t="n"/>
      <c r="J44" s="181" t="n"/>
    </row>
    <row r="45">
      <c r="A45" s="181" t="n"/>
      <c r="B45" s="181" t="n"/>
      <c r="C45" s="181" t="n"/>
      <c r="D45" s="181" t="n"/>
      <c r="E45" s="181" t="n"/>
      <c r="F45" s="181" t="n"/>
      <c r="G45" s="181" t="n"/>
      <c r="H45" s="181" t="n"/>
      <c r="I45" s="181" t="n"/>
      <c r="J45" s="181" t="n"/>
    </row>
    <row r="46">
      <c r="A46" s="181" t="n"/>
      <c r="B46" s="181" t="n"/>
      <c r="C46" s="181" t="n"/>
      <c r="D46" s="181" t="n"/>
      <c r="E46" s="181" t="n"/>
      <c r="F46" s="181" t="n"/>
      <c r="G46" s="181" t="n"/>
      <c r="H46" s="181" t="n"/>
      <c r="I46" s="181" t="n"/>
      <c r="J46" s="181" t="n"/>
    </row>
    <row r="47">
      <c r="A47" s="181" t="n"/>
      <c r="B47" s="181" t="n"/>
      <c r="C47" s="181" t="n"/>
      <c r="D47" s="181" t="n"/>
      <c r="E47" s="181" t="n"/>
      <c r="F47" s="181" t="n"/>
      <c r="G47" s="181" t="n"/>
      <c r="H47" s="181" t="n"/>
      <c r="I47" s="181" t="n"/>
      <c r="J47" s="181" t="n"/>
    </row>
    <row r="48">
      <c r="A48" s="181" t="n"/>
      <c r="B48" s="181" t="n"/>
      <c r="C48" s="181" t="n"/>
      <c r="D48" s="181" t="n"/>
      <c r="E48" s="181" t="n"/>
      <c r="F48" s="181" t="n"/>
      <c r="G48" s="181" t="n"/>
      <c r="H48" s="181" t="n"/>
      <c r="I48" s="181" t="n"/>
      <c r="J48" s="181" t="n"/>
    </row>
    <row r="49">
      <c r="A49" s="181" t="n"/>
      <c r="B49" s="181" t="n"/>
      <c r="C49" s="181" t="n"/>
      <c r="D49" s="181" t="n"/>
      <c r="E49" s="181" t="n"/>
      <c r="F49" s="181" t="n"/>
      <c r="G49" s="181" t="n"/>
      <c r="H49" s="181" t="n"/>
      <c r="I49" s="181" t="n"/>
      <c r="J49" s="181" t="n"/>
    </row>
    <row r="50">
      <c r="A50" s="181" t="n"/>
      <c r="B50" s="181" t="n"/>
      <c r="C50" s="181" t="n"/>
      <c r="D50" s="181" t="n"/>
      <c r="E50" s="181" t="n"/>
      <c r="F50" s="181" t="n"/>
      <c r="G50" s="181" t="n"/>
      <c r="H50" s="181" t="n"/>
      <c r="I50" s="181" t="n"/>
      <c r="J50" s="181" t="n"/>
    </row>
    <row r="51">
      <c r="A51" s="181" t="n"/>
      <c r="B51" s="181" t="n"/>
      <c r="C51" s="181" t="n"/>
      <c r="D51" s="181" t="n"/>
      <c r="E51" s="181" t="n"/>
      <c r="F51" s="181" t="n"/>
      <c r="G51" s="181" t="n"/>
      <c r="H51" s="181" t="n"/>
      <c r="I51" s="181" t="n"/>
      <c r="J51" s="181" t="n"/>
    </row>
    <row r="52">
      <c r="A52" s="181" t="n"/>
      <c r="B52" s="181" t="n"/>
      <c r="C52" s="181" t="n"/>
      <c r="D52" s="181" t="n"/>
      <c r="E52" s="181" t="n"/>
      <c r="F52" s="181" t="n"/>
      <c r="G52" s="181" t="n"/>
      <c r="H52" s="181" t="n"/>
      <c r="I52" s="181" t="n"/>
      <c r="J52" s="181" t="n"/>
    </row>
    <row r="53">
      <c r="A53" s="181" t="n"/>
      <c r="B53" s="181" t="n"/>
      <c r="C53" s="181" t="n"/>
      <c r="D53" s="181" t="n"/>
      <c r="E53" s="181" t="n"/>
      <c r="F53" s="181" t="n"/>
      <c r="G53" s="181" t="n"/>
      <c r="H53" s="181" t="n"/>
      <c r="I53" s="181" t="n"/>
      <c r="J53" s="181" t="n"/>
    </row>
    <row r="54">
      <c r="A54" s="181" t="n"/>
      <c r="B54" s="181" t="n"/>
      <c r="C54" s="181" t="n"/>
      <c r="D54" s="181" t="n"/>
      <c r="E54" s="181" t="n"/>
      <c r="F54" s="181" t="n"/>
      <c r="G54" s="181" t="n"/>
      <c r="H54" s="181" t="n"/>
      <c r="I54" s="181" t="n"/>
      <c r="J54" s="181" t="n"/>
    </row>
    <row r="55">
      <c r="A55" s="181" t="n"/>
      <c r="B55" s="181" t="n"/>
      <c r="C55" s="181" t="n"/>
      <c r="D55" s="181" t="n"/>
      <c r="E55" s="181" t="n"/>
      <c r="F55" s="181" t="n"/>
      <c r="G55" s="181" t="n"/>
      <c r="H55" s="181" t="n"/>
      <c r="I55" s="181" t="n"/>
      <c r="J55" s="181" t="n"/>
    </row>
    <row r="56">
      <c r="A56" s="181" t="n"/>
      <c r="B56" s="181" t="n"/>
      <c r="C56" s="181" t="n"/>
      <c r="D56" s="181" t="n"/>
      <c r="E56" s="181" t="n"/>
      <c r="F56" s="181" t="n"/>
      <c r="G56" s="181" t="n"/>
      <c r="H56" s="181" t="n"/>
      <c r="I56" s="181" t="n"/>
      <c r="J56" s="181" t="n"/>
    </row>
    <row r="57">
      <c r="A57" s="181" t="n"/>
      <c r="B57" s="181" t="n"/>
      <c r="C57" s="181" t="n"/>
      <c r="D57" s="181" t="n"/>
      <c r="E57" s="181" t="n"/>
      <c r="F57" s="181" t="n"/>
      <c r="G57" s="181" t="n"/>
      <c r="H57" s="181" t="n"/>
      <c r="I57" s="181" t="n"/>
      <c r="J57" s="181" t="n"/>
    </row>
    <row r="58">
      <c r="A58" s="181" t="n"/>
      <c r="B58" s="181" t="n"/>
      <c r="C58" s="181" t="n"/>
      <c r="D58" s="181" t="n"/>
      <c r="E58" s="181" t="n"/>
      <c r="F58" s="181" t="n"/>
      <c r="G58" s="181" t="n"/>
      <c r="H58" s="181" t="n"/>
      <c r="I58" s="181" t="n"/>
      <c r="J58" s="181" t="n"/>
    </row>
    <row r="59">
      <c r="A59" s="181" t="n"/>
      <c r="B59" s="181" t="n"/>
      <c r="C59" s="181" t="n"/>
      <c r="D59" s="181" t="n"/>
      <c r="E59" s="181" t="n"/>
      <c r="F59" s="181" t="n"/>
      <c r="G59" s="181" t="n"/>
      <c r="H59" s="181" t="n"/>
      <c r="I59" s="181" t="n"/>
      <c r="J59" s="181" t="n"/>
    </row>
    <row r="60">
      <c r="A60" s="181" t="n"/>
      <c r="B60" s="181" t="n"/>
      <c r="C60" s="181" t="n"/>
      <c r="D60" s="181" t="n"/>
      <c r="E60" s="181" t="n"/>
      <c r="F60" s="181" t="n"/>
      <c r="G60" s="181" t="n"/>
      <c r="H60" s="181" t="n"/>
      <c r="I60" s="181" t="n"/>
      <c r="J60" s="181" t="n"/>
    </row>
    <row r="61">
      <c r="A61" s="181" t="n"/>
      <c r="B61" s="181" t="n"/>
      <c r="C61" s="181" t="n"/>
      <c r="D61" s="181" t="n"/>
      <c r="E61" s="181" t="n"/>
      <c r="F61" s="181" t="n"/>
      <c r="G61" s="181" t="n"/>
      <c r="H61" s="181" t="n"/>
      <c r="I61" s="181" t="n"/>
      <c r="J61" s="181" t="n"/>
    </row>
    <row r="62">
      <c r="A62" s="181" t="n"/>
      <c r="B62" s="181" t="n"/>
      <c r="C62" s="181" t="n"/>
      <c r="D62" s="181" t="n"/>
      <c r="E62" s="181" t="n"/>
      <c r="F62" s="181" t="n"/>
      <c r="G62" s="181" t="n"/>
      <c r="H62" s="181" t="n"/>
      <c r="I62" s="181" t="n"/>
      <c r="J62" s="181" t="n"/>
    </row>
    <row r="63">
      <c r="A63" s="181" t="n"/>
      <c r="B63" s="181" t="n"/>
      <c r="C63" s="181" t="n"/>
      <c r="D63" s="181" t="n"/>
      <c r="E63" s="181" t="n"/>
      <c r="F63" s="181" t="n"/>
      <c r="G63" s="181" t="n"/>
      <c r="H63" s="181" t="n"/>
      <c r="I63" s="181" t="n"/>
      <c r="J63" s="181" t="n"/>
    </row>
    <row r="64">
      <c r="A64" s="181" t="n"/>
      <c r="B64" s="181" t="n"/>
      <c r="C64" s="181" t="n"/>
      <c r="D64" s="181" t="n"/>
      <c r="E64" s="181" t="n"/>
      <c r="F64" s="181" t="n"/>
      <c r="G64" s="181" t="n"/>
      <c r="H64" s="181" t="n"/>
      <c r="I64" s="181" t="n"/>
      <c r="J64" s="181" t="n"/>
    </row>
    <row r="65">
      <c r="A65" s="181" t="n"/>
      <c r="B65" s="181" t="n"/>
      <c r="C65" s="181" t="n"/>
      <c r="D65" s="181" t="n"/>
      <c r="E65" s="181" t="n"/>
      <c r="F65" s="181" t="n"/>
      <c r="G65" s="181" t="n"/>
      <c r="H65" s="181" t="n"/>
      <c r="I65" s="181" t="n"/>
      <c r="J65" s="181" t="n"/>
    </row>
    <row r="66">
      <c r="A66" s="181" t="n"/>
      <c r="B66" s="181" t="n"/>
      <c r="C66" s="181" t="n"/>
      <c r="D66" s="181" t="n"/>
      <c r="E66" s="181" t="n"/>
      <c r="F66" s="181" t="n"/>
      <c r="G66" s="181" t="n"/>
      <c r="H66" s="181" t="n"/>
      <c r="I66" s="181" t="n"/>
      <c r="J66" s="181" t="n"/>
    </row>
    <row r="67">
      <c r="A67" s="181" t="n"/>
      <c r="B67" s="181" t="n"/>
      <c r="C67" s="181" t="n"/>
      <c r="D67" s="181" t="n"/>
      <c r="E67" s="181" t="n"/>
      <c r="F67" s="181" t="n"/>
      <c r="G67" s="181" t="n"/>
      <c r="H67" s="181" t="n"/>
      <c r="I67" s="181" t="n"/>
      <c r="J67" s="181" t="n"/>
    </row>
    <row r="68">
      <c r="A68" s="181" t="n"/>
      <c r="B68" s="181" t="n"/>
      <c r="C68" s="181" t="n"/>
      <c r="D68" s="181" t="n"/>
      <c r="E68" s="181" t="n"/>
      <c r="F68" s="181" t="n"/>
      <c r="G68" s="181" t="n"/>
      <c r="H68" s="181" t="n"/>
      <c r="I68" s="181" t="n"/>
      <c r="J68" s="181" t="n"/>
    </row>
    <row r="69">
      <c r="A69" s="181" t="n"/>
      <c r="B69" s="181" t="n"/>
      <c r="C69" s="181" t="n"/>
      <c r="D69" s="181" t="n"/>
      <c r="E69" s="181" t="n"/>
      <c r="F69" s="181" t="n"/>
      <c r="G69" s="181" t="n"/>
      <c r="H69" s="181" t="n"/>
      <c r="I69" s="181" t="n"/>
      <c r="J69" s="181" t="n"/>
    </row>
    <row r="70">
      <c r="A70" s="181" t="n"/>
      <c r="B70" s="181" t="n"/>
      <c r="C70" s="181" t="n"/>
      <c r="D70" s="181" t="n"/>
      <c r="E70" s="181" t="n"/>
      <c r="F70" s="181" t="n"/>
      <c r="G70" s="181" t="n"/>
      <c r="H70" s="181" t="n"/>
      <c r="I70" s="181" t="n"/>
      <c r="J70" s="181" t="n"/>
    </row>
    <row r="71">
      <c r="A71" s="181" t="n"/>
      <c r="B71" s="181" t="n"/>
      <c r="C71" s="181" t="n"/>
      <c r="D71" s="181" t="n"/>
      <c r="E71" s="181" t="n"/>
      <c r="F71" s="181" t="n"/>
      <c r="G71" s="181" t="n"/>
      <c r="H71" s="181" t="n"/>
      <c r="I71" s="181" t="n"/>
      <c r="J71" s="181" t="n"/>
    </row>
    <row r="72">
      <c r="A72" s="181" t="n"/>
      <c r="B72" s="181" t="n"/>
      <c r="C72" s="181" t="n"/>
      <c r="D72" s="181" t="n"/>
      <c r="E72" s="181" t="n"/>
      <c r="F72" s="181" t="n"/>
      <c r="G72" s="181" t="n"/>
      <c r="H72" s="181" t="n"/>
      <c r="I72" s="181" t="n"/>
      <c r="J72" s="181" t="n"/>
    </row>
    <row r="73">
      <c r="A73" s="181" t="n"/>
      <c r="B73" s="181" t="n"/>
      <c r="C73" s="181" t="n"/>
      <c r="D73" s="181" t="n"/>
      <c r="E73" s="181" t="n"/>
      <c r="F73" s="181" t="n"/>
      <c r="G73" s="181" t="n"/>
      <c r="H73" s="181" t="n"/>
      <c r="I73" s="181" t="n"/>
      <c r="J73" s="181" t="n"/>
    </row>
    <row r="74">
      <c r="A74" s="181" t="n"/>
      <c r="B74" s="181" t="n"/>
      <c r="C74" s="181" t="n"/>
      <c r="D74" s="181" t="n"/>
      <c r="E74" s="181" t="n"/>
      <c r="F74" s="181" t="n"/>
      <c r="G74" s="181" t="n"/>
      <c r="H74" s="181" t="n"/>
      <c r="I74" s="181" t="n"/>
      <c r="J74" s="181" t="n"/>
    </row>
    <row r="75">
      <c r="A75" s="181" t="n"/>
      <c r="B75" s="181" t="n"/>
      <c r="C75" s="181" t="n"/>
      <c r="D75" s="181" t="n"/>
      <c r="E75" s="181" t="n"/>
      <c r="F75" s="181" t="n"/>
      <c r="G75" s="181" t="n"/>
      <c r="H75" s="181" t="n"/>
      <c r="I75" s="181" t="n"/>
      <c r="J75" s="181" t="n"/>
    </row>
    <row r="76">
      <c r="A76" s="181" t="n"/>
      <c r="B76" s="181" t="n"/>
      <c r="C76" s="181" t="n"/>
      <c r="D76" s="181" t="n"/>
      <c r="E76" s="181" t="n"/>
      <c r="F76" s="181" t="n"/>
      <c r="G76" s="181" t="n"/>
      <c r="H76" s="181" t="n"/>
      <c r="I76" s="181" t="n"/>
      <c r="J76" s="181" t="n"/>
    </row>
    <row r="77">
      <c r="A77" s="181" t="n"/>
      <c r="B77" s="181" t="n"/>
      <c r="C77" s="181" t="n"/>
      <c r="D77" s="181" t="n"/>
      <c r="E77" s="181" t="n"/>
      <c r="F77" s="181" t="n"/>
      <c r="G77" s="181" t="n"/>
      <c r="H77" s="181" t="n"/>
      <c r="I77" s="181" t="n"/>
      <c r="J77" s="181" t="n"/>
    </row>
    <row r="78">
      <c r="A78" s="181" t="n"/>
      <c r="B78" s="181" t="n"/>
      <c r="C78" s="181" t="n"/>
      <c r="D78" s="181" t="n"/>
      <c r="E78" s="181" t="n"/>
      <c r="F78" s="181" t="n"/>
      <c r="G78" s="181" t="n"/>
      <c r="H78" s="181" t="n"/>
      <c r="I78" s="181" t="n"/>
      <c r="J78" s="181" t="n"/>
    </row>
    <row r="79">
      <c r="A79" s="181" t="n"/>
      <c r="B79" s="181" t="n"/>
      <c r="C79" s="181" t="n"/>
      <c r="D79" s="181" t="n"/>
      <c r="E79" s="181" t="n"/>
      <c r="F79" s="181" t="n"/>
      <c r="G79" s="181" t="n"/>
      <c r="H79" s="181" t="n"/>
      <c r="I79" s="181" t="n"/>
      <c r="J79" s="181" t="n"/>
    </row>
    <row r="80">
      <c r="A80" s="181" t="n"/>
      <c r="B80" s="181" t="n"/>
      <c r="C80" s="181" t="n"/>
      <c r="D80" s="181" t="n"/>
      <c r="E80" s="181" t="n"/>
      <c r="F80" s="181" t="n"/>
      <c r="G80" s="181" t="n"/>
      <c r="H80" s="181" t="n"/>
      <c r="I80" s="181" t="n"/>
      <c r="J80" s="181" t="n"/>
    </row>
    <row r="81">
      <c r="A81" s="181" t="n"/>
      <c r="B81" s="181" t="n"/>
      <c r="C81" s="181" t="n"/>
      <c r="D81" s="181" t="n"/>
      <c r="E81" s="181" t="n"/>
      <c r="F81" s="181" t="n"/>
      <c r="G81" s="181" t="n"/>
      <c r="H81" s="181" t="n"/>
      <c r="I81" s="181" t="n"/>
      <c r="J81" s="181" t="n"/>
    </row>
    <row r="82">
      <c r="A82" s="181" t="n"/>
      <c r="B82" s="181" t="n"/>
      <c r="C82" s="181" t="n"/>
      <c r="D82" s="181" t="n"/>
      <c r="E82" s="181" t="n"/>
      <c r="F82" s="181" t="n"/>
      <c r="G82" s="181" t="n"/>
      <c r="H82" s="181" t="n"/>
      <c r="I82" s="181" t="n"/>
      <c r="J82" s="181" t="n"/>
    </row>
    <row r="83">
      <c r="A83" s="181" t="n"/>
      <c r="B83" s="181" t="n"/>
      <c r="C83" s="181" t="n"/>
      <c r="D83" s="181" t="n"/>
      <c r="E83" s="181" t="n"/>
      <c r="F83" s="181" t="n"/>
      <c r="G83" s="181" t="n"/>
      <c r="H83" s="181" t="n"/>
      <c r="I83" s="181" t="n"/>
      <c r="J83" s="181" t="n"/>
    </row>
    <row r="84">
      <c r="A84" s="181" t="n"/>
      <c r="B84" s="181" t="n"/>
      <c r="C84" s="181" t="n"/>
      <c r="D84" s="181" t="n"/>
      <c r="E84" s="181" t="n"/>
      <c r="F84" s="181" t="n"/>
      <c r="G84" s="181" t="n"/>
      <c r="H84" s="181" t="n"/>
      <c r="I84" s="181" t="n"/>
      <c r="J84" s="181" t="n"/>
    </row>
    <row r="85">
      <c r="A85" s="181" t="n"/>
      <c r="B85" s="181" t="n"/>
      <c r="C85" s="181" t="n"/>
      <c r="D85" s="181" t="n"/>
      <c r="E85" s="181" t="n"/>
      <c r="F85" s="181" t="n"/>
      <c r="G85" s="181" t="n"/>
      <c r="H85" s="181" t="n"/>
      <c r="I85" s="181" t="n"/>
      <c r="J85" s="181" t="n"/>
    </row>
    <row r="86">
      <c r="A86" s="181" t="n"/>
      <c r="B86" s="181" t="n"/>
      <c r="C86" s="181" t="n"/>
      <c r="D86" s="181" t="n"/>
      <c r="E86" s="181" t="n"/>
      <c r="F86" s="181" t="n"/>
      <c r="G86" s="181" t="n"/>
      <c r="H86" s="181" t="n"/>
      <c r="I86" s="181" t="n"/>
      <c r="J86" s="181" t="n"/>
    </row>
    <row r="87">
      <c r="A87" s="181" t="n"/>
      <c r="B87" s="181" t="n"/>
      <c r="C87" s="181" t="n"/>
      <c r="D87" s="181" t="n"/>
      <c r="E87" s="181" t="n"/>
      <c r="F87" s="181" t="n"/>
      <c r="G87" s="181" t="n"/>
      <c r="H87" s="181" t="n"/>
      <c r="I87" s="181" t="n"/>
      <c r="J87" s="181" t="n"/>
    </row>
    <row r="88">
      <c r="A88" s="181" t="n"/>
      <c r="B88" s="181" t="n"/>
      <c r="C88" s="181" t="n"/>
      <c r="D88" s="181" t="n"/>
      <c r="E88" s="181" t="n"/>
      <c r="F88" s="181" t="n"/>
      <c r="G88" s="181" t="n"/>
      <c r="H88" s="181" t="n"/>
      <c r="I88" s="181" t="n"/>
      <c r="J88" s="181" t="n"/>
    </row>
    <row r="89">
      <c r="A89" s="181" t="n"/>
      <c r="B89" s="181" t="n"/>
      <c r="C89" s="181" t="n"/>
      <c r="D89" s="181" t="n"/>
      <c r="E89" s="181" t="n"/>
      <c r="F89" s="181" t="n"/>
      <c r="G89" s="181" t="n"/>
      <c r="H89" s="181" t="n"/>
      <c r="I89" s="181" t="n"/>
      <c r="J89" s="181" t="n"/>
    </row>
    <row r="90">
      <c r="A90" s="181" t="n"/>
      <c r="B90" s="181" t="n"/>
      <c r="C90" s="181" t="n"/>
      <c r="D90" s="181" t="n"/>
      <c r="E90" s="181" t="n"/>
      <c r="F90" s="181" t="n"/>
      <c r="G90" s="181" t="n"/>
      <c r="H90" s="181" t="n"/>
      <c r="I90" s="181" t="n"/>
      <c r="J90" s="181" t="n"/>
    </row>
    <row r="91">
      <c r="A91" s="181" t="n"/>
      <c r="B91" s="181" t="n"/>
      <c r="C91" s="181" t="n"/>
      <c r="D91" s="181" t="n"/>
      <c r="E91" s="181" t="n"/>
      <c r="F91" s="181" t="n"/>
      <c r="G91" s="181" t="n"/>
      <c r="H91" s="181" t="n"/>
      <c r="I91" s="181" t="n"/>
      <c r="J91" s="181" t="n"/>
    </row>
    <row r="92">
      <c r="A92" s="181" t="n"/>
      <c r="B92" s="181" t="n"/>
      <c r="C92" s="181" t="n"/>
      <c r="D92" s="181" t="n"/>
      <c r="E92" s="181" t="n"/>
      <c r="F92" s="181" t="n"/>
      <c r="G92" s="181" t="n"/>
      <c r="H92" s="181" t="n"/>
      <c r="I92" s="181" t="n"/>
      <c r="J92" s="181" t="n"/>
    </row>
    <row r="93">
      <c r="A93" s="181" t="n"/>
      <c r="B93" s="181" t="n"/>
      <c r="C93" s="181" t="n"/>
      <c r="D93" s="181" t="n"/>
      <c r="E93" s="181" t="n"/>
      <c r="F93" s="181" t="n"/>
      <c r="G93" s="181" t="n"/>
      <c r="H93" s="181" t="n"/>
      <c r="I93" s="181" t="n"/>
      <c r="J93" s="181" t="n"/>
    </row>
    <row r="94">
      <c r="A94" s="181" t="n"/>
      <c r="B94" s="181" t="n"/>
      <c r="C94" s="181" t="n"/>
      <c r="D94" s="181" t="n"/>
      <c r="E94" s="181" t="n"/>
      <c r="F94" s="181" t="n"/>
      <c r="G94" s="181" t="n"/>
      <c r="H94" s="181" t="n"/>
      <c r="I94" s="181" t="n"/>
      <c r="J94" s="181" t="n"/>
    </row>
    <row r="95">
      <c r="A95" s="181" t="n"/>
      <c r="B95" s="181" t="n"/>
      <c r="C95" s="181" t="n"/>
      <c r="D95" s="181" t="n"/>
      <c r="E95" s="181" t="n"/>
      <c r="F95" s="181" t="n"/>
      <c r="G95" s="181" t="n"/>
      <c r="H95" s="181" t="n"/>
      <c r="I95" s="181" t="n"/>
      <c r="J95" s="181" t="n"/>
    </row>
    <row r="96">
      <c r="A96" s="181" t="n"/>
      <c r="B96" s="181" t="n"/>
      <c r="C96" s="181" t="n"/>
      <c r="D96" s="181" t="n"/>
      <c r="E96" s="181" t="n"/>
      <c r="F96" s="181" t="n"/>
      <c r="G96" s="181" t="n"/>
      <c r="H96" s="181" t="n"/>
      <c r="I96" s="181" t="n"/>
      <c r="J96" s="181" t="n"/>
    </row>
    <row r="97">
      <c r="A97" s="181" t="n"/>
      <c r="B97" s="181" t="n"/>
      <c r="C97" s="181" t="n"/>
      <c r="D97" s="181" t="n"/>
      <c r="E97" s="181" t="n"/>
      <c r="F97" s="181" t="n"/>
      <c r="G97" s="181" t="n"/>
      <c r="H97" s="181" t="n"/>
      <c r="I97" s="181" t="n"/>
      <c r="J97" s="181" t="n"/>
    </row>
    <row r="98">
      <c r="A98" s="181" t="n"/>
      <c r="B98" s="181" t="n"/>
      <c r="C98" s="181" t="n"/>
      <c r="D98" s="181" t="n"/>
      <c r="E98" s="181" t="n"/>
      <c r="F98" s="181" t="n"/>
      <c r="G98" s="181" t="n"/>
      <c r="H98" s="181" t="n"/>
      <c r="I98" s="181" t="n"/>
      <c r="J98" s="181" t="n"/>
    </row>
    <row r="99">
      <c r="A99" s="181" t="n"/>
      <c r="B99" s="181" t="n"/>
      <c r="C99" s="181" t="n"/>
      <c r="D99" s="181" t="n"/>
      <c r="E99" s="181" t="n"/>
      <c r="F99" s="181" t="n"/>
      <c r="G99" s="181" t="n"/>
      <c r="H99" s="181" t="n"/>
      <c r="I99" s="181" t="n"/>
      <c r="J99" s="181" t="n"/>
    </row>
    <row r="100">
      <c r="A100" s="181" t="n"/>
      <c r="B100" s="181" t="n"/>
      <c r="C100" s="181" t="n"/>
      <c r="D100" s="181" t="n"/>
      <c r="E100" s="181" t="n"/>
      <c r="F100" s="181" t="n"/>
      <c r="G100" s="181" t="n"/>
      <c r="H100" s="181" t="n"/>
      <c r="I100" s="181" t="n"/>
      <c r="J100" s="181" t="n"/>
    </row>
    <row r="101">
      <c r="A101" s="181" t="n"/>
      <c r="B101" s="181" t="n"/>
      <c r="C101" s="181" t="n"/>
      <c r="D101" s="181" t="n"/>
      <c r="E101" s="181" t="n"/>
      <c r="F101" s="181" t="n"/>
      <c r="G101" s="181" t="n"/>
      <c r="H101" s="181" t="n"/>
      <c r="I101" s="181" t="n"/>
      <c r="J101" s="181" t="n"/>
    </row>
    <row r="102">
      <c r="A102" s="181" t="n"/>
      <c r="B102" s="181" t="n"/>
      <c r="C102" s="181" t="n"/>
      <c r="D102" s="181" t="n"/>
      <c r="E102" s="181" t="n"/>
      <c r="F102" s="181" t="n"/>
      <c r="G102" s="181" t="n"/>
      <c r="H102" s="181" t="n"/>
      <c r="I102" s="181" t="n"/>
      <c r="J102" s="181" t="n"/>
    </row>
    <row r="103">
      <c r="A103" s="181" t="n"/>
      <c r="B103" s="181" t="n"/>
      <c r="C103" s="181" t="n"/>
      <c r="D103" s="181" t="n"/>
      <c r="E103" s="181" t="n"/>
      <c r="F103" s="181" t="n"/>
      <c r="G103" s="181" t="n"/>
      <c r="H103" s="181" t="n"/>
      <c r="I103" s="181" t="n"/>
      <c r="J103" s="181" t="n"/>
    </row>
    <row r="104">
      <c r="A104" s="181" t="n"/>
      <c r="B104" s="181" t="n"/>
      <c r="C104" s="181" t="n"/>
      <c r="D104" s="181" t="n"/>
      <c r="E104" s="181" t="n"/>
      <c r="F104" s="181" t="n"/>
      <c r="G104" s="181" t="n"/>
      <c r="H104" s="181" t="n"/>
      <c r="I104" s="181" t="n"/>
      <c r="J104" s="181" t="n"/>
    </row>
    <row r="105">
      <c r="A105" s="181" t="n"/>
      <c r="B105" s="181" t="n"/>
      <c r="C105" s="181" t="n"/>
      <c r="D105" s="181" t="n"/>
      <c r="E105" s="181" t="n"/>
      <c r="F105" s="181" t="n"/>
      <c r="G105" s="181" t="n"/>
      <c r="H105" s="181" t="n"/>
      <c r="I105" s="181" t="n"/>
      <c r="J105" s="181" t="n"/>
    </row>
    <row r="106">
      <c r="A106" s="181" t="n"/>
      <c r="B106" s="181" t="n"/>
      <c r="C106" s="181" t="n"/>
      <c r="D106" s="181" t="n"/>
      <c r="E106" s="181" t="n"/>
      <c r="F106" s="181" t="n"/>
      <c r="G106" s="181" t="n"/>
      <c r="H106" s="181" t="n"/>
      <c r="I106" s="181" t="n"/>
      <c r="J106" s="181" t="n"/>
    </row>
    <row r="107">
      <c r="A107" s="181" t="n"/>
      <c r="B107" s="181" t="n"/>
      <c r="C107" s="181" t="n"/>
      <c r="D107" s="181" t="n"/>
      <c r="E107" s="181" t="n"/>
      <c r="F107" s="181" t="n"/>
      <c r="G107" s="181" t="n"/>
      <c r="H107" s="181" t="n"/>
      <c r="I107" s="181" t="n"/>
      <c r="J107" s="181" t="n"/>
    </row>
    <row r="108">
      <c r="A108" s="181" t="n"/>
      <c r="B108" s="181" t="n"/>
      <c r="C108" s="181" t="n"/>
      <c r="D108" s="181" t="n"/>
      <c r="E108" s="181" t="n"/>
      <c r="F108" s="181" t="n"/>
      <c r="G108" s="181" t="n"/>
      <c r="H108" s="181" t="n"/>
      <c r="I108" s="181" t="n"/>
      <c r="J108" s="181" t="n"/>
    </row>
    <row r="109">
      <c r="A109" s="181" t="n"/>
      <c r="B109" s="181" t="n"/>
      <c r="C109" s="181" t="n"/>
      <c r="D109" s="181" t="n"/>
      <c r="E109" s="181" t="n"/>
      <c r="F109" s="181" t="n"/>
      <c r="G109" s="181" t="n"/>
      <c r="H109" s="181" t="n"/>
      <c r="I109" s="181" t="n"/>
      <c r="J109" s="181" t="n"/>
    </row>
    <row r="110">
      <c r="A110" s="181" t="n"/>
      <c r="B110" s="181" t="n"/>
      <c r="C110" s="181" t="n"/>
      <c r="D110" s="181" t="n"/>
      <c r="E110" s="181" t="n"/>
      <c r="F110" s="181" t="n"/>
      <c r="G110" s="181" t="n"/>
      <c r="H110" s="181" t="n"/>
      <c r="I110" s="181" t="n"/>
      <c r="J110" s="181" t="n"/>
    </row>
    <row r="111">
      <c r="A111" s="181" t="n"/>
      <c r="B111" s="181" t="n"/>
      <c r="C111" s="181" t="n"/>
      <c r="D111" s="181" t="n"/>
      <c r="E111" s="181" t="n"/>
      <c r="F111" s="181" t="n"/>
      <c r="G111" s="181" t="n"/>
      <c r="H111" s="181" t="n"/>
      <c r="I111" s="181" t="n"/>
      <c r="J111" s="181" t="n"/>
    </row>
    <row r="112">
      <c r="A112" s="181" t="n"/>
      <c r="B112" s="181" t="n"/>
      <c r="C112" s="181" t="n"/>
      <c r="D112" s="181" t="n"/>
      <c r="E112" s="181" t="n"/>
      <c r="F112" s="181" t="n"/>
      <c r="G112" s="181" t="n"/>
      <c r="H112" s="181" t="n"/>
      <c r="I112" s="181" t="n"/>
      <c r="J112" s="181" t="n"/>
    </row>
    <row r="113">
      <c r="A113" s="181" t="n"/>
      <c r="B113" s="181" t="n"/>
      <c r="C113" s="181" t="n"/>
      <c r="D113" s="181" t="n"/>
      <c r="E113" s="181" t="n"/>
      <c r="F113" s="181" t="n"/>
      <c r="G113" s="181" t="n"/>
      <c r="H113" s="181" t="n"/>
      <c r="I113" s="181" t="n"/>
      <c r="J113" s="181" t="n"/>
    </row>
    <row r="114">
      <c r="A114" s="181" t="n"/>
      <c r="B114" s="181" t="n"/>
      <c r="C114" s="181" t="n"/>
      <c r="D114" s="181" t="n"/>
      <c r="E114" s="181" t="n"/>
      <c r="F114" s="181" t="n"/>
      <c r="G114" s="181" t="n"/>
      <c r="H114" s="181" t="n"/>
      <c r="I114" s="181" t="n"/>
      <c r="J114" s="181" t="n"/>
    </row>
    <row r="115">
      <c r="A115" s="181" t="n"/>
      <c r="B115" s="181" t="n"/>
      <c r="C115" s="181" t="n"/>
      <c r="D115" s="181" t="n"/>
      <c r="E115" s="181" t="n"/>
      <c r="F115" s="181" t="n"/>
      <c r="G115" s="181" t="n"/>
      <c r="H115" s="181" t="n"/>
      <c r="I115" s="181" t="n"/>
      <c r="J115" s="181" t="n"/>
    </row>
    <row r="116">
      <c r="A116" s="181" t="n"/>
      <c r="B116" s="181" t="n"/>
      <c r="C116" s="181" t="n"/>
      <c r="D116" s="181" t="n"/>
      <c r="E116" s="181" t="n"/>
      <c r="F116" s="181" t="n"/>
      <c r="G116" s="181" t="n"/>
      <c r="H116" s="181" t="n"/>
      <c r="I116" s="181" t="n"/>
      <c r="J116" s="181" t="n"/>
    </row>
    <row r="117">
      <c r="A117" s="181" t="n"/>
      <c r="B117" s="181" t="n"/>
      <c r="C117" s="181" t="n"/>
      <c r="D117" s="181" t="n"/>
      <c r="E117" s="181" t="n"/>
      <c r="F117" s="181" t="n"/>
      <c r="G117" s="181" t="n"/>
      <c r="H117" s="181" t="n"/>
      <c r="I117" s="181" t="n"/>
      <c r="J117" s="181" t="n"/>
    </row>
    <row r="118">
      <c r="A118" s="181" t="n"/>
      <c r="B118" s="181" t="n"/>
      <c r="C118" s="181" t="n"/>
      <c r="D118" s="181" t="n"/>
      <c r="E118" s="181" t="n"/>
      <c r="F118" s="181" t="n"/>
      <c r="G118" s="181" t="n"/>
      <c r="H118" s="181" t="n"/>
      <c r="I118" s="181" t="n"/>
      <c r="J118" s="181" t="n"/>
    </row>
    <row r="119">
      <c r="A119" s="181" t="n"/>
      <c r="B119" s="181" t="n"/>
      <c r="C119" s="181" t="n"/>
      <c r="D119" s="181" t="n"/>
      <c r="E119" s="181" t="n"/>
      <c r="F119" s="181" t="n"/>
      <c r="G119" s="181" t="n"/>
      <c r="H119" s="181" t="n"/>
      <c r="I119" s="181" t="n"/>
      <c r="J119" s="181" t="n"/>
    </row>
    <row r="120">
      <c r="A120" s="181" t="n"/>
      <c r="B120" s="181" t="n"/>
      <c r="C120" s="181" t="n"/>
      <c r="D120" s="181" t="n"/>
      <c r="E120" s="181" t="n"/>
      <c r="F120" s="181" t="n"/>
      <c r="G120" s="181" t="n"/>
      <c r="H120" s="181" t="n"/>
      <c r="I120" s="181" t="n"/>
      <c r="J120" s="181" t="n"/>
    </row>
    <row r="121">
      <c r="A121" s="181" t="n"/>
      <c r="B121" s="181" t="n"/>
      <c r="C121" s="181" t="n"/>
      <c r="D121" s="181" t="n"/>
      <c r="E121" s="181" t="n"/>
      <c r="F121" s="181" t="n"/>
      <c r="G121" s="181" t="n"/>
      <c r="H121" s="181" t="n"/>
      <c r="I121" s="181" t="n"/>
      <c r="J121" s="181" t="n"/>
    </row>
    <row r="122">
      <c r="A122" s="181" t="n"/>
      <c r="B122" s="181" t="n"/>
      <c r="C122" s="181" t="n"/>
      <c r="D122" s="181" t="n"/>
      <c r="E122" s="181" t="n"/>
      <c r="F122" s="181" t="n"/>
      <c r="G122" s="181" t="n"/>
      <c r="H122" s="181" t="n"/>
      <c r="I122" s="181" t="n"/>
      <c r="J122" s="181" t="n"/>
    </row>
    <row r="123">
      <c r="A123" s="181" t="n"/>
      <c r="B123" s="181" t="n"/>
      <c r="C123" s="181" t="n"/>
      <c r="D123" s="181" t="n"/>
      <c r="E123" s="181" t="n"/>
      <c r="F123" s="181" t="n"/>
      <c r="G123" s="181" t="n"/>
      <c r="H123" s="181" t="n"/>
      <c r="I123" s="181" t="n"/>
      <c r="J123" s="181" t="n"/>
    </row>
    <row r="124">
      <c r="A124" s="181" t="n"/>
      <c r="B124" s="181" t="n"/>
      <c r="C124" s="181" t="n"/>
      <c r="D124" s="181" t="n"/>
      <c r="E124" s="181" t="n"/>
      <c r="F124" s="181" t="n"/>
      <c r="G124" s="181" t="n"/>
      <c r="H124" s="181" t="n"/>
      <c r="I124" s="181" t="n"/>
      <c r="J124" s="181" t="n"/>
    </row>
    <row r="125">
      <c r="A125" s="181" t="n"/>
      <c r="B125" s="181" t="n"/>
      <c r="C125" s="181" t="n"/>
      <c r="D125" s="181" t="n"/>
      <c r="E125" s="181" t="n"/>
      <c r="F125" s="181" t="n"/>
      <c r="G125" s="181" t="n"/>
      <c r="H125" s="181" t="n"/>
      <c r="I125" s="181" t="n"/>
      <c r="J125" s="181" t="n"/>
    </row>
    <row r="126">
      <c r="A126" s="181" t="n"/>
      <c r="B126" s="181" t="n"/>
      <c r="C126" s="181" t="n"/>
      <c r="D126" s="181" t="n"/>
      <c r="E126" s="181" t="n"/>
      <c r="F126" s="181" t="n"/>
      <c r="G126" s="181" t="n"/>
      <c r="H126" s="181" t="n"/>
      <c r="I126" s="181" t="n"/>
      <c r="J126" s="181" t="n"/>
    </row>
    <row r="127">
      <c r="A127" s="181" t="n"/>
      <c r="B127" s="181" t="n"/>
      <c r="C127" s="181" t="n"/>
      <c r="D127" s="181" t="n"/>
      <c r="E127" s="181" t="n"/>
      <c r="F127" s="181" t="n"/>
      <c r="G127" s="181" t="n"/>
      <c r="H127" s="181" t="n"/>
      <c r="I127" s="181" t="n"/>
      <c r="J127" s="181" t="n"/>
    </row>
    <row r="128">
      <c r="A128" s="181" t="n"/>
      <c r="B128" s="181" t="n"/>
      <c r="C128" s="181" t="n"/>
      <c r="D128" s="181" t="n"/>
      <c r="E128" s="181" t="n"/>
      <c r="F128" s="181" t="n"/>
      <c r="G128" s="181" t="n"/>
      <c r="H128" s="181" t="n"/>
      <c r="I128" s="181" t="n"/>
      <c r="J128" s="181" t="n"/>
    </row>
    <row r="129">
      <c r="A129" s="181" t="n"/>
      <c r="B129" s="181" t="n"/>
      <c r="C129" s="181" t="n"/>
      <c r="D129" s="181" t="n"/>
      <c r="E129" s="181" t="n"/>
      <c r="F129" s="181" t="n"/>
      <c r="G129" s="181" t="n"/>
      <c r="H129" s="181" t="n"/>
      <c r="I129" s="181" t="n"/>
      <c r="J129" s="181" t="n"/>
    </row>
    <row r="130">
      <c r="A130" s="181" t="n"/>
      <c r="B130" s="181" t="n"/>
      <c r="C130" s="181" t="n"/>
      <c r="D130" s="181" t="n"/>
      <c r="E130" s="181" t="n"/>
      <c r="F130" s="181" t="n"/>
      <c r="G130" s="181" t="n"/>
      <c r="H130" s="181" t="n"/>
      <c r="I130" s="181" t="n"/>
      <c r="J130" s="181" t="n"/>
    </row>
    <row r="131">
      <c r="A131" s="181" t="n"/>
      <c r="B131" s="181" t="n"/>
      <c r="C131" s="181" t="n"/>
      <c r="D131" s="181" t="n"/>
      <c r="E131" s="181" t="n"/>
      <c r="F131" s="181" t="n"/>
      <c r="G131" s="181" t="n"/>
      <c r="H131" s="181" t="n"/>
      <c r="I131" s="181" t="n"/>
      <c r="J131" s="181" t="n"/>
    </row>
    <row r="132">
      <c r="A132" s="181" t="n"/>
      <c r="B132" s="181" t="n"/>
      <c r="C132" s="181" t="n"/>
      <c r="D132" s="181" t="n"/>
      <c r="E132" s="181" t="n"/>
      <c r="F132" s="181" t="n"/>
      <c r="G132" s="181" t="n"/>
      <c r="H132" s="181" t="n"/>
      <c r="I132" s="181" t="n"/>
      <c r="J132" s="181" t="n"/>
    </row>
    <row r="133">
      <c r="A133" s="181" t="n"/>
      <c r="B133" s="181" t="n"/>
      <c r="C133" s="181" t="n"/>
      <c r="D133" s="181" t="n"/>
      <c r="E133" s="181" t="n"/>
      <c r="F133" s="181" t="n"/>
      <c r="G133" s="181" t="n"/>
      <c r="H133" s="181" t="n"/>
      <c r="I133" s="181" t="n"/>
      <c r="J133" s="181" t="n"/>
    </row>
    <row r="134">
      <c r="A134" s="181" t="n"/>
      <c r="B134" s="181" t="n"/>
      <c r="C134" s="181" t="n"/>
      <c r="D134" s="181" t="n"/>
      <c r="E134" s="181" t="n"/>
      <c r="F134" s="181" t="n"/>
      <c r="G134" s="181" t="n"/>
      <c r="H134" s="181" t="n"/>
      <c r="I134" s="181" t="n"/>
      <c r="J134" s="181" t="n"/>
    </row>
    <row r="135">
      <c r="A135" s="181" t="n"/>
      <c r="B135" s="181" t="n"/>
      <c r="C135" s="181" t="n"/>
      <c r="D135" s="181" t="n"/>
      <c r="E135" s="181" t="n"/>
      <c r="F135" s="181" t="n"/>
      <c r="G135" s="181" t="n"/>
      <c r="H135" s="181" t="n"/>
      <c r="I135" s="181" t="n"/>
      <c r="J135" s="181" t="n"/>
    </row>
    <row r="136">
      <c r="A136" s="181" t="n"/>
      <c r="B136" s="181" t="n"/>
      <c r="C136" s="181" t="n"/>
      <c r="D136" s="181" t="n"/>
      <c r="E136" s="181" t="n"/>
      <c r="F136" s="181" t="n"/>
      <c r="G136" s="181" t="n"/>
      <c r="H136" s="181" t="n"/>
      <c r="I136" s="181" t="n"/>
      <c r="J136" s="181" t="n"/>
    </row>
    <row r="137">
      <c r="A137" s="181" t="n"/>
      <c r="B137" s="181" t="n"/>
      <c r="C137" s="181" t="n"/>
      <c r="D137" s="181" t="n"/>
      <c r="E137" s="181" t="n"/>
      <c r="F137" s="181" t="n"/>
      <c r="G137" s="181" t="n"/>
      <c r="H137" s="181" t="n"/>
      <c r="I137" s="181" t="n"/>
      <c r="J137" s="181" t="n"/>
    </row>
    <row r="138">
      <c r="A138" s="181" t="n"/>
      <c r="B138" s="181" t="n"/>
      <c r="C138" s="181" t="n"/>
      <c r="D138" s="181" t="n"/>
      <c r="E138" s="181" t="n"/>
      <c r="F138" s="181" t="n"/>
      <c r="G138" s="181" t="n"/>
      <c r="H138" s="181" t="n"/>
      <c r="I138" s="181" t="n"/>
      <c r="J138" s="181" t="n"/>
    </row>
    <row r="139">
      <c r="A139" s="181" t="n"/>
      <c r="B139" s="181" t="n"/>
      <c r="C139" s="181" t="n"/>
      <c r="D139" s="181" t="n"/>
      <c r="E139" s="181" t="n"/>
      <c r="F139" s="181" t="n"/>
      <c r="G139" s="181" t="n"/>
      <c r="H139" s="181" t="n"/>
      <c r="I139" s="181" t="n"/>
      <c r="J139" s="181" t="n"/>
    </row>
    <row r="140">
      <c r="A140" s="181" t="n"/>
      <c r="B140" s="181" t="n"/>
      <c r="C140" s="181" t="n"/>
      <c r="D140" s="181" t="n"/>
      <c r="E140" s="181" t="n"/>
      <c r="F140" s="181" t="n"/>
      <c r="G140" s="181" t="n"/>
      <c r="H140" s="181" t="n"/>
      <c r="I140" s="181" t="n"/>
      <c r="J140" s="181" t="n"/>
    </row>
    <row r="141">
      <c r="A141" s="181" t="n"/>
      <c r="B141" s="181" t="n"/>
      <c r="C141" s="181" t="n"/>
      <c r="D141" s="181" t="n"/>
      <c r="E141" s="181" t="n"/>
      <c r="F141" s="181" t="n"/>
      <c r="G141" s="181" t="n"/>
      <c r="H141" s="181" t="n"/>
      <c r="I141" s="181" t="n"/>
      <c r="J141" s="181" t="n"/>
    </row>
    <row r="142">
      <c r="A142" s="181" t="n"/>
      <c r="B142" s="181" t="n"/>
      <c r="C142" s="181" t="n"/>
      <c r="D142" s="181" t="n"/>
      <c r="E142" s="181" t="n"/>
      <c r="F142" s="181" t="n"/>
      <c r="G142" s="181" t="n"/>
      <c r="H142" s="181" t="n"/>
      <c r="I142" s="181" t="n"/>
      <c r="J142" s="181" t="n"/>
    </row>
    <row r="143">
      <c r="A143" s="181" t="n"/>
      <c r="B143" s="181" t="n"/>
      <c r="C143" s="181" t="n"/>
      <c r="D143" s="181" t="n"/>
      <c r="E143" s="181" t="n"/>
      <c r="F143" s="181" t="n"/>
      <c r="G143" s="181" t="n"/>
      <c r="H143" s="181" t="n"/>
      <c r="I143" s="181" t="n"/>
      <c r="J143" s="181" t="n"/>
    </row>
    <row r="144">
      <c r="A144" s="181" t="n"/>
      <c r="B144" s="181" t="n"/>
      <c r="C144" s="181" t="n"/>
      <c r="D144" s="181" t="n"/>
      <c r="E144" s="181" t="n"/>
      <c r="F144" s="181" t="n"/>
      <c r="G144" s="181" t="n"/>
      <c r="H144" s="181" t="n"/>
      <c r="I144" s="181" t="n"/>
      <c r="J144" s="181" t="n"/>
    </row>
    <row r="145">
      <c r="A145" s="181" t="n"/>
      <c r="B145" s="181" t="n"/>
      <c r="C145" s="181" t="n"/>
      <c r="D145" s="181" t="n"/>
      <c r="E145" s="181" t="n"/>
      <c r="F145" s="181" t="n"/>
      <c r="G145" s="181" t="n"/>
      <c r="H145" s="181" t="n"/>
      <c r="I145" s="181" t="n"/>
      <c r="J145" s="181" t="n"/>
    </row>
    <row r="146">
      <c r="A146" s="181" t="n"/>
      <c r="B146" s="181" t="n"/>
      <c r="C146" s="181" t="n"/>
      <c r="D146" s="181" t="n"/>
      <c r="E146" s="181" t="n"/>
      <c r="F146" s="181" t="n"/>
      <c r="G146" s="181" t="n"/>
      <c r="H146" s="181" t="n"/>
      <c r="I146" s="181" t="n"/>
      <c r="J146" s="181" t="n"/>
    </row>
    <row r="147">
      <c r="A147" s="181" t="n"/>
      <c r="B147" s="181" t="n"/>
      <c r="C147" s="181" t="n"/>
      <c r="D147" s="181" t="n"/>
      <c r="E147" s="181" t="n"/>
      <c r="F147" s="181" t="n"/>
      <c r="G147" s="181" t="n"/>
      <c r="H147" s="181" t="n"/>
      <c r="I147" s="181" t="n"/>
      <c r="J147" s="181" t="n"/>
    </row>
    <row r="148">
      <c r="A148" s="181" t="n"/>
      <c r="B148" s="181" t="n"/>
      <c r="C148" s="181" t="n"/>
      <c r="D148" s="181" t="n"/>
      <c r="E148" s="181" t="n"/>
      <c r="F148" s="181" t="n"/>
      <c r="G148" s="181" t="n"/>
      <c r="H148" s="181" t="n"/>
      <c r="I148" s="181" t="n"/>
      <c r="J148" s="181" t="n"/>
    </row>
    <row r="149">
      <c r="A149" s="181" t="n"/>
      <c r="B149" s="181" t="n"/>
      <c r="C149" s="181" t="n"/>
      <c r="D149" s="181" t="n"/>
      <c r="E149" s="181" t="n"/>
      <c r="F149" s="181" t="n"/>
      <c r="G149" s="181" t="n"/>
      <c r="H149" s="181" t="n"/>
      <c r="I149" s="181" t="n"/>
      <c r="J149" s="181" t="n"/>
    </row>
    <row r="150">
      <c r="A150" s="181" t="n"/>
      <c r="B150" s="181" t="n"/>
      <c r="C150" s="181" t="n"/>
      <c r="D150" s="181" t="n"/>
      <c r="E150" s="181" t="n"/>
      <c r="F150" s="181" t="n"/>
      <c r="G150" s="181" t="n"/>
      <c r="H150" s="181" t="n"/>
      <c r="I150" s="181" t="n"/>
      <c r="J150" s="181" t="n"/>
    </row>
    <row r="151">
      <c r="A151" s="181" t="n"/>
      <c r="B151" s="181" t="n"/>
      <c r="C151" s="181" t="n"/>
      <c r="D151" s="181" t="n"/>
      <c r="E151" s="181" t="n"/>
      <c r="F151" s="181" t="n"/>
      <c r="G151" s="181" t="n"/>
      <c r="H151" s="181" t="n"/>
      <c r="I151" s="181" t="n"/>
      <c r="J151" s="181" t="n"/>
    </row>
    <row r="152">
      <c r="A152" s="181" t="n"/>
      <c r="B152" s="181" t="n"/>
      <c r="C152" s="181" t="n"/>
      <c r="D152" s="181" t="n"/>
      <c r="E152" s="181" t="n"/>
      <c r="F152" s="181" t="n"/>
      <c r="G152" s="181" t="n"/>
      <c r="H152" s="181" t="n"/>
      <c r="I152" s="181" t="n"/>
      <c r="J152" s="181" t="n"/>
    </row>
    <row r="153">
      <c r="A153" s="181" t="n"/>
      <c r="B153" s="181" t="n"/>
      <c r="C153" s="181" t="n"/>
      <c r="D153" s="181" t="n"/>
      <c r="E153" s="181" t="n"/>
      <c r="F153" s="181" t="n"/>
      <c r="G153" s="181" t="n"/>
      <c r="H153" s="181" t="n"/>
      <c r="I153" s="181" t="n"/>
      <c r="J153" s="181" t="n"/>
    </row>
    <row r="154">
      <c r="A154" s="181" t="n"/>
      <c r="B154" s="181" t="n"/>
      <c r="C154" s="181" t="n"/>
      <c r="D154" s="181" t="n"/>
      <c r="E154" s="181" t="n"/>
      <c r="F154" s="181" t="n"/>
      <c r="G154" s="181" t="n"/>
      <c r="H154" s="181" t="n"/>
      <c r="I154" s="181" t="n"/>
      <c r="J154" s="181" t="n"/>
    </row>
    <row r="155">
      <c r="A155" s="181" t="n"/>
      <c r="B155" s="181" t="n"/>
      <c r="C155" s="181" t="n"/>
      <c r="D155" s="181" t="n"/>
      <c r="E155" s="181" t="n"/>
      <c r="F155" s="181" t="n"/>
      <c r="G155" s="181" t="n"/>
      <c r="H155" s="181" t="n"/>
      <c r="I155" s="181" t="n"/>
      <c r="J155" s="181" t="n"/>
    </row>
    <row r="156">
      <c r="A156" s="181" t="n"/>
      <c r="B156" s="181" t="n"/>
      <c r="C156" s="181" t="n"/>
      <c r="D156" s="181" t="n"/>
      <c r="E156" s="181" t="n"/>
      <c r="F156" s="181" t="n"/>
      <c r="G156" s="181" t="n"/>
      <c r="H156" s="181" t="n"/>
      <c r="I156" s="181" t="n"/>
      <c r="J156" s="181" t="n"/>
    </row>
    <row r="157">
      <c r="A157" s="181" t="n"/>
      <c r="B157" s="181" t="n"/>
      <c r="C157" s="181" t="n"/>
      <c r="D157" s="181" t="n"/>
      <c r="E157" s="181" t="n"/>
      <c r="F157" s="181" t="n"/>
      <c r="G157" s="181" t="n"/>
      <c r="H157" s="181" t="n"/>
      <c r="I157" s="181" t="n"/>
      <c r="J157" s="181" t="n"/>
    </row>
    <row r="158">
      <c r="A158" s="181" t="n"/>
      <c r="B158" s="181" t="n"/>
      <c r="C158" s="181" t="n"/>
      <c r="D158" s="181" t="n"/>
      <c r="E158" s="181" t="n"/>
      <c r="F158" s="181" t="n"/>
      <c r="G158" s="181" t="n"/>
      <c r="H158" s="181" t="n"/>
      <c r="I158" s="181" t="n"/>
      <c r="J158" s="181" t="n"/>
    </row>
    <row r="159">
      <c r="A159" s="181" t="n"/>
      <c r="B159" s="181" t="n"/>
      <c r="C159" s="181" t="n"/>
      <c r="D159" s="181" t="n"/>
      <c r="E159" s="181" t="n"/>
      <c r="F159" s="181" t="n"/>
      <c r="G159" s="181" t="n"/>
      <c r="H159" s="181" t="n"/>
      <c r="I159" s="181" t="n"/>
      <c r="J159" s="181" t="n"/>
    </row>
    <row r="160">
      <c r="A160" s="181" t="n"/>
      <c r="B160" s="181" t="n"/>
      <c r="C160" s="181" t="n"/>
      <c r="D160" s="181" t="n"/>
      <c r="E160" s="181" t="n"/>
      <c r="F160" s="181" t="n"/>
      <c r="G160" s="181" t="n"/>
      <c r="H160" s="181" t="n"/>
      <c r="I160" s="181" t="n"/>
      <c r="J160" s="181" t="n"/>
    </row>
    <row r="161">
      <c r="A161" s="181" t="n"/>
      <c r="B161" s="181" t="n"/>
      <c r="C161" s="181" t="n"/>
      <c r="D161" s="181" t="n"/>
      <c r="E161" s="181" t="n"/>
      <c r="F161" s="181" t="n"/>
      <c r="G161" s="181" t="n"/>
      <c r="H161" s="181" t="n"/>
      <c r="I161" s="181" t="n"/>
      <c r="J161" s="181" t="n"/>
    </row>
    <row r="162">
      <c r="A162" s="181" t="n"/>
      <c r="B162" s="181" t="n"/>
      <c r="C162" s="181" t="n"/>
      <c r="D162" s="181" t="n"/>
      <c r="E162" s="181" t="n"/>
      <c r="F162" s="181" t="n"/>
      <c r="G162" s="181" t="n"/>
      <c r="H162" s="181" t="n"/>
      <c r="I162" s="181" t="n"/>
      <c r="J162" s="181" t="n"/>
    </row>
    <row r="163">
      <c r="A163" s="181" t="n"/>
      <c r="B163" s="181" t="n"/>
      <c r="C163" s="181" t="n"/>
      <c r="D163" s="181" t="n"/>
      <c r="E163" s="181" t="n"/>
      <c r="F163" s="181" t="n"/>
      <c r="G163" s="181" t="n"/>
      <c r="H163" s="181" t="n"/>
      <c r="I163" s="181" t="n"/>
      <c r="J163" s="181" t="n"/>
    </row>
    <row r="164">
      <c r="A164" s="181" t="n"/>
      <c r="B164" s="181" t="n"/>
      <c r="C164" s="181" t="n"/>
      <c r="D164" s="181" t="n"/>
      <c r="E164" s="181" t="n"/>
      <c r="F164" s="181" t="n"/>
      <c r="G164" s="181" t="n"/>
      <c r="H164" s="181" t="n"/>
      <c r="I164" s="181" t="n"/>
      <c r="J164" s="181" t="n"/>
    </row>
    <row r="165">
      <c r="A165" s="181" t="n"/>
      <c r="B165" s="181" t="n"/>
      <c r="C165" s="181" t="n"/>
      <c r="D165" s="181" t="n"/>
      <c r="E165" s="181" t="n"/>
      <c r="F165" s="181" t="n"/>
      <c r="G165" s="181" t="n"/>
      <c r="H165" s="181" t="n"/>
      <c r="I165" s="181" t="n"/>
      <c r="J165" s="181" t="n"/>
    </row>
    <row r="166">
      <c r="A166" s="181" t="n"/>
      <c r="B166" s="181" t="n"/>
      <c r="C166" s="181" t="n"/>
      <c r="D166" s="181" t="n"/>
      <c r="E166" s="181" t="n"/>
      <c r="F166" s="181" t="n"/>
      <c r="G166" s="181" t="n"/>
      <c r="H166" s="181" t="n"/>
      <c r="I166" s="181" t="n"/>
      <c r="J166" s="181" t="n"/>
    </row>
    <row r="167">
      <c r="A167" s="181" t="n"/>
      <c r="B167" s="181" t="n"/>
      <c r="C167" s="181" t="n"/>
      <c r="D167" s="181" t="n"/>
      <c r="E167" s="181" t="n"/>
      <c r="F167" s="181" t="n"/>
      <c r="G167" s="181" t="n"/>
      <c r="H167" s="181" t="n"/>
      <c r="I167" s="181" t="n"/>
      <c r="J167" s="181" t="n"/>
    </row>
    <row r="168">
      <c r="A168" s="181" t="n"/>
      <c r="B168" s="181" t="n"/>
      <c r="C168" s="181" t="n"/>
      <c r="D168" s="181" t="n"/>
      <c r="E168" s="181" t="n"/>
      <c r="F168" s="181" t="n"/>
      <c r="G168" s="181" t="n"/>
      <c r="H168" s="181" t="n"/>
      <c r="I168" s="181" t="n"/>
      <c r="J168" s="181" t="n"/>
    </row>
    <row r="169">
      <c r="A169" s="181" t="n"/>
      <c r="B169" s="181" t="n"/>
      <c r="C169" s="181" t="n"/>
      <c r="D169" s="181" t="n"/>
      <c r="E169" s="181" t="n"/>
      <c r="F169" s="181" t="n"/>
      <c r="G169" s="181" t="n"/>
      <c r="H169" s="181" t="n"/>
      <c r="I169" s="181" t="n"/>
      <c r="J169" s="181" t="n"/>
    </row>
    <row r="170">
      <c r="A170" s="181" t="n"/>
      <c r="B170" s="181" t="n"/>
      <c r="C170" s="181" t="n"/>
      <c r="D170" s="181" t="n"/>
      <c r="E170" s="181" t="n"/>
      <c r="F170" s="181" t="n"/>
      <c r="G170" s="181" t="n"/>
      <c r="H170" s="181" t="n"/>
      <c r="I170" s="181" t="n"/>
      <c r="J170" s="181" t="n"/>
    </row>
    <row r="171">
      <c r="A171" s="181" t="n"/>
      <c r="B171" s="181" t="n"/>
      <c r="C171" s="181" t="n"/>
      <c r="D171" s="181" t="n"/>
      <c r="E171" s="181" t="n"/>
      <c r="F171" s="181" t="n"/>
      <c r="G171" s="181" t="n"/>
      <c r="H171" s="181" t="n"/>
      <c r="I171" s="181" t="n"/>
      <c r="J171" s="181" t="n"/>
    </row>
    <row r="172">
      <c r="A172" s="181" t="n"/>
      <c r="B172" s="181" t="n"/>
      <c r="C172" s="181" t="n"/>
      <c r="D172" s="181" t="n"/>
      <c r="E172" s="181" t="n"/>
      <c r="F172" s="181" t="n"/>
      <c r="G172" s="181" t="n"/>
      <c r="H172" s="181" t="n"/>
      <c r="I172" s="181" t="n"/>
      <c r="J172" s="181" t="n"/>
    </row>
    <row r="173">
      <c r="A173" s="181" t="n"/>
      <c r="B173" s="181" t="n"/>
      <c r="C173" s="181" t="n"/>
      <c r="D173" s="181" t="n"/>
      <c r="E173" s="181" t="n"/>
      <c r="F173" s="181" t="n"/>
      <c r="G173" s="181" t="n"/>
      <c r="H173" s="181" t="n"/>
      <c r="I173" s="181" t="n"/>
      <c r="J173" s="181" t="n"/>
    </row>
    <row r="174">
      <c r="A174" s="181" t="n"/>
      <c r="B174" s="181" t="n"/>
      <c r="C174" s="181" t="n"/>
      <c r="D174" s="181" t="n"/>
      <c r="E174" s="181" t="n"/>
      <c r="F174" s="181" t="n"/>
      <c r="G174" s="181" t="n"/>
      <c r="H174" s="181" t="n"/>
      <c r="I174" s="181" t="n"/>
      <c r="J174" s="181" t="n"/>
    </row>
    <row r="175">
      <c r="A175" s="181" t="n"/>
      <c r="B175" s="181" t="n"/>
      <c r="C175" s="181" t="n"/>
      <c r="D175" s="181" t="n"/>
      <c r="E175" s="181" t="n"/>
      <c r="F175" s="181" t="n"/>
      <c r="G175" s="181" t="n"/>
      <c r="H175" s="181" t="n"/>
      <c r="I175" s="181" t="n"/>
      <c r="J175" s="181" t="n"/>
    </row>
    <row r="176">
      <c r="A176" s="181" t="n"/>
      <c r="B176" s="181" t="n"/>
      <c r="C176" s="181" t="n"/>
      <c r="D176" s="181" t="n"/>
      <c r="E176" s="181" t="n"/>
      <c r="F176" s="181" t="n"/>
      <c r="G176" s="181" t="n"/>
      <c r="H176" s="181" t="n"/>
      <c r="I176" s="181" t="n"/>
      <c r="J176" s="181" t="n"/>
    </row>
    <row r="177">
      <c r="A177" s="181" t="n"/>
      <c r="B177" s="181" t="n"/>
      <c r="C177" s="181" t="n"/>
      <c r="D177" s="181" t="n"/>
      <c r="E177" s="181" t="n"/>
      <c r="F177" s="181" t="n"/>
      <c r="G177" s="181" t="n"/>
      <c r="H177" s="181" t="n"/>
      <c r="I177" s="181" t="n"/>
      <c r="J177" s="181" t="n"/>
    </row>
    <row r="178">
      <c r="A178" s="181" t="n"/>
      <c r="B178" s="181" t="n"/>
      <c r="C178" s="181" t="n"/>
      <c r="D178" s="181" t="n"/>
      <c r="E178" s="181" t="n"/>
      <c r="F178" s="181" t="n"/>
      <c r="G178" s="181" t="n"/>
      <c r="H178" s="181" t="n"/>
      <c r="I178" s="181" t="n"/>
      <c r="J178" s="181" t="n"/>
    </row>
    <row r="179">
      <c r="A179" s="181" t="n"/>
      <c r="B179" s="181" t="n"/>
      <c r="C179" s="181" t="n"/>
      <c r="D179" s="181" t="n"/>
      <c r="E179" s="181" t="n"/>
      <c r="F179" s="181" t="n"/>
      <c r="G179" s="181" t="n"/>
      <c r="H179" s="181" t="n"/>
      <c r="I179" s="181" t="n"/>
      <c r="J179" s="181" t="n"/>
    </row>
    <row r="180">
      <c r="A180" s="181" t="n"/>
      <c r="B180" s="181" t="n"/>
      <c r="C180" s="181" t="n"/>
      <c r="D180" s="181" t="n"/>
      <c r="E180" s="181" t="n"/>
      <c r="F180" s="181" t="n"/>
      <c r="G180" s="181" t="n"/>
      <c r="H180" s="181" t="n"/>
      <c r="I180" s="181" t="n"/>
      <c r="J180" s="181" t="n"/>
    </row>
    <row r="181">
      <c r="A181" s="181" t="n"/>
      <c r="B181" s="181" t="n"/>
      <c r="C181" s="181" t="n"/>
      <c r="D181" s="181" t="n"/>
      <c r="E181" s="181" t="n"/>
      <c r="F181" s="181" t="n"/>
      <c r="G181" s="181" t="n"/>
      <c r="H181" s="181" t="n"/>
      <c r="I181" s="181" t="n"/>
      <c r="J181" s="181" t="n"/>
    </row>
    <row r="182">
      <c r="A182" s="181" t="n"/>
      <c r="B182" s="181" t="n"/>
      <c r="C182" s="181" t="n"/>
      <c r="D182" s="181" t="n"/>
      <c r="E182" s="181" t="n"/>
      <c r="F182" s="181" t="n"/>
      <c r="G182" s="181" t="n"/>
      <c r="H182" s="181" t="n"/>
      <c r="I182" s="181" t="n"/>
      <c r="J182" s="181" t="n"/>
    </row>
    <row r="183">
      <c r="A183" s="181" t="n"/>
      <c r="B183" s="181" t="n"/>
      <c r="C183" s="181" t="n"/>
      <c r="D183" s="181" t="n"/>
      <c r="E183" s="181" t="n"/>
      <c r="F183" s="181" t="n"/>
      <c r="G183" s="181" t="n"/>
      <c r="H183" s="181" t="n"/>
      <c r="I183" s="181" t="n"/>
      <c r="J183" s="181" t="n"/>
    </row>
    <row r="184">
      <c r="A184" s="181" t="n"/>
      <c r="B184" s="181" t="n"/>
      <c r="C184" s="181" t="n"/>
      <c r="D184" s="181" t="n"/>
      <c r="E184" s="181" t="n"/>
      <c r="F184" s="181" t="n"/>
      <c r="G184" s="181" t="n"/>
      <c r="H184" s="181" t="n"/>
      <c r="I184" s="181" t="n"/>
      <c r="J184" s="181" t="n"/>
    </row>
    <row r="185">
      <c r="A185" s="181" t="n"/>
      <c r="B185" s="181" t="n"/>
      <c r="C185" s="181" t="n"/>
      <c r="D185" s="181" t="n"/>
      <c r="E185" s="181" t="n"/>
      <c r="F185" s="181" t="n"/>
      <c r="G185" s="181" t="n"/>
      <c r="H185" s="181" t="n"/>
      <c r="I185" s="181" t="n"/>
      <c r="J185" s="181" t="n"/>
    </row>
    <row r="186">
      <c r="A186" s="181" t="n"/>
      <c r="B186" s="181" t="n"/>
      <c r="C186" s="181" t="n"/>
      <c r="D186" s="181" t="n"/>
      <c r="E186" s="181" t="n"/>
      <c r="F186" s="181" t="n"/>
      <c r="G186" s="181" t="n"/>
      <c r="H186" s="181" t="n"/>
      <c r="I186" s="181" t="n"/>
      <c r="J186" s="181" t="n"/>
    </row>
    <row r="187">
      <c r="A187" s="181" t="n"/>
      <c r="B187" s="181" t="n"/>
      <c r="C187" s="181" t="n"/>
      <c r="D187" s="181" t="n"/>
      <c r="E187" s="181" t="n"/>
      <c r="F187" s="181" t="n"/>
      <c r="G187" s="181" t="n"/>
      <c r="H187" s="181" t="n"/>
      <c r="I187" s="181" t="n"/>
      <c r="J187" s="181" t="n"/>
    </row>
    <row r="188">
      <c r="A188" s="181" t="n"/>
      <c r="B188" s="181" t="n"/>
      <c r="C188" s="181" t="n"/>
      <c r="D188" s="181" t="n"/>
      <c r="E188" s="181" t="n"/>
      <c r="F188" s="181" t="n"/>
      <c r="G188" s="181" t="n"/>
      <c r="H188" s="181" t="n"/>
      <c r="I188" s="181" t="n"/>
      <c r="J188" s="181" t="n"/>
    </row>
    <row r="189">
      <c r="A189" s="181" t="n"/>
      <c r="B189" s="181" t="n"/>
      <c r="C189" s="181" t="n"/>
      <c r="D189" s="181" t="n"/>
      <c r="E189" s="181" t="n"/>
      <c r="F189" s="181" t="n"/>
      <c r="G189" s="181" t="n"/>
      <c r="H189" s="181" t="n"/>
      <c r="I189" s="181" t="n"/>
      <c r="J189" s="181" t="n"/>
    </row>
    <row r="190">
      <c r="A190" s="181" t="n"/>
      <c r="B190" s="181" t="n"/>
      <c r="C190" s="181" t="n"/>
      <c r="D190" s="181" t="n"/>
      <c r="E190" s="181" t="n"/>
      <c r="F190" s="181" t="n"/>
      <c r="G190" s="181" t="n"/>
      <c r="H190" s="181" t="n"/>
      <c r="I190" s="181" t="n"/>
      <c r="J190" s="181" t="n"/>
    </row>
    <row r="191">
      <c r="A191" s="181" t="n"/>
      <c r="B191" s="181" t="n"/>
      <c r="C191" s="181" t="n"/>
      <c r="D191" s="181" t="n"/>
      <c r="E191" s="181" t="n"/>
      <c r="F191" s="181" t="n"/>
      <c r="G191" s="181" t="n"/>
      <c r="H191" s="181" t="n"/>
      <c r="I191" s="181" t="n"/>
      <c r="J191" s="181" t="n"/>
    </row>
    <row r="192">
      <c r="A192" s="181" t="n"/>
      <c r="B192" s="181" t="n"/>
      <c r="C192" s="181" t="n"/>
      <c r="D192" s="181" t="n"/>
      <c r="E192" s="181" t="n"/>
      <c r="F192" s="181" t="n"/>
      <c r="G192" s="181" t="n"/>
      <c r="H192" s="181" t="n"/>
      <c r="I192" s="181" t="n"/>
      <c r="J192" s="181" t="n"/>
    </row>
    <row r="193">
      <c r="A193" s="181" t="n"/>
      <c r="B193" s="181" t="n"/>
      <c r="C193" s="181" t="n"/>
      <c r="D193" s="181" t="n"/>
      <c r="E193" s="181" t="n"/>
      <c r="F193" s="181" t="n"/>
      <c r="G193" s="181" t="n"/>
      <c r="H193" s="181" t="n"/>
      <c r="I193" s="181" t="n"/>
      <c r="J193" s="181" t="n"/>
    </row>
    <row r="194">
      <c r="A194" s="181" t="n"/>
      <c r="B194" s="181" t="n"/>
      <c r="C194" s="181" t="n"/>
      <c r="D194" s="181" t="n"/>
      <c r="E194" s="181" t="n"/>
      <c r="F194" s="181" t="n"/>
      <c r="G194" s="181" t="n"/>
      <c r="H194" s="181" t="n"/>
      <c r="I194" s="181" t="n"/>
      <c r="J194" s="181" t="n"/>
    </row>
    <row r="195">
      <c r="A195" s="181" t="n"/>
      <c r="B195" s="181" t="n"/>
      <c r="C195" s="181" t="n"/>
      <c r="D195" s="181" t="n"/>
      <c r="E195" s="181" t="n"/>
      <c r="F195" s="181" t="n"/>
      <c r="G195" s="181" t="n"/>
      <c r="H195" s="181" t="n"/>
      <c r="I195" s="181" t="n"/>
      <c r="J195" s="181" t="n"/>
    </row>
    <row r="196">
      <c r="A196" s="181" t="n"/>
      <c r="B196" s="181" t="n"/>
      <c r="C196" s="181" t="n"/>
      <c r="D196" s="181" t="n"/>
      <c r="E196" s="181" t="n"/>
      <c r="F196" s="181" t="n"/>
      <c r="G196" s="181" t="n"/>
      <c r="H196" s="181" t="n"/>
      <c r="I196" s="181" t="n"/>
      <c r="J196" s="181" t="n"/>
    </row>
    <row r="197">
      <c r="A197" s="181" t="n"/>
      <c r="B197" s="181" t="n"/>
      <c r="C197" s="181" t="n"/>
      <c r="D197" s="181" t="n"/>
      <c r="E197" s="181" t="n"/>
      <c r="F197" s="181" t="n"/>
      <c r="G197" s="181" t="n"/>
      <c r="H197" s="181" t="n"/>
      <c r="I197" s="181" t="n"/>
      <c r="J197" s="181" t="n"/>
    </row>
    <row r="198">
      <c r="A198" s="181" t="n"/>
      <c r="B198" s="181" t="n"/>
      <c r="C198" s="181" t="n"/>
      <c r="D198" s="181" t="n"/>
      <c r="E198" s="181" t="n"/>
      <c r="F198" s="181" t="n"/>
      <c r="G198" s="181" t="n"/>
      <c r="H198" s="181" t="n"/>
      <c r="I198" s="181" t="n"/>
      <c r="J198" s="181" t="n"/>
    </row>
    <row r="199">
      <c r="A199" s="181" t="n"/>
      <c r="B199" s="181" t="n"/>
      <c r="C199" s="181" t="n"/>
      <c r="D199" s="181" t="n"/>
      <c r="E199" s="181" t="n"/>
      <c r="F199" s="181" t="n"/>
      <c r="G199" s="181" t="n"/>
      <c r="H199" s="181" t="n"/>
      <c r="I199" s="181" t="n"/>
      <c r="J199" s="181" t="n"/>
    </row>
    <row r="200">
      <c r="A200" s="181" t="n"/>
      <c r="B200" s="181" t="n"/>
      <c r="C200" s="181" t="n"/>
      <c r="D200" s="181" t="n"/>
      <c r="E200" s="181" t="n"/>
      <c r="F200" s="181" t="n"/>
      <c r="G200" s="181" t="n"/>
      <c r="H200" s="181" t="n"/>
      <c r="I200" s="181" t="n"/>
      <c r="J200" s="181" t="n"/>
    </row>
  </sheetData>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4.56999969482422" customWidth="1" style="76" min="1" max="1"/>
    <col width="10.14000034332275" customWidth="1" style="76" min="2" max="2"/>
    <col width="62.86000061035156" customWidth="1" style="76" min="3" max="3"/>
  </cols>
  <sheetData>
    <row r="1">
      <c r="A1" t="inlineStr">
        <is>
          <t>action</t>
        </is>
      </c>
      <c r="B1" t="inlineStr">
        <is>
          <t>result</t>
        </is>
      </c>
      <c r="C1" t="inlineStr">
        <is>
          <t>note</t>
        </is>
      </c>
    </row>
    <row r="2">
      <c r="A2" t="inlineStr">
        <is>
          <t>stack explanation layer</t>
        </is>
      </c>
      <c r="B2" t="inlineStr">
        <is>
          <t>complete</t>
        </is>
      </c>
      <c r="C2" t="inlineStr">
        <is>
          <t>each preferred stack now has reasoning + safer suggestion</t>
        </is>
      </c>
    </row>
    <row r="3">
      <c r="A3" t="inlineStr">
        <is>
          <t>rows processed</t>
        </is>
      </c>
      <c r="B3" t="n">
        <v>19</v>
      </c>
      <c r="C3" t="inlineStr">
        <is>
          <t>all preferred stacks enriched</t>
        </is>
      </c>
    </row>
  </sheetData>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O200"/>
  <sheetViews>
    <sheetView workbookViewId="0">
      <selection activeCell="A1" sqref="A1"/>
    </sheetView>
  </sheetViews>
  <sheetFormatPr baseColWidth="8" defaultRowHeight="15"/>
  <cols>
    <col width="14.43000030517578" customWidth="1" style="76" min="1" max="1"/>
    <col width="7.570000171661377" customWidth="1" style="76" min="2" max="2"/>
    <col width="14.71000003814697" customWidth="1" style="76" min="3" max="3"/>
    <col width="14" customWidth="1" style="76" min="4" max="4"/>
    <col width="16.56999969482422" customWidth="1" style="76" min="5" max="5"/>
    <col width="21.29000091552734" customWidth="1" style="76" min="6" max="6"/>
    <col width="21.29000091552734" customWidth="1" style="76" min="7" max="7"/>
    <col width="17.29000091552734" customWidth="1" style="76" min="8" max="8"/>
    <col width="16.56999969482422" customWidth="1" style="76" min="9" max="9"/>
    <col width="17.29000091552734" customWidth="1" style="76" min="10" max="10"/>
    <col width="17.29000091552734" customWidth="1" style="76" min="11" max="11"/>
    <col width="21.29000091552734" customWidth="1" style="76" min="12" max="12"/>
    <col width="11.43000030517578" customWidth="1" style="76" min="13" max="13"/>
    <col width="24.43000030517578" customWidth="1" style="76" min="14" max="14"/>
    <col width="77.86000061035156" customWidth="1" style="76" min="15" max="15"/>
  </cols>
  <sheetData>
    <row r="1">
      <c r="A1" s="181" t="inlineStr">
        <is>
          <t>goal</t>
        </is>
      </c>
      <c r="B1" s="181" t="inlineStr">
        <is>
          <t>type</t>
        </is>
      </c>
      <c r="C1" s="181" t="inlineStr">
        <is>
          <t>originalStatus</t>
        </is>
      </c>
      <c r="D1" s="181" t="inlineStr">
        <is>
          <t>originalScore</t>
        </is>
      </c>
      <c r="E1" s="181" t="inlineStr">
        <is>
          <t>originalHerb1</t>
        </is>
      </c>
      <c r="F1" s="181" t="inlineStr">
        <is>
          <t>originalHerb2</t>
        </is>
      </c>
      <c r="G1" s="181" t="inlineStr">
        <is>
          <t>originalHerb3</t>
        </is>
      </c>
      <c r="H1" s="181" t="inlineStr">
        <is>
          <t>optimizedStatus</t>
        </is>
      </c>
      <c r="I1" s="181" t="inlineStr">
        <is>
          <t>optimizedScore</t>
        </is>
      </c>
      <c r="J1" s="181" t="inlineStr">
        <is>
          <t>optimizedHerb1</t>
        </is>
      </c>
      <c r="K1" s="181" t="inlineStr">
        <is>
          <t>optimizedHerb2</t>
        </is>
      </c>
      <c r="L1" s="181" t="inlineStr">
        <is>
          <t>optimizedHerb3</t>
        </is>
      </c>
      <c r="M1" s="181" t="inlineStr">
        <is>
          <t>scoreDelta</t>
        </is>
      </c>
      <c r="N1" s="181" t="inlineStr">
        <is>
          <t>optimizationResult</t>
        </is>
      </c>
      <c r="O1" s="181" t="inlineStr">
        <is>
          <t>optimizationNotes</t>
        </is>
      </c>
    </row>
    <row r="2">
      <c r="A2" s="181" t="inlineStr">
        <is>
          <t>Sleep</t>
        </is>
      </c>
      <c r="B2" s="181" t="inlineStr">
        <is>
          <t>2-stack</t>
        </is>
      </c>
      <c r="C2" s="181" t="inlineStr">
        <is>
          <t>safe</t>
        </is>
      </c>
      <c r="D2" s="181" t="n">
        <v>26</v>
      </c>
      <c r="E2" s="181" t="inlineStr">
        <is>
          <t>Rhodiola Rosea</t>
        </is>
      </c>
      <c r="F2" s="181" t="inlineStr">
        <is>
          <t>Lemon Balm</t>
        </is>
      </c>
      <c r="G2" s="181" t="n"/>
      <c r="H2" s="181" t="n"/>
      <c r="I2" s="181" t="n"/>
      <c r="J2" s="181" t="n"/>
      <c r="K2" s="181" t="n"/>
      <c r="L2" s="181" t="n"/>
      <c r="M2" s="181" t="n"/>
      <c r="N2" s="181" t="inlineStr">
        <is>
          <t>no_safer_replacement</t>
        </is>
      </c>
      <c r="O2" s="181" t="inlineStr">
        <is>
          <t>No safer alternative available in same goal/type from current stack pool.</t>
        </is>
      </c>
    </row>
    <row r="3">
      <c r="A3" s="181" t="inlineStr">
        <is>
          <t>Sleep</t>
        </is>
      </c>
      <c r="B3" s="181" t="inlineStr">
        <is>
          <t>2-stack</t>
        </is>
      </c>
      <c r="C3" s="181" t="inlineStr">
        <is>
          <t>safe</t>
        </is>
      </c>
      <c r="D3" s="181" t="n">
        <v>23</v>
      </c>
      <c r="E3" s="181" t="inlineStr">
        <is>
          <t>Rhodiola Rosea</t>
        </is>
      </c>
      <c r="F3" s="181" t="inlineStr">
        <is>
          <t>Holy Basil</t>
        </is>
      </c>
      <c r="G3" s="181" t="n"/>
      <c r="H3" s="181" t="n"/>
      <c r="I3" s="181" t="n"/>
      <c r="J3" s="181" t="n"/>
      <c r="K3" s="181" t="n"/>
      <c r="L3" s="181" t="n"/>
      <c r="M3" s="181" t="n"/>
      <c r="N3" s="181" t="inlineStr">
        <is>
          <t>no_safer_replacement</t>
        </is>
      </c>
      <c r="O3" s="181" t="inlineStr">
        <is>
          <t>No safer alternative available in same goal/type from current stack pool.</t>
        </is>
      </c>
    </row>
    <row r="4">
      <c r="A4" s="181" t="inlineStr">
        <is>
          <t>Sleep</t>
        </is>
      </c>
      <c r="B4" s="181" t="inlineStr">
        <is>
          <t>3-stack</t>
        </is>
      </c>
      <c r="C4" s="181" t="inlineStr">
        <is>
          <t>safe</t>
        </is>
      </c>
      <c r="D4" s="181" t="n">
        <v>33</v>
      </c>
      <c r="E4" s="181" t="inlineStr">
        <is>
          <t>Rhodiola Rosea</t>
        </is>
      </c>
      <c r="F4" s="181" t="inlineStr">
        <is>
          <t>Lemon Balm</t>
        </is>
      </c>
      <c r="G4" s="181" t="inlineStr">
        <is>
          <t>Holy Basil</t>
        </is>
      </c>
      <c r="H4" s="181" t="n"/>
      <c r="I4" s="181" t="n"/>
      <c r="J4" s="181" t="n"/>
      <c r="K4" s="181" t="n"/>
      <c r="L4" s="181" t="n"/>
      <c r="M4" s="181" t="n"/>
      <c r="N4" s="181" t="inlineStr">
        <is>
          <t>no_safer_replacement</t>
        </is>
      </c>
      <c r="O4" s="181" t="inlineStr">
        <is>
          <t>No safer alternative available in same goal/type from current stack pool.</t>
        </is>
      </c>
    </row>
    <row r="5">
      <c r="A5" s="181" t="inlineStr">
        <is>
          <t>Sleep</t>
        </is>
      </c>
      <c r="B5" s="181" t="inlineStr">
        <is>
          <t>3-stack</t>
        </is>
      </c>
      <c r="C5" s="181" t="inlineStr">
        <is>
          <t>safe</t>
        </is>
      </c>
      <c r="D5" s="181" t="n">
        <v>32.25</v>
      </c>
      <c r="E5" s="181" t="inlineStr">
        <is>
          <t>Rhodiola Rosea</t>
        </is>
      </c>
      <c r="F5" s="181" t="inlineStr">
        <is>
          <t>Lemon Balm</t>
        </is>
      </c>
      <c r="G5" s="181" t="inlineStr">
        <is>
          <t>Echinacea Purpurea</t>
        </is>
      </c>
      <c r="H5" s="181" t="n"/>
      <c r="I5" s="181" t="n"/>
      <c r="J5" s="181" t="n"/>
      <c r="K5" s="181" t="n"/>
      <c r="L5" s="181" t="n"/>
      <c r="M5" s="181" t="n"/>
      <c r="N5" s="181" t="inlineStr">
        <is>
          <t>no_safer_replacement</t>
        </is>
      </c>
      <c r="O5" s="181" t="inlineStr">
        <is>
          <t>No safer alternative available in same goal/type from current stack pool.</t>
        </is>
      </c>
    </row>
    <row r="6">
      <c r="A6" s="181" t="inlineStr">
        <is>
          <t>Inflammation</t>
        </is>
      </c>
      <c r="B6" s="181" t="inlineStr">
        <is>
          <t>2-stack</t>
        </is>
      </c>
      <c r="C6" s="181" t="inlineStr">
        <is>
          <t>caution</t>
        </is>
      </c>
      <c r="D6" s="181" t="n">
        <v>30.5</v>
      </c>
      <c r="E6" s="181" t="inlineStr">
        <is>
          <t>Milk Thistle</t>
        </is>
      </c>
      <c r="F6" s="181" t="inlineStr">
        <is>
          <t>Turmeric</t>
        </is>
      </c>
      <c r="G6" s="181" t="n"/>
      <c r="H6" s="181" t="inlineStr">
        <is>
          <t>review</t>
        </is>
      </c>
      <c r="I6" s="181" t="n">
        <v>33</v>
      </c>
      <c r="J6" s="181" t="inlineStr">
        <is>
          <t>Milk Thistle</t>
        </is>
      </c>
      <c r="K6" s="181" t="inlineStr">
        <is>
          <t>Ginkgo Biloba</t>
        </is>
      </c>
      <c r="L6" s="181" t="n"/>
      <c r="M6" s="181" t="n">
        <v>2.5</v>
      </c>
      <c r="N6" s="181" t="inlineStr">
        <is>
          <t>replacement_found</t>
        </is>
      </c>
      <c r="O6" s="181" t="inlineStr">
        <is>
          <t>Safer review alternative found within same goal/type.</t>
        </is>
      </c>
    </row>
    <row r="7">
      <c r="A7" s="181" t="inlineStr">
        <is>
          <t>Inflammation</t>
        </is>
      </c>
      <c r="B7" s="181" t="inlineStr">
        <is>
          <t>2-stack</t>
        </is>
      </c>
      <c r="C7" s="181" t="inlineStr">
        <is>
          <t>caution</t>
        </is>
      </c>
      <c r="D7" s="181" t="n">
        <v>28</v>
      </c>
      <c r="E7" s="181" t="inlineStr">
        <is>
          <t>Milk Thistle</t>
        </is>
      </c>
      <c r="F7" s="181" t="inlineStr">
        <is>
          <t>Ashwagandha</t>
        </is>
      </c>
      <c r="G7" s="181" t="n"/>
      <c r="H7" s="181" t="inlineStr">
        <is>
          <t>review</t>
        </is>
      </c>
      <c r="I7" s="181" t="n">
        <v>33</v>
      </c>
      <c r="J7" s="181" t="inlineStr">
        <is>
          <t>Milk Thistle</t>
        </is>
      </c>
      <c r="K7" s="181" t="inlineStr">
        <is>
          <t>Ginkgo Biloba</t>
        </is>
      </c>
      <c r="L7" s="181" t="n"/>
      <c r="M7" s="181" t="n">
        <v>5</v>
      </c>
      <c r="N7" s="181" t="inlineStr">
        <is>
          <t>replacement_found</t>
        </is>
      </c>
      <c r="O7" s="181" t="inlineStr">
        <is>
          <t>Safer review alternative found within same goal/type.</t>
        </is>
      </c>
    </row>
    <row r="8">
      <c r="A8" s="181" t="inlineStr">
        <is>
          <t>Inflammation</t>
        </is>
      </c>
      <c r="B8" s="181" t="inlineStr">
        <is>
          <t>3-stack</t>
        </is>
      </c>
      <c r="C8" s="181" t="inlineStr">
        <is>
          <t>caution</t>
        </is>
      </c>
      <c r="D8" s="181" t="n">
        <v>45</v>
      </c>
      <c r="E8" s="181" t="inlineStr">
        <is>
          <t>Milk Thistle</t>
        </is>
      </c>
      <c r="F8" s="181" t="inlineStr">
        <is>
          <t>Ginkgo Biloba</t>
        </is>
      </c>
      <c r="G8" s="181" t="inlineStr">
        <is>
          <t>Turmeric</t>
        </is>
      </c>
      <c r="H8" s="181" t="inlineStr">
        <is>
          <t>review</t>
        </is>
      </c>
      <c r="I8" s="181" t="n">
        <v>46</v>
      </c>
      <c r="J8" s="181" t="inlineStr">
        <is>
          <t>Milk Thistle</t>
        </is>
      </c>
      <c r="K8" s="181" t="inlineStr">
        <is>
          <t>Ginkgo Biloba</t>
        </is>
      </c>
      <c r="L8" s="181" t="inlineStr">
        <is>
          <t>Rhodiola Rosea</t>
        </is>
      </c>
      <c r="M8" s="181" t="n">
        <v>1</v>
      </c>
      <c r="N8" s="181" t="inlineStr">
        <is>
          <t>replacement_found</t>
        </is>
      </c>
      <c r="O8" s="181" t="inlineStr">
        <is>
          <t>Safer review alternative found within same goal/type.</t>
        </is>
      </c>
    </row>
    <row r="9">
      <c r="A9" s="181" t="inlineStr">
        <is>
          <t>Inflammation</t>
        </is>
      </c>
      <c r="B9" s="181" t="inlineStr">
        <is>
          <t>3-stack</t>
        </is>
      </c>
      <c r="C9" s="181" t="inlineStr">
        <is>
          <t>caution</t>
        </is>
      </c>
      <c r="D9" s="181" t="n">
        <v>42.5</v>
      </c>
      <c r="E9" s="181" t="inlineStr">
        <is>
          <t>Milk Thistle</t>
        </is>
      </c>
      <c r="F9" s="181" t="inlineStr">
        <is>
          <t>Ginkgo Biloba</t>
        </is>
      </c>
      <c r="G9" s="181" t="inlineStr">
        <is>
          <t>Ashwagandha</t>
        </is>
      </c>
      <c r="H9" s="181" t="inlineStr">
        <is>
          <t>review</t>
        </is>
      </c>
      <c r="I9" s="181" t="n">
        <v>46</v>
      </c>
      <c r="J9" s="181" t="inlineStr">
        <is>
          <t>Milk Thistle</t>
        </is>
      </c>
      <c r="K9" s="181" t="inlineStr">
        <is>
          <t>Ginkgo Biloba</t>
        </is>
      </c>
      <c r="L9" s="181" t="inlineStr">
        <is>
          <t>Rhodiola Rosea</t>
        </is>
      </c>
      <c r="M9" s="181" t="n">
        <v>3.5</v>
      </c>
      <c r="N9" s="181" t="inlineStr">
        <is>
          <t>replacement_found</t>
        </is>
      </c>
      <c r="O9" s="181" t="inlineStr">
        <is>
          <t>Safer review alternative found within same goal/type.</t>
        </is>
      </c>
    </row>
    <row r="10">
      <c r="A10" s="181" t="inlineStr">
        <is>
          <t>Mood</t>
        </is>
      </c>
      <c r="B10" s="181" t="inlineStr">
        <is>
          <t>2-stack</t>
        </is>
      </c>
      <c r="C10" s="181" t="inlineStr">
        <is>
          <t>safe</t>
        </is>
      </c>
      <c r="D10" s="181" t="n">
        <v>25.25</v>
      </c>
      <c r="E10" s="181" t="inlineStr">
        <is>
          <t>Rhodiola Rosea</t>
        </is>
      </c>
      <c r="F10" s="181" t="inlineStr">
        <is>
          <t>Echinacea Purpurea</t>
        </is>
      </c>
      <c r="G10" s="181" t="n"/>
      <c r="H10" s="181" t="n"/>
      <c r="I10" s="181" t="n"/>
      <c r="J10" s="181" t="n"/>
      <c r="K10" s="181" t="n"/>
      <c r="L10" s="181" t="n"/>
      <c r="M10" s="181" t="n"/>
      <c r="N10" s="181" t="inlineStr">
        <is>
          <t>no_safer_replacement</t>
        </is>
      </c>
      <c r="O10" s="181" t="inlineStr">
        <is>
          <t>No safer alternative available in same goal/type from current stack pool.</t>
        </is>
      </c>
    </row>
    <row r="11">
      <c r="A11" s="181" t="inlineStr">
        <is>
          <t>Mood</t>
        </is>
      </c>
      <c r="B11" s="181" t="inlineStr">
        <is>
          <t>2-stack</t>
        </is>
      </c>
      <c r="C11" s="181" t="inlineStr">
        <is>
          <t>safe</t>
        </is>
      </c>
      <c r="D11" s="181" t="n">
        <v>23</v>
      </c>
      <c r="E11" s="181" t="inlineStr">
        <is>
          <t>Rhodiola Rosea</t>
        </is>
      </c>
      <c r="F11" s="181" t="inlineStr">
        <is>
          <t>Holy Basil</t>
        </is>
      </c>
      <c r="G11" s="181" t="n"/>
      <c r="H11" s="181" t="n"/>
      <c r="I11" s="181" t="n"/>
      <c r="J11" s="181" t="n"/>
      <c r="K11" s="181" t="n"/>
      <c r="L11" s="181" t="n"/>
      <c r="M11" s="181" t="n"/>
      <c r="N11" s="181" t="inlineStr">
        <is>
          <t>no_safer_replacement</t>
        </is>
      </c>
      <c r="O11" s="181" t="inlineStr">
        <is>
          <t>No safer alternative available in same goal/type from current stack pool.</t>
        </is>
      </c>
    </row>
    <row r="12">
      <c r="A12" s="181" t="inlineStr">
        <is>
          <t>Mood</t>
        </is>
      </c>
      <c r="B12" s="181" t="inlineStr">
        <is>
          <t>3-stack</t>
        </is>
      </c>
      <c r="C12" s="181" t="inlineStr">
        <is>
          <t>caution</t>
        </is>
      </c>
      <c r="D12" s="181" t="n">
        <v>34.75</v>
      </c>
      <c r="E12" s="181" t="inlineStr">
        <is>
          <t>Rhodiola Rosea</t>
        </is>
      </c>
      <c r="F12" s="181" t="inlineStr">
        <is>
          <t>Milk Thistle</t>
        </is>
      </c>
      <c r="G12" s="181" t="inlineStr">
        <is>
          <t>Ashwagandha</t>
        </is>
      </c>
      <c r="H12" s="181" t="inlineStr">
        <is>
          <t>review</t>
        </is>
      </c>
      <c r="I12" s="181" t="n">
        <v>34.5</v>
      </c>
      <c r="J12" s="181" t="inlineStr">
        <is>
          <t>Rhodiola Rosea</t>
        </is>
      </c>
      <c r="K12" s="181" t="inlineStr">
        <is>
          <t>Milk Thistle</t>
        </is>
      </c>
      <c r="L12" s="181" t="inlineStr">
        <is>
          <t>Echinacea Purpurea</t>
        </is>
      </c>
      <c r="M12" s="181" t="n">
        <v>-0.25</v>
      </c>
      <c r="N12" s="181" t="inlineStr">
        <is>
          <t>replacement_found</t>
        </is>
      </c>
      <c r="O12" s="181" t="inlineStr">
        <is>
          <t>Safer review alternative found within same goal/type.</t>
        </is>
      </c>
    </row>
    <row r="13">
      <c r="A13" s="181" t="inlineStr">
        <is>
          <t>Mood</t>
        </is>
      </c>
      <c r="B13" s="181" t="inlineStr">
        <is>
          <t>3-stack</t>
        </is>
      </c>
      <c r="C13" s="181" t="inlineStr">
        <is>
          <t>caution</t>
        </is>
      </c>
      <c r="D13" s="181" t="n">
        <v>32.25</v>
      </c>
      <c r="E13" s="181" t="inlineStr">
        <is>
          <t>Rhodiola Rosea</t>
        </is>
      </c>
      <c r="F13" s="181" t="inlineStr">
        <is>
          <t>Milk Thistle</t>
        </is>
      </c>
      <c r="G13" s="181" t="inlineStr">
        <is>
          <t>Turmeric</t>
        </is>
      </c>
      <c r="H13" s="181" t="inlineStr">
        <is>
          <t>review</t>
        </is>
      </c>
      <c r="I13" s="181" t="n">
        <v>34.5</v>
      </c>
      <c r="J13" s="181" t="inlineStr">
        <is>
          <t>Rhodiola Rosea</t>
        </is>
      </c>
      <c r="K13" s="181" t="inlineStr">
        <is>
          <t>Milk Thistle</t>
        </is>
      </c>
      <c r="L13" s="181" t="inlineStr">
        <is>
          <t>Echinacea Purpurea</t>
        </is>
      </c>
      <c r="M13" s="181" t="n">
        <v>2.25</v>
      </c>
      <c r="N13" s="181" t="inlineStr">
        <is>
          <t>replacement_found</t>
        </is>
      </c>
      <c r="O13" s="181" t="inlineStr">
        <is>
          <t>Safer review alternative found within same goal/type.</t>
        </is>
      </c>
    </row>
    <row r="14">
      <c r="A14" s="181" t="inlineStr">
        <is>
          <t>Mood</t>
        </is>
      </c>
      <c r="B14" s="181" t="inlineStr">
        <is>
          <t>3-stack</t>
        </is>
      </c>
      <c r="C14" s="181" t="inlineStr">
        <is>
          <t>caution</t>
        </is>
      </c>
      <c r="D14" s="181" t="n">
        <v>31.5</v>
      </c>
      <c r="E14" s="181" t="inlineStr">
        <is>
          <t>Rhodiola Rosea</t>
        </is>
      </c>
      <c r="F14" s="181" t="inlineStr">
        <is>
          <t>Milk Thistle</t>
        </is>
      </c>
      <c r="G14" s="181" t="inlineStr">
        <is>
          <t>Garlic</t>
        </is>
      </c>
      <c r="H14" s="181" t="inlineStr">
        <is>
          <t>review</t>
        </is>
      </c>
      <c r="I14" s="181" t="n">
        <v>34.5</v>
      </c>
      <c r="J14" s="181" t="inlineStr">
        <is>
          <t>Rhodiola Rosea</t>
        </is>
      </c>
      <c r="K14" s="181" t="inlineStr">
        <is>
          <t>Milk Thistle</t>
        </is>
      </c>
      <c r="L14" s="181" t="inlineStr">
        <is>
          <t>Echinacea Purpurea</t>
        </is>
      </c>
      <c r="M14" s="181" t="n">
        <v>3</v>
      </c>
      <c r="N14" s="181" t="inlineStr">
        <is>
          <t>replacement_found</t>
        </is>
      </c>
      <c r="O14" s="181" t="inlineStr">
        <is>
          <t>Safer review alternative found within same goal/type.</t>
        </is>
      </c>
    </row>
    <row r="15">
      <c r="A15" s="181" t="inlineStr">
        <is>
          <t>Liver</t>
        </is>
      </c>
      <c r="B15" s="181" t="inlineStr">
        <is>
          <t>2-stack</t>
        </is>
      </c>
      <c r="C15" s="181" t="inlineStr">
        <is>
          <t>caution</t>
        </is>
      </c>
      <c r="D15" s="181" t="n">
        <v>24.5</v>
      </c>
      <c r="E15" s="181" t="inlineStr">
        <is>
          <t>Milk Thistle</t>
        </is>
      </c>
      <c r="F15" s="181" t="inlineStr">
        <is>
          <t>Turmeric</t>
        </is>
      </c>
      <c r="G15" s="181" t="n"/>
      <c r="H15" s="181" t="inlineStr">
        <is>
          <t>review</t>
        </is>
      </c>
      <c r="I15" s="181" t="n">
        <v>25.5</v>
      </c>
      <c r="J15" s="181" t="inlineStr">
        <is>
          <t>Milk Thistle</t>
        </is>
      </c>
      <c r="K15" s="181" t="inlineStr">
        <is>
          <t>Rhodiola Rosea</t>
        </is>
      </c>
      <c r="L15" s="181" t="n"/>
      <c r="M15" s="181" t="n">
        <v>1</v>
      </c>
      <c r="N15" s="181" t="inlineStr">
        <is>
          <t>replacement_found</t>
        </is>
      </c>
      <c r="O15" s="181" t="inlineStr">
        <is>
          <t>Safer review alternative found within same goal/type.</t>
        </is>
      </c>
    </row>
    <row r="16">
      <c r="A16" s="181" t="inlineStr">
        <is>
          <t>Liver</t>
        </is>
      </c>
      <c r="B16" s="181" t="inlineStr">
        <is>
          <t>2-stack</t>
        </is>
      </c>
      <c r="C16" s="181" t="inlineStr">
        <is>
          <t>caution</t>
        </is>
      </c>
      <c r="D16" s="181" t="n">
        <v>23.75</v>
      </c>
      <c r="E16" s="181" t="inlineStr">
        <is>
          <t>Milk Thistle</t>
        </is>
      </c>
      <c r="F16" s="181" t="inlineStr">
        <is>
          <t>Garlic</t>
        </is>
      </c>
      <c r="G16" s="181" t="n"/>
      <c r="H16" s="181" t="inlineStr">
        <is>
          <t>review</t>
        </is>
      </c>
      <c r="I16" s="181" t="n">
        <v>25.5</v>
      </c>
      <c r="J16" s="181" t="inlineStr">
        <is>
          <t>Milk Thistle</t>
        </is>
      </c>
      <c r="K16" s="181" t="inlineStr">
        <is>
          <t>Rhodiola Rosea</t>
        </is>
      </c>
      <c r="L16" s="181" t="n"/>
      <c r="M16" s="181" t="n">
        <v>1.75</v>
      </c>
      <c r="N16" s="181" t="inlineStr">
        <is>
          <t>replacement_found</t>
        </is>
      </c>
      <c r="O16" s="181" t="inlineStr">
        <is>
          <t>Safer review alternative found within same goal/type.</t>
        </is>
      </c>
    </row>
    <row r="17">
      <c r="A17" s="181" t="inlineStr">
        <is>
          <t>Liver</t>
        </is>
      </c>
      <c r="B17" s="181" t="inlineStr">
        <is>
          <t>2-stack</t>
        </is>
      </c>
      <c r="C17" s="181" t="inlineStr">
        <is>
          <t>caution</t>
        </is>
      </c>
      <c r="D17" s="181" t="n">
        <v>21</v>
      </c>
      <c r="E17" s="181" t="inlineStr">
        <is>
          <t>Milk Thistle</t>
        </is>
      </c>
      <c r="F17" s="181" t="inlineStr">
        <is>
          <t>Ashwagandha</t>
        </is>
      </c>
      <c r="G17" s="181" t="n"/>
      <c r="H17" s="181" t="inlineStr">
        <is>
          <t>review</t>
        </is>
      </c>
      <c r="I17" s="181" t="n">
        <v>25.5</v>
      </c>
      <c r="J17" s="181" t="inlineStr">
        <is>
          <t>Milk Thistle</t>
        </is>
      </c>
      <c r="K17" s="181" t="inlineStr">
        <is>
          <t>Rhodiola Rosea</t>
        </is>
      </c>
      <c r="L17" s="181" t="n"/>
      <c r="M17" s="181" t="n">
        <v>4.5</v>
      </c>
      <c r="N17" s="181" t="inlineStr">
        <is>
          <t>replacement_found</t>
        </is>
      </c>
      <c r="O17" s="181" t="inlineStr">
        <is>
          <t>Safer review alternative found within same goal/type.</t>
        </is>
      </c>
    </row>
    <row r="18">
      <c r="A18" s="181" t="inlineStr">
        <is>
          <t>Liver</t>
        </is>
      </c>
      <c r="B18" s="181" t="inlineStr">
        <is>
          <t>3-stack</t>
        </is>
      </c>
      <c r="C18" s="181" t="inlineStr">
        <is>
          <t>caution</t>
        </is>
      </c>
      <c r="D18" s="181" t="n">
        <v>35.5</v>
      </c>
      <c r="E18" s="181" t="inlineStr">
        <is>
          <t>Milk Thistle</t>
        </is>
      </c>
      <c r="F18" s="181" t="inlineStr">
        <is>
          <t>Rhodiola Rosea</t>
        </is>
      </c>
      <c r="G18" s="181" t="inlineStr">
        <is>
          <t>Turmeric</t>
        </is>
      </c>
      <c r="H18" s="181" t="inlineStr">
        <is>
          <t>review</t>
        </is>
      </c>
      <c r="I18" s="181" t="n">
        <v>31.75</v>
      </c>
      <c r="J18" s="181" t="inlineStr">
        <is>
          <t>Milk Thistle</t>
        </is>
      </c>
      <c r="K18" s="181" t="inlineStr">
        <is>
          <t>Rhodiola Rosea</t>
        </is>
      </c>
      <c r="L18" s="181" t="inlineStr">
        <is>
          <t>Echinacea Purpurea</t>
        </is>
      </c>
      <c r="M18" s="181" t="n">
        <v>-3.75</v>
      </c>
      <c r="N18" s="181" t="inlineStr">
        <is>
          <t>replacement_found</t>
        </is>
      </c>
      <c r="O18" s="181" t="inlineStr">
        <is>
          <t>Safer review alternative found within same goal/type.</t>
        </is>
      </c>
    </row>
    <row r="19">
      <c r="A19" s="181" t="inlineStr">
        <is>
          <t>Liver</t>
        </is>
      </c>
      <c r="B19" s="181" t="inlineStr">
        <is>
          <t>3-stack</t>
        </is>
      </c>
      <c r="C19" s="181" t="inlineStr">
        <is>
          <t>caution</t>
        </is>
      </c>
      <c r="D19" s="181" t="n">
        <v>34.75</v>
      </c>
      <c r="E19" s="181" t="inlineStr">
        <is>
          <t>Milk Thistle</t>
        </is>
      </c>
      <c r="F19" s="181" t="inlineStr">
        <is>
          <t>Rhodiola Rosea</t>
        </is>
      </c>
      <c r="G19" s="181" t="inlineStr">
        <is>
          <t>Garlic</t>
        </is>
      </c>
      <c r="H19" s="181" t="inlineStr">
        <is>
          <t>review</t>
        </is>
      </c>
      <c r="I19" s="181" t="n">
        <v>31.75</v>
      </c>
      <c r="J19" s="181" t="inlineStr">
        <is>
          <t>Milk Thistle</t>
        </is>
      </c>
      <c r="K19" s="181" t="inlineStr">
        <is>
          <t>Rhodiola Rosea</t>
        </is>
      </c>
      <c r="L19" s="181" t="inlineStr">
        <is>
          <t>Echinacea Purpurea</t>
        </is>
      </c>
      <c r="M19" s="181" t="n">
        <v>-3</v>
      </c>
      <c r="N19" s="181" t="inlineStr">
        <is>
          <t>replacement_found</t>
        </is>
      </c>
      <c r="O19" s="181" t="inlineStr">
        <is>
          <t>Safer review alternative found within same goal/type.</t>
        </is>
      </c>
    </row>
    <row r="20">
      <c r="A20" s="181" t="inlineStr">
        <is>
          <t>Liver</t>
        </is>
      </c>
      <c r="B20" s="181" t="inlineStr">
        <is>
          <t>3-stack</t>
        </is>
      </c>
      <c r="C20" s="181" t="inlineStr">
        <is>
          <t>caution</t>
        </is>
      </c>
      <c r="D20" s="181" t="n">
        <v>32</v>
      </c>
      <c r="E20" s="181" t="inlineStr">
        <is>
          <t>Milk Thistle</t>
        </is>
      </c>
      <c r="F20" s="181" t="inlineStr">
        <is>
          <t>Rhodiola Rosea</t>
        </is>
      </c>
      <c r="G20" s="181" t="inlineStr">
        <is>
          <t>Ashwagandha</t>
        </is>
      </c>
      <c r="H20" s="181" t="inlineStr">
        <is>
          <t>review</t>
        </is>
      </c>
      <c r="I20" s="181" t="n">
        <v>31.75</v>
      </c>
      <c r="J20" s="181" t="inlineStr">
        <is>
          <t>Milk Thistle</t>
        </is>
      </c>
      <c r="K20" s="181" t="inlineStr">
        <is>
          <t>Rhodiola Rosea</t>
        </is>
      </c>
      <c r="L20" s="181" t="inlineStr">
        <is>
          <t>Echinacea Purpurea</t>
        </is>
      </c>
      <c r="M20" s="181" t="n">
        <v>-0.25</v>
      </c>
      <c r="N20" s="181" t="inlineStr">
        <is>
          <t>replacement_found</t>
        </is>
      </c>
      <c r="O20" s="181" t="inlineStr">
        <is>
          <t>Safer review alternative found within same goal/type.</t>
        </is>
      </c>
    </row>
    <row r="21">
      <c r="A21" s="181" t="n"/>
      <c r="B21" s="181" t="n"/>
      <c r="C21" s="181" t="n"/>
      <c r="D21" s="181" t="n"/>
      <c r="E21" s="181" t="n"/>
      <c r="F21" s="181" t="n"/>
      <c r="G21" s="181" t="n"/>
      <c r="H21" s="181" t="n"/>
      <c r="I21" s="181" t="n"/>
      <c r="J21" s="181" t="n"/>
      <c r="K21" s="181" t="n"/>
      <c r="L21" s="181" t="n"/>
      <c r="M21" s="181" t="n"/>
      <c r="N21" s="181" t="n"/>
      <c r="O21" s="181" t="n"/>
    </row>
    <row r="22">
      <c r="A22" s="181" t="n"/>
      <c r="B22" s="181" t="n"/>
      <c r="C22" s="181" t="n"/>
      <c r="D22" s="181" t="n"/>
      <c r="E22" s="181" t="n"/>
      <c r="F22" s="181" t="n"/>
      <c r="G22" s="181" t="n"/>
      <c r="H22" s="181" t="n"/>
      <c r="I22" s="181" t="n"/>
      <c r="J22" s="181" t="n"/>
      <c r="K22" s="181" t="n"/>
      <c r="L22" s="181" t="n"/>
      <c r="M22" s="181" t="n"/>
      <c r="N22" s="181" t="n"/>
      <c r="O22" s="181" t="n"/>
    </row>
    <row r="23">
      <c r="A23" s="181" t="n"/>
      <c r="B23" s="181" t="n"/>
      <c r="C23" s="181" t="n"/>
      <c r="D23" s="181" t="n"/>
      <c r="E23" s="181" t="n"/>
      <c r="F23" s="181" t="n"/>
      <c r="G23" s="181" t="n"/>
      <c r="H23" s="181" t="n"/>
      <c r="I23" s="181" t="n"/>
      <c r="J23" s="181" t="n"/>
      <c r="K23" s="181" t="n"/>
      <c r="L23" s="181" t="n"/>
      <c r="M23" s="181" t="n"/>
      <c r="N23" s="181" t="n"/>
      <c r="O23" s="181" t="n"/>
    </row>
    <row r="24">
      <c r="A24" s="181" t="n"/>
      <c r="B24" s="181" t="n"/>
      <c r="C24" s="181" t="n"/>
      <c r="D24" s="181" t="n"/>
      <c r="E24" s="181" t="n"/>
      <c r="F24" s="181" t="n"/>
      <c r="G24" s="181" t="n"/>
      <c r="H24" s="181" t="n"/>
      <c r="I24" s="181" t="n"/>
      <c r="J24" s="181" t="n"/>
      <c r="K24" s="181" t="n"/>
      <c r="L24" s="181" t="n"/>
      <c r="M24" s="181" t="n"/>
      <c r="N24" s="181" t="n"/>
      <c r="O24" s="181" t="n"/>
    </row>
    <row r="25">
      <c r="A25" s="181" t="n"/>
      <c r="B25" s="181" t="n"/>
      <c r="C25" s="181" t="n"/>
      <c r="D25" s="181" t="n"/>
      <c r="E25" s="181" t="n"/>
      <c r="F25" s="181" t="n"/>
      <c r="G25" s="181" t="n"/>
      <c r="H25" s="181" t="n"/>
      <c r="I25" s="181" t="n"/>
      <c r="J25" s="181" t="n"/>
      <c r="K25" s="181" t="n"/>
      <c r="L25" s="181" t="n"/>
      <c r="M25" s="181" t="n"/>
      <c r="N25" s="181" t="n"/>
      <c r="O25" s="181" t="n"/>
    </row>
    <row r="26">
      <c r="A26" s="181" t="n"/>
      <c r="B26" s="181" t="n"/>
      <c r="C26" s="181" t="n"/>
      <c r="D26" s="181" t="n"/>
      <c r="E26" s="181" t="n"/>
      <c r="F26" s="181" t="n"/>
      <c r="G26" s="181" t="n"/>
      <c r="H26" s="181" t="n"/>
      <c r="I26" s="181" t="n"/>
      <c r="J26" s="181" t="n"/>
      <c r="K26" s="181" t="n"/>
      <c r="L26" s="181" t="n"/>
      <c r="M26" s="181" t="n"/>
      <c r="N26" s="181" t="n"/>
      <c r="O26" s="181" t="n"/>
    </row>
    <row r="27">
      <c r="A27" s="181" t="n"/>
      <c r="B27" s="181" t="n"/>
      <c r="C27" s="181" t="n"/>
      <c r="D27" s="181" t="n"/>
      <c r="E27" s="181" t="n"/>
      <c r="F27" s="181" t="n"/>
      <c r="G27" s="181" t="n"/>
      <c r="H27" s="181" t="n"/>
      <c r="I27" s="181" t="n"/>
      <c r="J27" s="181" t="n"/>
      <c r="K27" s="181" t="n"/>
      <c r="L27" s="181" t="n"/>
      <c r="M27" s="181" t="n"/>
      <c r="N27" s="181" t="n"/>
      <c r="O27" s="181" t="n"/>
    </row>
    <row r="28">
      <c r="A28" s="181" t="n"/>
      <c r="B28" s="181" t="n"/>
      <c r="C28" s="181" t="n"/>
      <c r="D28" s="181" t="n"/>
      <c r="E28" s="181" t="n"/>
      <c r="F28" s="181" t="n"/>
      <c r="G28" s="181" t="n"/>
      <c r="H28" s="181" t="n"/>
      <c r="I28" s="181" t="n"/>
      <c r="J28" s="181" t="n"/>
      <c r="K28" s="181" t="n"/>
      <c r="L28" s="181" t="n"/>
      <c r="M28" s="181" t="n"/>
      <c r="N28" s="181" t="n"/>
      <c r="O28" s="181" t="n"/>
    </row>
    <row r="29">
      <c r="A29" s="181" t="n"/>
      <c r="B29" s="181" t="n"/>
      <c r="C29" s="181" t="n"/>
      <c r="D29" s="181" t="n"/>
      <c r="E29" s="181" t="n"/>
      <c r="F29" s="181" t="n"/>
      <c r="G29" s="181" t="n"/>
      <c r="H29" s="181" t="n"/>
      <c r="I29" s="181" t="n"/>
      <c r="J29" s="181" t="n"/>
      <c r="K29" s="181" t="n"/>
      <c r="L29" s="181" t="n"/>
      <c r="M29" s="181" t="n"/>
      <c r="N29" s="181" t="n"/>
      <c r="O29" s="181" t="n"/>
    </row>
    <row r="30">
      <c r="A30" s="181" t="n"/>
      <c r="B30" s="181" t="n"/>
      <c r="C30" s="181" t="n"/>
      <c r="D30" s="181" t="n"/>
      <c r="E30" s="181" t="n"/>
      <c r="F30" s="181" t="n"/>
      <c r="G30" s="181" t="n"/>
      <c r="H30" s="181" t="n"/>
      <c r="I30" s="181" t="n"/>
      <c r="J30" s="181" t="n"/>
      <c r="K30" s="181" t="n"/>
      <c r="L30" s="181" t="n"/>
      <c r="M30" s="181" t="n"/>
      <c r="N30" s="181" t="n"/>
      <c r="O30" s="181" t="n"/>
    </row>
    <row r="31">
      <c r="A31" s="181" t="n"/>
      <c r="B31" s="181" t="n"/>
      <c r="C31" s="181" t="n"/>
      <c r="D31" s="181" t="n"/>
      <c r="E31" s="181" t="n"/>
      <c r="F31" s="181" t="n"/>
      <c r="G31" s="181" t="n"/>
      <c r="H31" s="181" t="n"/>
      <c r="I31" s="181" t="n"/>
      <c r="J31" s="181" t="n"/>
      <c r="K31" s="181" t="n"/>
      <c r="L31" s="181" t="n"/>
      <c r="M31" s="181" t="n"/>
      <c r="N31" s="181" t="n"/>
      <c r="O31" s="181" t="n"/>
    </row>
    <row r="32">
      <c r="A32" s="181" t="n"/>
      <c r="B32" s="181" t="n"/>
      <c r="C32" s="181" t="n"/>
      <c r="D32" s="181" t="n"/>
      <c r="E32" s="181" t="n"/>
      <c r="F32" s="181" t="n"/>
      <c r="G32" s="181" t="n"/>
      <c r="H32" s="181" t="n"/>
      <c r="I32" s="181" t="n"/>
      <c r="J32" s="181" t="n"/>
      <c r="K32" s="181" t="n"/>
      <c r="L32" s="181" t="n"/>
      <c r="M32" s="181" t="n"/>
      <c r="N32" s="181" t="n"/>
      <c r="O32" s="181" t="n"/>
    </row>
    <row r="33">
      <c r="A33" s="181" t="n"/>
      <c r="B33" s="181" t="n"/>
      <c r="C33" s="181" t="n"/>
      <c r="D33" s="181" t="n"/>
      <c r="E33" s="181" t="n"/>
      <c r="F33" s="181" t="n"/>
      <c r="G33" s="181" t="n"/>
      <c r="H33" s="181" t="n"/>
      <c r="I33" s="181" t="n"/>
      <c r="J33" s="181" t="n"/>
      <c r="K33" s="181" t="n"/>
      <c r="L33" s="181" t="n"/>
      <c r="M33" s="181" t="n"/>
      <c r="N33" s="181" t="n"/>
      <c r="O33" s="181" t="n"/>
    </row>
    <row r="34">
      <c r="A34" s="181" t="n"/>
      <c r="B34" s="181" t="n"/>
      <c r="C34" s="181" t="n"/>
      <c r="D34" s="181" t="n"/>
      <c r="E34" s="181" t="n"/>
      <c r="F34" s="181" t="n"/>
      <c r="G34" s="181" t="n"/>
      <c r="H34" s="181" t="n"/>
      <c r="I34" s="181" t="n"/>
      <c r="J34" s="181" t="n"/>
      <c r="K34" s="181" t="n"/>
      <c r="L34" s="181" t="n"/>
      <c r="M34" s="181" t="n"/>
      <c r="N34" s="181" t="n"/>
      <c r="O34" s="181" t="n"/>
    </row>
    <row r="35">
      <c r="A35" s="181" t="n"/>
      <c r="B35" s="181" t="n"/>
      <c r="C35" s="181" t="n"/>
      <c r="D35" s="181" t="n"/>
      <c r="E35" s="181" t="n"/>
      <c r="F35" s="181" t="n"/>
      <c r="G35" s="181" t="n"/>
      <c r="H35" s="181" t="n"/>
      <c r="I35" s="181" t="n"/>
      <c r="J35" s="181" t="n"/>
      <c r="K35" s="181" t="n"/>
      <c r="L35" s="181" t="n"/>
      <c r="M35" s="181" t="n"/>
      <c r="N35" s="181" t="n"/>
      <c r="O35" s="181" t="n"/>
    </row>
    <row r="36">
      <c r="A36" s="181" t="n"/>
      <c r="B36" s="181" t="n"/>
      <c r="C36" s="181" t="n"/>
      <c r="D36" s="181" t="n"/>
      <c r="E36" s="181" t="n"/>
      <c r="F36" s="181" t="n"/>
      <c r="G36" s="181" t="n"/>
      <c r="H36" s="181" t="n"/>
      <c r="I36" s="181" t="n"/>
      <c r="J36" s="181" t="n"/>
      <c r="K36" s="181" t="n"/>
      <c r="L36" s="181" t="n"/>
      <c r="M36" s="181" t="n"/>
      <c r="N36" s="181" t="n"/>
      <c r="O36" s="181" t="n"/>
    </row>
    <row r="37">
      <c r="A37" s="181" t="n"/>
      <c r="B37" s="181" t="n"/>
      <c r="C37" s="181" t="n"/>
      <c r="D37" s="181" t="n"/>
      <c r="E37" s="181" t="n"/>
      <c r="F37" s="181" t="n"/>
      <c r="G37" s="181" t="n"/>
      <c r="H37" s="181" t="n"/>
      <c r="I37" s="181" t="n"/>
      <c r="J37" s="181" t="n"/>
      <c r="K37" s="181" t="n"/>
      <c r="L37" s="181" t="n"/>
      <c r="M37" s="181" t="n"/>
      <c r="N37" s="181" t="n"/>
      <c r="O37" s="181" t="n"/>
    </row>
    <row r="38">
      <c r="A38" s="181" t="n"/>
      <c r="B38" s="181" t="n"/>
      <c r="C38" s="181" t="n"/>
      <c r="D38" s="181" t="n"/>
      <c r="E38" s="181" t="n"/>
      <c r="F38" s="181" t="n"/>
      <c r="G38" s="181" t="n"/>
      <c r="H38" s="181" t="n"/>
      <c r="I38" s="181" t="n"/>
      <c r="J38" s="181" t="n"/>
      <c r="K38" s="181" t="n"/>
      <c r="L38" s="181" t="n"/>
      <c r="M38" s="181" t="n"/>
      <c r="N38" s="181" t="n"/>
      <c r="O38" s="181" t="n"/>
    </row>
    <row r="39">
      <c r="A39" s="181" t="n"/>
      <c r="B39" s="181" t="n"/>
      <c r="C39" s="181" t="n"/>
      <c r="D39" s="181" t="n"/>
      <c r="E39" s="181" t="n"/>
      <c r="F39" s="181" t="n"/>
      <c r="G39" s="181" t="n"/>
      <c r="H39" s="181" t="n"/>
      <c r="I39" s="181" t="n"/>
      <c r="J39" s="181" t="n"/>
      <c r="K39" s="181" t="n"/>
      <c r="L39" s="181" t="n"/>
      <c r="M39" s="181" t="n"/>
      <c r="N39" s="181" t="n"/>
      <c r="O39" s="181" t="n"/>
    </row>
    <row r="40">
      <c r="A40" s="181" t="n"/>
      <c r="B40" s="181" t="n"/>
      <c r="C40" s="181" t="n"/>
      <c r="D40" s="181" t="n"/>
      <c r="E40" s="181" t="n"/>
      <c r="F40" s="181" t="n"/>
      <c r="G40" s="181" t="n"/>
      <c r="H40" s="181" t="n"/>
      <c r="I40" s="181" t="n"/>
      <c r="J40" s="181" t="n"/>
      <c r="K40" s="181" t="n"/>
      <c r="L40" s="181" t="n"/>
      <c r="M40" s="181" t="n"/>
      <c r="N40" s="181" t="n"/>
      <c r="O40" s="181" t="n"/>
    </row>
    <row r="41">
      <c r="A41" s="181" t="n"/>
      <c r="B41" s="181" t="n"/>
      <c r="C41" s="181" t="n"/>
      <c r="D41" s="181" t="n"/>
      <c r="E41" s="181" t="n"/>
      <c r="F41" s="181" t="n"/>
      <c r="G41" s="181" t="n"/>
      <c r="H41" s="181" t="n"/>
      <c r="I41" s="181" t="n"/>
      <c r="J41" s="181" t="n"/>
      <c r="K41" s="181" t="n"/>
      <c r="L41" s="181" t="n"/>
      <c r="M41" s="181" t="n"/>
      <c r="N41" s="181" t="n"/>
      <c r="O41" s="181" t="n"/>
    </row>
    <row r="42">
      <c r="A42" s="181" t="n"/>
      <c r="B42" s="181" t="n"/>
      <c r="C42" s="181" t="n"/>
      <c r="D42" s="181" t="n"/>
      <c r="E42" s="181" t="n"/>
      <c r="F42" s="181" t="n"/>
      <c r="G42" s="181" t="n"/>
      <c r="H42" s="181" t="n"/>
      <c r="I42" s="181" t="n"/>
      <c r="J42" s="181" t="n"/>
      <c r="K42" s="181" t="n"/>
      <c r="L42" s="181" t="n"/>
      <c r="M42" s="181" t="n"/>
      <c r="N42" s="181" t="n"/>
      <c r="O42" s="181" t="n"/>
    </row>
    <row r="43">
      <c r="A43" s="181" t="n"/>
      <c r="B43" s="181" t="n"/>
      <c r="C43" s="181" t="n"/>
      <c r="D43" s="181" t="n"/>
      <c r="E43" s="181" t="n"/>
      <c r="F43" s="181" t="n"/>
      <c r="G43" s="181" t="n"/>
      <c r="H43" s="181" t="n"/>
      <c r="I43" s="181" t="n"/>
      <c r="J43" s="181" t="n"/>
      <c r="K43" s="181" t="n"/>
      <c r="L43" s="181" t="n"/>
      <c r="M43" s="181" t="n"/>
      <c r="N43" s="181" t="n"/>
      <c r="O43" s="181" t="n"/>
    </row>
    <row r="44">
      <c r="A44" s="181" t="n"/>
      <c r="B44" s="181" t="n"/>
      <c r="C44" s="181" t="n"/>
      <c r="D44" s="181" t="n"/>
      <c r="E44" s="181" t="n"/>
      <c r="F44" s="181" t="n"/>
      <c r="G44" s="181" t="n"/>
      <c r="H44" s="181" t="n"/>
      <c r="I44" s="181" t="n"/>
      <c r="J44" s="181" t="n"/>
      <c r="K44" s="181" t="n"/>
      <c r="L44" s="181" t="n"/>
      <c r="M44" s="181" t="n"/>
      <c r="N44" s="181" t="n"/>
      <c r="O44" s="181" t="n"/>
    </row>
    <row r="45">
      <c r="A45" s="181" t="n"/>
      <c r="B45" s="181" t="n"/>
      <c r="C45" s="181" t="n"/>
      <c r="D45" s="181" t="n"/>
      <c r="E45" s="181" t="n"/>
      <c r="F45" s="181" t="n"/>
      <c r="G45" s="181" t="n"/>
      <c r="H45" s="181" t="n"/>
      <c r="I45" s="181" t="n"/>
      <c r="J45" s="181" t="n"/>
      <c r="K45" s="181" t="n"/>
      <c r="L45" s="181" t="n"/>
      <c r="M45" s="181" t="n"/>
      <c r="N45" s="181" t="n"/>
      <c r="O45" s="181" t="n"/>
    </row>
    <row r="46">
      <c r="A46" s="181" t="n"/>
      <c r="B46" s="181" t="n"/>
      <c r="C46" s="181" t="n"/>
      <c r="D46" s="181" t="n"/>
      <c r="E46" s="181" t="n"/>
      <c r="F46" s="181" t="n"/>
      <c r="G46" s="181" t="n"/>
      <c r="H46" s="181" t="n"/>
      <c r="I46" s="181" t="n"/>
      <c r="J46" s="181" t="n"/>
      <c r="K46" s="181" t="n"/>
      <c r="L46" s="181" t="n"/>
      <c r="M46" s="181" t="n"/>
      <c r="N46" s="181" t="n"/>
      <c r="O46" s="181" t="n"/>
    </row>
    <row r="47">
      <c r="A47" s="181" t="n"/>
      <c r="B47" s="181" t="n"/>
      <c r="C47" s="181" t="n"/>
      <c r="D47" s="181" t="n"/>
      <c r="E47" s="181" t="n"/>
      <c r="F47" s="181" t="n"/>
      <c r="G47" s="181" t="n"/>
      <c r="H47" s="181" t="n"/>
      <c r="I47" s="181" t="n"/>
      <c r="J47" s="181" t="n"/>
      <c r="K47" s="181" t="n"/>
      <c r="L47" s="181" t="n"/>
      <c r="M47" s="181" t="n"/>
      <c r="N47" s="181" t="n"/>
      <c r="O47" s="181" t="n"/>
    </row>
    <row r="48">
      <c r="A48" s="181" t="n"/>
      <c r="B48" s="181" t="n"/>
      <c r="C48" s="181" t="n"/>
      <c r="D48" s="181" t="n"/>
      <c r="E48" s="181" t="n"/>
      <c r="F48" s="181" t="n"/>
      <c r="G48" s="181" t="n"/>
      <c r="H48" s="181" t="n"/>
      <c r="I48" s="181" t="n"/>
      <c r="J48" s="181" t="n"/>
      <c r="K48" s="181" t="n"/>
      <c r="L48" s="181" t="n"/>
      <c r="M48" s="181" t="n"/>
      <c r="N48" s="181" t="n"/>
      <c r="O48" s="181" t="n"/>
    </row>
    <row r="49">
      <c r="A49" s="181" t="n"/>
      <c r="B49" s="181" t="n"/>
      <c r="C49" s="181" t="n"/>
      <c r="D49" s="181" t="n"/>
      <c r="E49" s="181" t="n"/>
      <c r="F49" s="181" t="n"/>
      <c r="G49" s="181" t="n"/>
      <c r="H49" s="181" t="n"/>
      <c r="I49" s="181" t="n"/>
      <c r="J49" s="181" t="n"/>
      <c r="K49" s="181" t="n"/>
      <c r="L49" s="181" t="n"/>
      <c r="M49" s="181" t="n"/>
      <c r="N49" s="181" t="n"/>
      <c r="O49" s="181" t="n"/>
    </row>
    <row r="50">
      <c r="A50" s="181" t="n"/>
      <c r="B50" s="181" t="n"/>
      <c r="C50" s="181" t="n"/>
      <c r="D50" s="181" t="n"/>
      <c r="E50" s="181" t="n"/>
      <c r="F50" s="181" t="n"/>
      <c r="G50" s="181" t="n"/>
      <c r="H50" s="181" t="n"/>
      <c r="I50" s="181" t="n"/>
      <c r="J50" s="181" t="n"/>
      <c r="K50" s="181" t="n"/>
      <c r="L50" s="181" t="n"/>
      <c r="M50" s="181" t="n"/>
      <c r="N50" s="181" t="n"/>
      <c r="O50" s="181" t="n"/>
    </row>
    <row r="51">
      <c r="A51" s="181" t="n"/>
      <c r="B51" s="181" t="n"/>
      <c r="C51" s="181" t="n"/>
      <c r="D51" s="181" t="n"/>
      <c r="E51" s="181" t="n"/>
      <c r="F51" s="181" t="n"/>
      <c r="G51" s="181" t="n"/>
      <c r="H51" s="181" t="n"/>
      <c r="I51" s="181" t="n"/>
      <c r="J51" s="181" t="n"/>
      <c r="K51" s="181" t="n"/>
      <c r="L51" s="181" t="n"/>
      <c r="M51" s="181" t="n"/>
      <c r="N51" s="181" t="n"/>
      <c r="O51" s="181" t="n"/>
    </row>
    <row r="52">
      <c r="A52" s="181" t="n"/>
      <c r="B52" s="181" t="n"/>
      <c r="C52" s="181" t="n"/>
      <c r="D52" s="181" t="n"/>
      <c r="E52" s="181" t="n"/>
      <c r="F52" s="181" t="n"/>
      <c r="G52" s="181" t="n"/>
      <c r="H52" s="181" t="n"/>
      <c r="I52" s="181" t="n"/>
      <c r="J52" s="181" t="n"/>
      <c r="K52" s="181" t="n"/>
      <c r="L52" s="181" t="n"/>
      <c r="M52" s="181" t="n"/>
      <c r="N52" s="181" t="n"/>
      <c r="O52" s="181" t="n"/>
    </row>
    <row r="53">
      <c r="A53" s="181" t="n"/>
      <c r="B53" s="181" t="n"/>
      <c r="C53" s="181" t="n"/>
      <c r="D53" s="181" t="n"/>
      <c r="E53" s="181" t="n"/>
      <c r="F53" s="181" t="n"/>
      <c r="G53" s="181" t="n"/>
      <c r="H53" s="181" t="n"/>
      <c r="I53" s="181" t="n"/>
      <c r="J53" s="181" t="n"/>
      <c r="K53" s="181" t="n"/>
      <c r="L53" s="181" t="n"/>
      <c r="M53" s="181" t="n"/>
      <c r="N53" s="181" t="n"/>
      <c r="O53" s="181" t="n"/>
    </row>
    <row r="54">
      <c r="A54" s="181" t="n"/>
      <c r="B54" s="181" t="n"/>
      <c r="C54" s="181" t="n"/>
      <c r="D54" s="181" t="n"/>
      <c r="E54" s="181" t="n"/>
      <c r="F54" s="181" t="n"/>
      <c r="G54" s="181" t="n"/>
      <c r="H54" s="181" t="n"/>
      <c r="I54" s="181" t="n"/>
      <c r="J54" s="181" t="n"/>
      <c r="K54" s="181" t="n"/>
      <c r="L54" s="181" t="n"/>
      <c r="M54" s="181" t="n"/>
      <c r="N54" s="181" t="n"/>
      <c r="O54" s="181" t="n"/>
    </row>
    <row r="55">
      <c r="A55" s="181" t="n"/>
      <c r="B55" s="181" t="n"/>
      <c r="C55" s="181" t="n"/>
      <c r="D55" s="181" t="n"/>
      <c r="E55" s="181" t="n"/>
      <c r="F55" s="181" t="n"/>
      <c r="G55" s="181" t="n"/>
      <c r="H55" s="181" t="n"/>
      <c r="I55" s="181" t="n"/>
      <c r="J55" s="181" t="n"/>
      <c r="K55" s="181" t="n"/>
      <c r="L55" s="181" t="n"/>
      <c r="M55" s="181" t="n"/>
      <c r="N55" s="181" t="n"/>
      <c r="O55" s="181" t="n"/>
    </row>
    <row r="56">
      <c r="A56" s="181" t="n"/>
      <c r="B56" s="181" t="n"/>
      <c r="C56" s="181" t="n"/>
      <c r="D56" s="181" t="n"/>
      <c r="E56" s="181" t="n"/>
      <c r="F56" s="181" t="n"/>
      <c r="G56" s="181" t="n"/>
      <c r="H56" s="181" t="n"/>
      <c r="I56" s="181" t="n"/>
      <c r="J56" s="181" t="n"/>
      <c r="K56" s="181" t="n"/>
      <c r="L56" s="181" t="n"/>
      <c r="M56" s="181" t="n"/>
      <c r="N56" s="181" t="n"/>
      <c r="O56" s="181" t="n"/>
    </row>
    <row r="57">
      <c r="A57" s="181" t="n"/>
      <c r="B57" s="181" t="n"/>
      <c r="C57" s="181" t="n"/>
      <c r="D57" s="181" t="n"/>
      <c r="E57" s="181" t="n"/>
      <c r="F57" s="181" t="n"/>
      <c r="G57" s="181" t="n"/>
      <c r="H57" s="181" t="n"/>
      <c r="I57" s="181" t="n"/>
      <c r="J57" s="181" t="n"/>
      <c r="K57" s="181" t="n"/>
      <c r="L57" s="181" t="n"/>
      <c r="M57" s="181" t="n"/>
      <c r="N57" s="181" t="n"/>
      <c r="O57" s="181" t="n"/>
    </row>
    <row r="58">
      <c r="A58" s="181" t="n"/>
      <c r="B58" s="181" t="n"/>
      <c r="C58" s="181" t="n"/>
      <c r="D58" s="181" t="n"/>
      <c r="E58" s="181" t="n"/>
      <c r="F58" s="181" t="n"/>
      <c r="G58" s="181" t="n"/>
      <c r="H58" s="181" t="n"/>
      <c r="I58" s="181" t="n"/>
      <c r="J58" s="181" t="n"/>
      <c r="K58" s="181" t="n"/>
      <c r="L58" s="181" t="n"/>
      <c r="M58" s="181" t="n"/>
      <c r="N58" s="181" t="n"/>
      <c r="O58" s="181" t="n"/>
    </row>
    <row r="59">
      <c r="A59" s="181" t="n"/>
      <c r="B59" s="181" t="n"/>
      <c r="C59" s="181" t="n"/>
      <c r="D59" s="181" t="n"/>
      <c r="E59" s="181" t="n"/>
      <c r="F59" s="181" t="n"/>
      <c r="G59" s="181" t="n"/>
      <c r="H59" s="181" t="n"/>
      <c r="I59" s="181" t="n"/>
      <c r="J59" s="181" t="n"/>
      <c r="K59" s="181" t="n"/>
      <c r="L59" s="181" t="n"/>
      <c r="M59" s="181" t="n"/>
      <c r="N59" s="181" t="n"/>
      <c r="O59" s="181" t="n"/>
    </row>
    <row r="60">
      <c r="A60" s="181" t="n"/>
      <c r="B60" s="181" t="n"/>
      <c r="C60" s="181" t="n"/>
      <c r="D60" s="181" t="n"/>
      <c r="E60" s="181" t="n"/>
      <c r="F60" s="181" t="n"/>
      <c r="G60" s="181" t="n"/>
      <c r="H60" s="181" t="n"/>
      <c r="I60" s="181" t="n"/>
      <c r="J60" s="181" t="n"/>
      <c r="K60" s="181" t="n"/>
      <c r="L60" s="181" t="n"/>
      <c r="M60" s="181" t="n"/>
      <c r="N60" s="181" t="n"/>
      <c r="O60" s="181" t="n"/>
    </row>
    <row r="61">
      <c r="A61" s="181" t="n"/>
      <c r="B61" s="181" t="n"/>
      <c r="C61" s="181" t="n"/>
      <c r="D61" s="181" t="n"/>
      <c r="E61" s="181" t="n"/>
      <c r="F61" s="181" t="n"/>
      <c r="G61" s="181" t="n"/>
      <c r="H61" s="181" t="n"/>
      <c r="I61" s="181" t="n"/>
      <c r="J61" s="181" t="n"/>
      <c r="K61" s="181" t="n"/>
      <c r="L61" s="181" t="n"/>
      <c r="M61" s="181" t="n"/>
      <c r="N61" s="181" t="n"/>
      <c r="O61" s="181" t="n"/>
    </row>
    <row r="62">
      <c r="A62" s="181" t="n"/>
      <c r="B62" s="181" t="n"/>
      <c r="C62" s="181" t="n"/>
      <c r="D62" s="181" t="n"/>
      <c r="E62" s="181" t="n"/>
      <c r="F62" s="181" t="n"/>
      <c r="G62" s="181" t="n"/>
      <c r="H62" s="181" t="n"/>
      <c r="I62" s="181" t="n"/>
      <c r="J62" s="181" t="n"/>
      <c r="K62" s="181" t="n"/>
      <c r="L62" s="181" t="n"/>
      <c r="M62" s="181" t="n"/>
      <c r="N62" s="181" t="n"/>
      <c r="O62" s="181" t="n"/>
    </row>
    <row r="63">
      <c r="A63" s="181" t="n"/>
      <c r="B63" s="181" t="n"/>
      <c r="C63" s="181" t="n"/>
      <c r="D63" s="181" t="n"/>
      <c r="E63" s="181" t="n"/>
      <c r="F63" s="181" t="n"/>
      <c r="G63" s="181" t="n"/>
      <c r="H63" s="181" t="n"/>
      <c r="I63" s="181" t="n"/>
      <c r="J63" s="181" t="n"/>
      <c r="K63" s="181" t="n"/>
      <c r="L63" s="181" t="n"/>
      <c r="M63" s="181" t="n"/>
      <c r="N63" s="181" t="n"/>
      <c r="O63" s="181" t="n"/>
    </row>
    <row r="64">
      <c r="A64" s="181" t="n"/>
      <c r="B64" s="181" t="n"/>
      <c r="C64" s="181" t="n"/>
      <c r="D64" s="181" t="n"/>
      <c r="E64" s="181" t="n"/>
      <c r="F64" s="181" t="n"/>
      <c r="G64" s="181" t="n"/>
      <c r="H64" s="181" t="n"/>
      <c r="I64" s="181" t="n"/>
      <c r="J64" s="181" t="n"/>
      <c r="K64" s="181" t="n"/>
      <c r="L64" s="181" t="n"/>
      <c r="M64" s="181" t="n"/>
      <c r="N64" s="181" t="n"/>
      <c r="O64" s="181" t="n"/>
    </row>
    <row r="65">
      <c r="A65" s="181" t="n"/>
      <c r="B65" s="181" t="n"/>
      <c r="C65" s="181" t="n"/>
      <c r="D65" s="181" t="n"/>
      <c r="E65" s="181" t="n"/>
      <c r="F65" s="181" t="n"/>
      <c r="G65" s="181" t="n"/>
      <c r="H65" s="181" t="n"/>
      <c r="I65" s="181" t="n"/>
      <c r="J65" s="181" t="n"/>
      <c r="K65" s="181" t="n"/>
      <c r="L65" s="181" t="n"/>
      <c r="M65" s="181" t="n"/>
      <c r="N65" s="181" t="n"/>
      <c r="O65" s="181" t="n"/>
    </row>
    <row r="66">
      <c r="A66" s="181" t="n"/>
      <c r="B66" s="181" t="n"/>
      <c r="C66" s="181" t="n"/>
      <c r="D66" s="181" t="n"/>
      <c r="E66" s="181" t="n"/>
      <c r="F66" s="181" t="n"/>
      <c r="G66" s="181" t="n"/>
      <c r="H66" s="181" t="n"/>
      <c r="I66" s="181" t="n"/>
      <c r="J66" s="181" t="n"/>
      <c r="K66" s="181" t="n"/>
      <c r="L66" s="181" t="n"/>
      <c r="M66" s="181" t="n"/>
      <c r="N66" s="181" t="n"/>
      <c r="O66" s="181" t="n"/>
    </row>
    <row r="67">
      <c r="A67" s="181" t="n"/>
      <c r="B67" s="181" t="n"/>
      <c r="C67" s="181" t="n"/>
      <c r="D67" s="181" t="n"/>
      <c r="E67" s="181" t="n"/>
      <c r="F67" s="181" t="n"/>
      <c r="G67" s="181" t="n"/>
      <c r="H67" s="181" t="n"/>
      <c r="I67" s="181" t="n"/>
      <c r="J67" s="181" t="n"/>
      <c r="K67" s="181" t="n"/>
      <c r="L67" s="181" t="n"/>
      <c r="M67" s="181" t="n"/>
      <c r="N67" s="181" t="n"/>
      <c r="O67" s="181" t="n"/>
    </row>
    <row r="68">
      <c r="A68" s="181" t="n"/>
      <c r="B68" s="181" t="n"/>
      <c r="C68" s="181" t="n"/>
      <c r="D68" s="181" t="n"/>
      <c r="E68" s="181" t="n"/>
      <c r="F68" s="181" t="n"/>
      <c r="G68" s="181" t="n"/>
      <c r="H68" s="181" t="n"/>
      <c r="I68" s="181" t="n"/>
      <c r="J68" s="181" t="n"/>
      <c r="K68" s="181" t="n"/>
      <c r="L68" s="181" t="n"/>
      <c r="M68" s="181" t="n"/>
      <c r="N68" s="181" t="n"/>
      <c r="O68" s="181" t="n"/>
    </row>
    <row r="69">
      <c r="A69" s="181" t="n"/>
      <c r="B69" s="181" t="n"/>
      <c r="C69" s="181" t="n"/>
      <c r="D69" s="181" t="n"/>
      <c r="E69" s="181" t="n"/>
      <c r="F69" s="181" t="n"/>
      <c r="G69" s="181" t="n"/>
      <c r="H69" s="181" t="n"/>
      <c r="I69" s="181" t="n"/>
      <c r="J69" s="181" t="n"/>
      <c r="K69" s="181" t="n"/>
      <c r="L69" s="181" t="n"/>
      <c r="M69" s="181" t="n"/>
      <c r="N69" s="181" t="n"/>
      <c r="O69" s="181" t="n"/>
    </row>
    <row r="70">
      <c r="A70" s="181" t="n"/>
      <c r="B70" s="181" t="n"/>
      <c r="C70" s="181" t="n"/>
      <c r="D70" s="181" t="n"/>
      <c r="E70" s="181" t="n"/>
      <c r="F70" s="181" t="n"/>
      <c r="G70" s="181" t="n"/>
      <c r="H70" s="181" t="n"/>
      <c r="I70" s="181" t="n"/>
      <c r="J70" s="181" t="n"/>
      <c r="K70" s="181" t="n"/>
      <c r="L70" s="181" t="n"/>
      <c r="M70" s="181" t="n"/>
      <c r="N70" s="181" t="n"/>
      <c r="O70" s="181" t="n"/>
    </row>
    <row r="71">
      <c r="A71" s="181" t="n"/>
      <c r="B71" s="181" t="n"/>
      <c r="C71" s="181" t="n"/>
      <c r="D71" s="181" t="n"/>
      <c r="E71" s="181" t="n"/>
      <c r="F71" s="181" t="n"/>
      <c r="G71" s="181" t="n"/>
      <c r="H71" s="181" t="n"/>
      <c r="I71" s="181" t="n"/>
      <c r="J71" s="181" t="n"/>
      <c r="K71" s="181" t="n"/>
      <c r="L71" s="181" t="n"/>
      <c r="M71" s="181" t="n"/>
      <c r="N71" s="181" t="n"/>
      <c r="O71" s="181" t="n"/>
    </row>
    <row r="72">
      <c r="A72" s="181" t="n"/>
      <c r="B72" s="181" t="n"/>
      <c r="C72" s="181" t="n"/>
      <c r="D72" s="181" t="n"/>
      <c r="E72" s="181" t="n"/>
      <c r="F72" s="181" t="n"/>
      <c r="G72" s="181" t="n"/>
      <c r="H72" s="181" t="n"/>
      <c r="I72" s="181" t="n"/>
      <c r="J72" s="181" t="n"/>
      <c r="K72" s="181" t="n"/>
      <c r="L72" s="181" t="n"/>
      <c r="M72" s="181" t="n"/>
      <c r="N72" s="181" t="n"/>
      <c r="O72" s="181" t="n"/>
    </row>
    <row r="73">
      <c r="A73" s="181" t="n"/>
      <c r="B73" s="181" t="n"/>
      <c r="C73" s="181" t="n"/>
      <c r="D73" s="181" t="n"/>
      <c r="E73" s="181" t="n"/>
      <c r="F73" s="181" t="n"/>
      <c r="G73" s="181" t="n"/>
      <c r="H73" s="181" t="n"/>
      <c r="I73" s="181" t="n"/>
      <c r="J73" s="181" t="n"/>
      <c r="K73" s="181" t="n"/>
      <c r="L73" s="181" t="n"/>
      <c r="M73" s="181" t="n"/>
      <c r="N73" s="181" t="n"/>
      <c r="O73" s="181" t="n"/>
    </row>
    <row r="74">
      <c r="A74" s="181" t="n"/>
      <c r="B74" s="181" t="n"/>
      <c r="C74" s="181" t="n"/>
      <c r="D74" s="181" t="n"/>
      <c r="E74" s="181" t="n"/>
      <c r="F74" s="181" t="n"/>
      <c r="G74" s="181" t="n"/>
      <c r="H74" s="181" t="n"/>
      <c r="I74" s="181" t="n"/>
      <c r="J74" s="181" t="n"/>
      <c r="K74" s="181" t="n"/>
      <c r="L74" s="181" t="n"/>
      <c r="M74" s="181" t="n"/>
      <c r="N74" s="181" t="n"/>
      <c r="O74" s="181" t="n"/>
    </row>
    <row r="75">
      <c r="A75" s="181" t="n"/>
      <c r="B75" s="181" t="n"/>
      <c r="C75" s="181" t="n"/>
      <c r="D75" s="181" t="n"/>
      <c r="E75" s="181" t="n"/>
      <c r="F75" s="181" t="n"/>
      <c r="G75" s="181" t="n"/>
      <c r="H75" s="181" t="n"/>
      <c r="I75" s="181" t="n"/>
      <c r="J75" s="181" t="n"/>
      <c r="K75" s="181" t="n"/>
      <c r="L75" s="181" t="n"/>
      <c r="M75" s="181" t="n"/>
      <c r="N75" s="181" t="n"/>
      <c r="O75" s="181" t="n"/>
    </row>
    <row r="76">
      <c r="A76" s="181" t="n"/>
      <c r="B76" s="181" t="n"/>
      <c r="C76" s="181" t="n"/>
      <c r="D76" s="181" t="n"/>
      <c r="E76" s="181" t="n"/>
      <c r="F76" s="181" t="n"/>
      <c r="G76" s="181" t="n"/>
      <c r="H76" s="181" t="n"/>
      <c r="I76" s="181" t="n"/>
      <c r="J76" s="181" t="n"/>
      <c r="K76" s="181" t="n"/>
      <c r="L76" s="181" t="n"/>
      <c r="M76" s="181" t="n"/>
      <c r="N76" s="181" t="n"/>
      <c r="O76" s="181" t="n"/>
    </row>
    <row r="77">
      <c r="A77" s="181" t="n"/>
      <c r="B77" s="181" t="n"/>
      <c r="C77" s="181" t="n"/>
      <c r="D77" s="181" t="n"/>
      <c r="E77" s="181" t="n"/>
      <c r="F77" s="181" t="n"/>
      <c r="G77" s="181" t="n"/>
      <c r="H77" s="181" t="n"/>
      <c r="I77" s="181" t="n"/>
      <c r="J77" s="181" t="n"/>
      <c r="K77" s="181" t="n"/>
      <c r="L77" s="181" t="n"/>
      <c r="M77" s="181" t="n"/>
      <c r="N77" s="181" t="n"/>
      <c r="O77" s="181" t="n"/>
    </row>
    <row r="78">
      <c r="A78" s="181" t="n"/>
      <c r="B78" s="181" t="n"/>
      <c r="C78" s="181" t="n"/>
      <c r="D78" s="181" t="n"/>
      <c r="E78" s="181" t="n"/>
      <c r="F78" s="181" t="n"/>
      <c r="G78" s="181" t="n"/>
      <c r="H78" s="181" t="n"/>
      <c r="I78" s="181" t="n"/>
      <c r="J78" s="181" t="n"/>
      <c r="K78" s="181" t="n"/>
      <c r="L78" s="181" t="n"/>
      <c r="M78" s="181" t="n"/>
      <c r="N78" s="181" t="n"/>
      <c r="O78" s="181" t="n"/>
    </row>
    <row r="79">
      <c r="A79" s="181" t="n"/>
      <c r="B79" s="181" t="n"/>
      <c r="C79" s="181" t="n"/>
      <c r="D79" s="181" t="n"/>
      <c r="E79" s="181" t="n"/>
      <c r="F79" s="181" t="n"/>
      <c r="G79" s="181" t="n"/>
      <c r="H79" s="181" t="n"/>
      <c r="I79" s="181" t="n"/>
      <c r="J79" s="181" t="n"/>
      <c r="K79" s="181" t="n"/>
      <c r="L79" s="181" t="n"/>
      <c r="M79" s="181" t="n"/>
      <c r="N79" s="181" t="n"/>
      <c r="O79" s="181" t="n"/>
    </row>
    <row r="80">
      <c r="A80" s="181" t="n"/>
      <c r="B80" s="181" t="n"/>
      <c r="C80" s="181" t="n"/>
      <c r="D80" s="181" t="n"/>
      <c r="E80" s="181" t="n"/>
      <c r="F80" s="181" t="n"/>
      <c r="G80" s="181" t="n"/>
      <c r="H80" s="181" t="n"/>
      <c r="I80" s="181" t="n"/>
      <c r="J80" s="181" t="n"/>
      <c r="K80" s="181" t="n"/>
      <c r="L80" s="181" t="n"/>
      <c r="M80" s="181" t="n"/>
      <c r="N80" s="181" t="n"/>
      <c r="O80" s="181" t="n"/>
    </row>
    <row r="81">
      <c r="A81" s="181" t="n"/>
      <c r="B81" s="181" t="n"/>
      <c r="C81" s="181" t="n"/>
      <c r="D81" s="181" t="n"/>
      <c r="E81" s="181" t="n"/>
      <c r="F81" s="181" t="n"/>
      <c r="G81" s="181" t="n"/>
      <c r="H81" s="181" t="n"/>
      <c r="I81" s="181" t="n"/>
      <c r="J81" s="181" t="n"/>
      <c r="K81" s="181" t="n"/>
      <c r="L81" s="181" t="n"/>
      <c r="M81" s="181" t="n"/>
      <c r="N81" s="181" t="n"/>
      <c r="O81" s="181" t="n"/>
    </row>
    <row r="82">
      <c r="A82" s="181" t="n"/>
      <c r="B82" s="181" t="n"/>
      <c r="C82" s="181" t="n"/>
      <c r="D82" s="181" t="n"/>
      <c r="E82" s="181" t="n"/>
      <c r="F82" s="181" t="n"/>
      <c r="G82" s="181" t="n"/>
      <c r="H82" s="181" t="n"/>
      <c r="I82" s="181" t="n"/>
      <c r="J82" s="181" t="n"/>
      <c r="K82" s="181" t="n"/>
      <c r="L82" s="181" t="n"/>
      <c r="M82" s="181" t="n"/>
      <c r="N82" s="181" t="n"/>
      <c r="O82" s="181" t="n"/>
    </row>
    <row r="83">
      <c r="A83" s="181" t="n"/>
      <c r="B83" s="181" t="n"/>
      <c r="C83" s="181" t="n"/>
      <c r="D83" s="181" t="n"/>
      <c r="E83" s="181" t="n"/>
      <c r="F83" s="181" t="n"/>
      <c r="G83" s="181" t="n"/>
      <c r="H83" s="181" t="n"/>
      <c r="I83" s="181" t="n"/>
      <c r="J83" s="181" t="n"/>
      <c r="K83" s="181" t="n"/>
      <c r="L83" s="181" t="n"/>
      <c r="M83" s="181" t="n"/>
      <c r="N83" s="181" t="n"/>
      <c r="O83" s="181" t="n"/>
    </row>
    <row r="84">
      <c r="A84" s="181" t="n"/>
      <c r="B84" s="181" t="n"/>
      <c r="C84" s="181" t="n"/>
      <c r="D84" s="181" t="n"/>
      <c r="E84" s="181" t="n"/>
      <c r="F84" s="181" t="n"/>
      <c r="G84" s="181" t="n"/>
      <c r="H84" s="181" t="n"/>
      <c r="I84" s="181" t="n"/>
      <c r="J84" s="181" t="n"/>
      <c r="K84" s="181" t="n"/>
      <c r="L84" s="181" t="n"/>
      <c r="M84" s="181" t="n"/>
      <c r="N84" s="181" t="n"/>
      <c r="O84" s="181" t="n"/>
    </row>
    <row r="85">
      <c r="A85" s="181" t="n"/>
      <c r="B85" s="181" t="n"/>
      <c r="C85" s="181" t="n"/>
      <c r="D85" s="181" t="n"/>
      <c r="E85" s="181" t="n"/>
      <c r="F85" s="181" t="n"/>
      <c r="G85" s="181" t="n"/>
      <c r="H85" s="181" t="n"/>
      <c r="I85" s="181" t="n"/>
      <c r="J85" s="181" t="n"/>
      <c r="K85" s="181" t="n"/>
      <c r="L85" s="181" t="n"/>
      <c r="M85" s="181" t="n"/>
      <c r="N85" s="181" t="n"/>
      <c r="O85" s="181" t="n"/>
    </row>
    <row r="86">
      <c r="A86" s="181" t="n"/>
      <c r="B86" s="181" t="n"/>
      <c r="C86" s="181" t="n"/>
      <c r="D86" s="181" t="n"/>
      <c r="E86" s="181" t="n"/>
      <c r="F86" s="181" t="n"/>
      <c r="G86" s="181" t="n"/>
      <c r="H86" s="181" t="n"/>
      <c r="I86" s="181" t="n"/>
      <c r="J86" s="181" t="n"/>
      <c r="K86" s="181" t="n"/>
      <c r="L86" s="181" t="n"/>
      <c r="M86" s="181" t="n"/>
      <c r="N86" s="181" t="n"/>
      <c r="O86" s="181" t="n"/>
    </row>
    <row r="87">
      <c r="A87" s="181" t="n"/>
      <c r="B87" s="181" t="n"/>
      <c r="C87" s="181" t="n"/>
      <c r="D87" s="181" t="n"/>
      <c r="E87" s="181" t="n"/>
      <c r="F87" s="181" t="n"/>
      <c r="G87" s="181" t="n"/>
      <c r="H87" s="181" t="n"/>
      <c r="I87" s="181" t="n"/>
      <c r="J87" s="181" t="n"/>
      <c r="K87" s="181" t="n"/>
      <c r="L87" s="181" t="n"/>
      <c r="M87" s="181" t="n"/>
      <c r="N87" s="181" t="n"/>
      <c r="O87" s="181" t="n"/>
    </row>
    <row r="88">
      <c r="A88" s="181" t="n"/>
      <c r="B88" s="181" t="n"/>
      <c r="C88" s="181" t="n"/>
      <c r="D88" s="181" t="n"/>
      <c r="E88" s="181" t="n"/>
      <c r="F88" s="181" t="n"/>
      <c r="G88" s="181" t="n"/>
      <c r="H88" s="181" t="n"/>
      <c r="I88" s="181" t="n"/>
      <c r="J88" s="181" t="n"/>
      <c r="K88" s="181" t="n"/>
      <c r="L88" s="181" t="n"/>
      <c r="M88" s="181" t="n"/>
      <c r="N88" s="181" t="n"/>
      <c r="O88" s="181" t="n"/>
    </row>
    <row r="89">
      <c r="A89" s="181" t="n"/>
      <c r="B89" s="181" t="n"/>
      <c r="C89" s="181" t="n"/>
      <c r="D89" s="181" t="n"/>
      <c r="E89" s="181" t="n"/>
      <c r="F89" s="181" t="n"/>
      <c r="G89" s="181" t="n"/>
      <c r="H89" s="181" t="n"/>
      <c r="I89" s="181" t="n"/>
      <c r="J89" s="181" t="n"/>
      <c r="K89" s="181" t="n"/>
      <c r="L89" s="181" t="n"/>
      <c r="M89" s="181" t="n"/>
      <c r="N89" s="181" t="n"/>
      <c r="O89" s="181" t="n"/>
    </row>
    <row r="90">
      <c r="A90" s="181" t="n"/>
      <c r="B90" s="181" t="n"/>
      <c r="C90" s="181" t="n"/>
      <c r="D90" s="181" t="n"/>
      <c r="E90" s="181" t="n"/>
      <c r="F90" s="181" t="n"/>
      <c r="G90" s="181" t="n"/>
      <c r="H90" s="181" t="n"/>
      <c r="I90" s="181" t="n"/>
      <c r="J90" s="181" t="n"/>
      <c r="K90" s="181" t="n"/>
      <c r="L90" s="181" t="n"/>
      <c r="M90" s="181" t="n"/>
      <c r="N90" s="181" t="n"/>
      <c r="O90" s="181" t="n"/>
    </row>
    <row r="91">
      <c r="A91" s="181" t="n"/>
      <c r="B91" s="181" t="n"/>
      <c r="C91" s="181" t="n"/>
      <c r="D91" s="181" t="n"/>
      <c r="E91" s="181" t="n"/>
      <c r="F91" s="181" t="n"/>
      <c r="G91" s="181" t="n"/>
      <c r="H91" s="181" t="n"/>
      <c r="I91" s="181" t="n"/>
      <c r="J91" s="181" t="n"/>
      <c r="K91" s="181" t="n"/>
      <c r="L91" s="181" t="n"/>
      <c r="M91" s="181" t="n"/>
      <c r="N91" s="181" t="n"/>
      <c r="O91" s="181" t="n"/>
    </row>
    <row r="92">
      <c r="A92" s="181" t="n"/>
      <c r="B92" s="181" t="n"/>
      <c r="C92" s="181" t="n"/>
      <c r="D92" s="181" t="n"/>
      <c r="E92" s="181" t="n"/>
      <c r="F92" s="181" t="n"/>
      <c r="G92" s="181" t="n"/>
      <c r="H92" s="181" t="n"/>
      <c r="I92" s="181" t="n"/>
      <c r="J92" s="181" t="n"/>
      <c r="K92" s="181" t="n"/>
      <c r="L92" s="181" t="n"/>
      <c r="M92" s="181" t="n"/>
      <c r="N92" s="181" t="n"/>
      <c r="O92" s="181" t="n"/>
    </row>
    <row r="93">
      <c r="A93" s="181" t="n"/>
      <c r="B93" s="181" t="n"/>
      <c r="C93" s="181" t="n"/>
      <c r="D93" s="181" t="n"/>
      <c r="E93" s="181" t="n"/>
      <c r="F93" s="181" t="n"/>
      <c r="G93" s="181" t="n"/>
      <c r="H93" s="181" t="n"/>
      <c r="I93" s="181" t="n"/>
      <c r="J93" s="181" t="n"/>
      <c r="K93" s="181" t="n"/>
      <c r="L93" s="181" t="n"/>
      <c r="M93" s="181" t="n"/>
      <c r="N93" s="181" t="n"/>
      <c r="O93" s="181" t="n"/>
    </row>
    <row r="94">
      <c r="A94" s="181" t="n"/>
      <c r="B94" s="181" t="n"/>
      <c r="C94" s="181" t="n"/>
      <c r="D94" s="181" t="n"/>
      <c r="E94" s="181" t="n"/>
      <c r="F94" s="181" t="n"/>
      <c r="G94" s="181" t="n"/>
      <c r="H94" s="181" t="n"/>
      <c r="I94" s="181" t="n"/>
      <c r="J94" s="181" t="n"/>
      <c r="K94" s="181" t="n"/>
      <c r="L94" s="181" t="n"/>
      <c r="M94" s="181" t="n"/>
      <c r="N94" s="181" t="n"/>
      <c r="O94" s="181" t="n"/>
    </row>
    <row r="95">
      <c r="A95" s="181" t="n"/>
      <c r="B95" s="181" t="n"/>
      <c r="C95" s="181" t="n"/>
      <c r="D95" s="181" t="n"/>
      <c r="E95" s="181" t="n"/>
      <c r="F95" s="181" t="n"/>
      <c r="G95" s="181" t="n"/>
      <c r="H95" s="181" t="n"/>
      <c r="I95" s="181" t="n"/>
      <c r="J95" s="181" t="n"/>
      <c r="K95" s="181" t="n"/>
      <c r="L95" s="181" t="n"/>
      <c r="M95" s="181" t="n"/>
      <c r="N95" s="181" t="n"/>
      <c r="O95" s="181" t="n"/>
    </row>
    <row r="96">
      <c r="A96" s="181" t="n"/>
      <c r="B96" s="181" t="n"/>
      <c r="C96" s="181" t="n"/>
      <c r="D96" s="181" t="n"/>
      <c r="E96" s="181" t="n"/>
      <c r="F96" s="181" t="n"/>
      <c r="G96" s="181" t="n"/>
      <c r="H96" s="181" t="n"/>
      <c r="I96" s="181" t="n"/>
      <c r="J96" s="181" t="n"/>
      <c r="K96" s="181" t="n"/>
      <c r="L96" s="181" t="n"/>
      <c r="M96" s="181" t="n"/>
      <c r="N96" s="181" t="n"/>
      <c r="O96" s="181" t="n"/>
    </row>
    <row r="97">
      <c r="A97" s="181" t="n"/>
      <c r="B97" s="181" t="n"/>
      <c r="C97" s="181" t="n"/>
      <c r="D97" s="181" t="n"/>
      <c r="E97" s="181" t="n"/>
      <c r="F97" s="181" t="n"/>
      <c r="G97" s="181" t="n"/>
      <c r="H97" s="181" t="n"/>
      <c r="I97" s="181" t="n"/>
      <c r="J97" s="181" t="n"/>
      <c r="K97" s="181" t="n"/>
      <c r="L97" s="181" t="n"/>
      <c r="M97" s="181" t="n"/>
      <c r="N97" s="181" t="n"/>
      <c r="O97" s="181" t="n"/>
    </row>
    <row r="98">
      <c r="A98" s="181" t="n"/>
      <c r="B98" s="181" t="n"/>
      <c r="C98" s="181" t="n"/>
      <c r="D98" s="181" t="n"/>
      <c r="E98" s="181" t="n"/>
      <c r="F98" s="181" t="n"/>
      <c r="G98" s="181" t="n"/>
      <c r="H98" s="181" t="n"/>
      <c r="I98" s="181" t="n"/>
      <c r="J98" s="181" t="n"/>
      <c r="K98" s="181" t="n"/>
      <c r="L98" s="181" t="n"/>
      <c r="M98" s="181" t="n"/>
      <c r="N98" s="181" t="n"/>
      <c r="O98" s="181" t="n"/>
    </row>
    <row r="99">
      <c r="A99" s="181" t="n"/>
      <c r="B99" s="181" t="n"/>
      <c r="C99" s="181" t="n"/>
      <c r="D99" s="181" t="n"/>
      <c r="E99" s="181" t="n"/>
      <c r="F99" s="181" t="n"/>
      <c r="G99" s="181" t="n"/>
      <c r="H99" s="181" t="n"/>
      <c r="I99" s="181" t="n"/>
      <c r="J99" s="181" t="n"/>
      <c r="K99" s="181" t="n"/>
      <c r="L99" s="181" t="n"/>
      <c r="M99" s="181" t="n"/>
      <c r="N99" s="181" t="n"/>
      <c r="O99" s="181" t="n"/>
    </row>
    <row r="100">
      <c r="A100" s="181" t="n"/>
      <c r="B100" s="181" t="n"/>
      <c r="C100" s="181" t="n"/>
      <c r="D100" s="181" t="n"/>
      <c r="E100" s="181" t="n"/>
      <c r="F100" s="181" t="n"/>
      <c r="G100" s="181" t="n"/>
      <c r="H100" s="181" t="n"/>
      <c r="I100" s="181" t="n"/>
      <c r="J100" s="181" t="n"/>
      <c r="K100" s="181" t="n"/>
      <c r="L100" s="181" t="n"/>
      <c r="M100" s="181" t="n"/>
      <c r="N100" s="181" t="n"/>
      <c r="O100" s="181" t="n"/>
    </row>
    <row r="101">
      <c r="A101" s="181" t="n"/>
      <c r="B101" s="181" t="n"/>
      <c r="C101" s="181" t="n"/>
      <c r="D101" s="181" t="n"/>
      <c r="E101" s="181" t="n"/>
      <c r="F101" s="181" t="n"/>
      <c r="G101" s="181" t="n"/>
      <c r="H101" s="181" t="n"/>
      <c r="I101" s="181" t="n"/>
      <c r="J101" s="181" t="n"/>
      <c r="K101" s="181" t="n"/>
      <c r="L101" s="181" t="n"/>
      <c r="M101" s="181" t="n"/>
      <c r="N101" s="181" t="n"/>
      <c r="O101" s="181" t="n"/>
    </row>
    <row r="102">
      <c r="A102" s="181" t="n"/>
      <c r="B102" s="181" t="n"/>
      <c r="C102" s="181" t="n"/>
      <c r="D102" s="181" t="n"/>
      <c r="E102" s="181" t="n"/>
      <c r="F102" s="181" t="n"/>
      <c r="G102" s="181" t="n"/>
      <c r="H102" s="181" t="n"/>
      <c r="I102" s="181" t="n"/>
      <c r="J102" s="181" t="n"/>
      <c r="K102" s="181" t="n"/>
      <c r="L102" s="181" t="n"/>
      <c r="M102" s="181" t="n"/>
      <c r="N102" s="181" t="n"/>
      <c r="O102" s="181" t="n"/>
    </row>
    <row r="103">
      <c r="A103" s="181" t="n"/>
      <c r="B103" s="181" t="n"/>
      <c r="C103" s="181" t="n"/>
      <c r="D103" s="181" t="n"/>
      <c r="E103" s="181" t="n"/>
      <c r="F103" s="181" t="n"/>
      <c r="G103" s="181" t="n"/>
      <c r="H103" s="181" t="n"/>
      <c r="I103" s="181" t="n"/>
      <c r="J103" s="181" t="n"/>
      <c r="K103" s="181" t="n"/>
      <c r="L103" s="181" t="n"/>
      <c r="M103" s="181" t="n"/>
      <c r="N103" s="181" t="n"/>
      <c r="O103" s="181" t="n"/>
    </row>
    <row r="104">
      <c r="A104" s="181" t="n"/>
      <c r="B104" s="181" t="n"/>
      <c r="C104" s="181" t="n"/>
      <c r="D104" s="181" t="n"/>
      <c r="E104" s="181" t="n"/>
      <c r="F104" s="181" t="n"/>
      <c r="G104" s="181" t="n"/>
      <c r="H104" s="181" t="n"/>
      <c r="I104" s="181" t="n"/>
      <c r="J104" s="181" t="n"/>
      <c r="K104" s="181" t="n"/>
      <c r="L104" s="181" t="n"/>
      <c r="M104" s="181" t="n"/>
      <c r="N104" s="181" t="n"/>
      <c r="O104" s="181" t="n"/>
    </row>
    <row r="105">
      <c r="A105" s="181" t="n"/>
      <c r="B105" s="181" t="n"/>
      <c r="C105" s="181" t="n"/>
      <c r="D105" s="181" t="n"/>
      <c r="E105" s="181" t="n"/>
      <c r="F105" s="181" t="n"/>
      <c r="G105" s="181" t="n"/>
      <c r="H105" s="181" t="n"/>
      <c r="I105" s="181" t="n"/>
      <c r="J105" s="181" t="n"/>
      <c r="K105" s="181" t="n"/>
      <c r="L105" s="181" t="n"/>
      <c r="M105" s="181" t="n"/>
      <c r="N105" s="181" t="n"/>
      <c r="O105" s="181" t="n"/>
    </row>
    <row r="106">
      <c r="A106" s="181" t="n"/>
      <c r="B106" s="181" t="n"/>
      <c r="C106" s="181" t="n"/>
      <c r="D106" s="181" t="n"/>
      <c r="E106" s="181" t="n"/>
      <c r="F106" s="181" t="n"/>
      <c r="G106" s="181" t="n"/>
      <c r="H106" s="181" t="n"/>
      <c r="I106" s="181" t="n"/>
      <c r="J106" s="181" t="n"/>
      <c r="K106" s="181" t="n"/>
      <c r="L106" s="181" t="n"/>
      <c r="M106" s="181" t="n"/>
      <c r="N106" s="181" t="n"/>
      <c r="O106" s="181" t="n"/>
    </row>
    <row r="107">
      <c r="A107" s="181" t="n"/>
      <c r="B107" s="181" t="n"/>
      <c r="C107" s="181" t="n"/>
      <c r="D107" s="181" t="n"/>
      <c r="E107" s="181" t="n"/>
      <c r="F107" s="181" t="n"/>
      <c r="G107" s="181" t="n"/>
      <c r="H107" s="181" t="n"/>
      <c r="I107" s="181" t="n"/>
      <c r="J107" s="181" t="n"/>
      <c r="K107" s="181" t="n"/>
      <c r="L107" s="181" t="n"/>
      <c r="M107" s="181" t="n"/>
      <c r="N107" s="181" t="n"/>
      <c r="O107" s="181" t="n"/>
    </row>
    <row r="108">
      <c r="A108" s="181" t="n"/>
      <c r="B108" s="181" t="n"/>
      <c r="C108" s="181" t="n"/>
      <c r="D108" s="181" t="n"/>
      <c r="E108" s="181" t="n"/>
      <c r="F108" s="181" t="n"/>
      <c r="G108" s="181" t="n"/>
      <c r="H108" s="181" t="n"/>
      <c r="I108" s="181" t="n"/>
      <c r="J108" s="181" t="n"/>
      <c r="K108" s="181" t="n"/>
      <c r="L108" s="181" t="n"/>
      <c r="M108" s="181" t="n"/>
      <c r="N108" s="181" t="n"/>
      <c r="O108" s="181" t="n"/>
    </row>
    <row r="109">
      <c r="A109" s="181" t="n"/>
      <c r="B109" s="181" t="n"/>
      <c r="C109" s="181" t="n"/>
      <c r="D109" s="181" t="n"/>
      <c r="E109" s="181" t="n"/>
      <c r="F109" s="181" t="n"/>
      <c r="G109" s="181" t="n"/>
      <c r="H109" s="181" t="n"/>
      <c r="I109" s="181" t="n"/>
      <c r="J109" s="181" t="n"/>
      <c r="K109" s="181" t="n"/>
      <c r="L109" s="181" t="n"/>
      <c r="M109" s="181" t="n"/>
      <c r="N109" s="181" t="n"/>
      <c r="O109" s="181" t="n"/>
    </row>
    <row r="110">
      <c r="A110" s="181" t="n"/>
      <c r="B110" s="181" t="n"/>
      <c r="C110" s="181" t="n"/>
      <c r="D110" s="181" t="n"/>
      <c r="E110" s="181" t="n"/>
      <c r="F110" s="181" t="n"/>
      <c r="G110" s="181" t="n"/>
      <c r="H110" s="181" t="n"/>
      <c r="I110" s="181" t="n"/>
      <c r="J110" s="181" t="n"/>
      <c r="K110" s="181" t="n"/>
      <c r="L110" s="181" t="n"/>
      <c r="M110" s="181" t="n"/>
      <c r="N110" s="181" t="n"/>
      <c r="O110" s="181" t="n"/>
    </row>
    <row r="111">
      <c r="A111" s="181" t="n"/>
      <c r="B111" s="181" t="n"/>
      <c r="C111" s="181" t="n"/>
      <c r="D111" s="181" t="n"/>
      <c r="E111" s="181" t="n"/>
      <c r="F111" s="181" t="n"/>
      <c r="G111" s="181" t="n"/>
      <c r="H111" s="181" t="n"/>
      <c r="I111" s="181" t="n"/>
      <c r="J111" s="181" t="n"/>
      <c r="K111" s="181" t="n"/>
      <c r="L111" s="181" t="n"/>
      <c r="M111" s="181" t="n"/>
      <c r="N111" s="181" t="n"/>
      <c r="O111" s="181" t="n"/>
    </row>
    <row r="112">
      <c r="A112" s="181" t="n"/>
      <c r="B112" s="181" t="n"/>
      <c r="C112" s="181" t="n"/>
      <c r="D112" s="181" t="n"/>
      <c r="E112" s="181" t="n"/>
      <c r="F112" s="181" t="n"/>
      <c r="G112" s="181" t="n"/>
      <c r="H112" s="181" t="n"/>
      <c r="I112" s="181" t="n"/>
      <c r="J112" s="181" t="n"/>
      <c r="K112" s="181" t="n"/>
      <c r="L112" s="181" t="n"/>
      <c r="M112" s="181" t="n"/>
      <c r="N112" s="181" t="n"/>
      <c r="O112" s="181" t="n"/>
    </row>
    <row r="113">
      <c r="A113" s="181" t="n"/>
      <c r="B113" s="181" t="n"/>
      <c r="C113" s="181" t="n"/>
      <c r="D113" s="181" t="n"/>
      <c r="E113" s="181" t="n"/>
      <c r="F113" s="181" t="n"/>
      <c r="G113" s="181" t="n"/>
      <c r="H113" s="181" t="n"/>
      <c r="I113" s="181" t="n"/>
      <c r="J113" s="181" t="n"/>
      <c r="K113" s="181" t="n"/>
      <c r="L113" s="181" t="n"/>
      <c r="M113" s="181" t="n"/>
      <c r="N113" s="181" t="n"/>
      <c r="O113" s="181" t="n"/>
    </row>
    <row r="114">
      <c r="A114" s="181" t="n"/>
      <c r="B114" s="181" t="n"/>
      <c r="C114" s="181" t="n"/>
      <c r="D114" s="181" t="n"/>
      <c r="E114" s="181" t="n"/>
      <c r="F114" s="181" t="n"/>
      <c r="G114" s="181" t="n"/>
      <c r="H114" s="181" t="n"/>
      <c r="I114" s="181" t="n"/>
      <c r="J114" s="181" t="n"/>
      <c r="K114" s="181" t="n"/>
      <c r="L114" s="181" t="n"/>
      <c r="M114" s="181" t="n"/>
      <c r="N114" s="181" t="n"/>
      <c r="O114" s="181" t="n"/>
    </row>
    <row r="115">
      <c r="A115" s="181" t="n"/>
      <c r="B115" s="181" t="n"/>
      <c r="C115" s="181" t="n"/>
      <c r="D115" s="181" t="n"/>
      <c r="E115" s="181" t="n"/>
      <c r="F115" s="181" t="n"/>
      <c r="G115" s="181" t="n"/>
      <c r="H115" s="181" t="n"/>
      <c r="I115" s="181" t="n"/>
      <c r="J115" s="181" t="n"/>
      <c r="K115" s="181" t="n"/>
      <c r="L115" s="181" t="n"/>
      <c r="M115" s="181" t="n"/>
      <c r="N115" s="181" t="n"/>
      <c r="O115" s="181" t="n"/>
    </row>
    <row r="116">
      <c r="A116" s="181" t="n"/>
      <c r="B116" s="181" t="n"/>
      <c r="C116" s="181" t="n"/>
      <c r="D116" s="181" t="n"/>
      <c r="E116" s="181" t="n"/>
      <c r="F116" s="181" t="n"/>
      <c r="G116" s="181" t="n"/>
      <c r="H116" s="181" t="n"/>
      <c r="I116" s="181" t="n"/>
      <c r="J116" s="181" t="n"/>
      <c r="K116" s="181" t="n"/>
      <c r="L116" s="181" t="n"/>
      <c r="M116" s="181" t="n"/>
      <c r="N116" s="181" t="n"/>
      <c r="O116" s="181" t="n"/>
    </row>
    <row r="117">
      <c r="A117" s="181" t="n"/>
      <c r="B117" s="181" t="n"/>
      <c r="C117" s="181" t="n"/>
      <c r="D117" s="181" t="n"/>
      <c r="E117" s="181" t="n"/>
      <c r="F117" s="181" t="n"/>
      <c r="G117" s="181" t="n"/>
      <c r="H117" s="181" t="n"/>
      <c r="I117" s="181" t="n"/>
      <c r="J117" s="181" t="n"/>
      <c r="K117" s="181" t="n"/>
      <c r="L117" s="181" t="n"/>
      <c r="M117" s="181" t="n"/>
      <c r="N117" s="181" t="n"/>
      <c r="O117" s="181" t="n"/>
    </row>
    <row r="118">
      <c r="A118" s="181" t="n"/>
      <c r="B118" s="181" t="n"/>
      <c r="C118" s="181" t="n"/>
      <c r="D118" s="181" t="n"/>
      <c r="E118" s="181" t="n"/>
      <c r="F118" s="181" t="n"/>
      <c r="G118" s="181" t="n"/>
      <c r="H118" s="181" t="n"/>
      <c r="I118" s="181" t="n"/>
      <c r="J118" s="181" t="n"/>
      <c r="K118" s="181" t="n"/>
      <c r="L118" s="181" t="n"/>
      <c r="M118" s="181" t="n"/>
      <c r="N118" s="181" t="n"/>
      <c r="O118" s="181" t="n"/>
    </row>
    <row r="119">
      <c r="A119" s="181" t="n"/>
      <c r="B119" s="181" t="n"/>
      <c r="C119" s="181" t="n"/>
      <c r="D119" s="181" t="n"/>
      <c r="E119" s="181" t="n"/>
      <c r="F119" s="181" t="n"/>
      <c r="G119" s="181" t="n"/>
      <c r="H119" s="181" t="n"/>
      <c r="I119" s="181" t="n"/>
      <c r="J119" s="181" t="n"/>
      <c r="K119" s="181" t="n"/>
      <c r="L119" s="181" t="n"/>
      <c r="M119" s="181" t="n"/>
      <c r="N119" s="181" t="n"/>
      <c r="O119" s="181" t="n"/>
    </row>
    <row r="120">
      <c r="A120" s="181" t="n"/>
      <c r="B120" s="181" t="n"/>
      <c r="C120" s="181" t="n"/>
      <c r="D120" s="181" t="n"/>
      <c r="E120" s="181" t="n"/>
      <c r="F120" s="181" t="n"/>
      <c r="G120" s="181" t="n"/>
      <c r="H120" s="181" t="n"/>
      <c r="I120" s="181" t="n"/>
      <c r="J120" s="181" t="n"/>
      <c r="K120" s="181" t="n"/>
      <c r="L120" s="181" t="n"/>
      <c r="M120" s="181" t="n"/>
      <c r="N120" s="181" t="n"/>
      <c r="O120" s="181" t="n"/>
    </row>
    <row r="121">
      <c r="A121" s="181" t="n"/>
      <c r="B121" s="181" t="n"/>
      <c r="C121" s="181" t="n"/>
      <c r="D121" s="181" t="n"/>
      <c r="E121" s="181" t="n"/>
      <c r="F121" s="181" t="n"/>
      <c r="G121" s="181" t="n"/>
      <c r="H121" s="181" t="n"/>
      <c r="I121" s="181" t="n"/>
      <c r="J121" s="181" t="n"/>
      <c r="K121" s="181" t="n"/>
      <c r="L121" s="181" t="n"/>
      <c r="M121" s="181" t="n"/>
      <c r="N121" s="181" t="n"/>
      <c r="O121" s="181" t="n"/>
    </row>
    <row r="122">
      <c r="A122" s="181" t="n"/>
      <c r="B122" s="181" t="n"/>
      <c r="C122" s="181" t="n"/>
      <c r="D122" s="181" t="n"/>
      <c r="E122" s="181" t="n"/>
      <c r="F122" s="181" t="n"/>
      <c r="G122" s="181" t="n"/>
      <c r="H122" s="181" t="n"/>
      <c r="I122" s="181" t="n"/>
      <c r="J122" s="181" t="n"/>
      <c r="K122" s="181" t="n"/>
      <c r="L122" s="181" t="n"/>
      <c r="M122" s="181" t="n"/>
      <c r="N122" s="181" t="n"/>
      <c r="O122" s="181" t="n"/>
    </row>
    <row r="123">
      <c r="A123" s="181" t="n"/>
      <c r="B123" s="181" t="n"/>
      <c r="C123" s="181" t="n"/>
      <c r="D123" s="181" t="n"/>
      <c r="E123" s="181" t="n"/>
      <c r="F123" s="181" t="n"/>
      <c r="G123" s="181" t="n"/>
      <c r="H123" s="181" t="n"/>
      <c r="I123" s="181" t="n"/>
      <c r="J123" s="181" t="n"/>
      <c r="K123" s="181" t="n"/>
      <c r="L123" s="181" t="n"/>
      <c r="M123" s="181" t="n"/>
      <c r="N123" s="181" t="n"/>
      <c r="O123" s="181" t="n"/>
    </row>
    <row r="124">
      <c r="A124" s="181" t="n"/>
      <c r="B124" s="181" t="n"/>
      <c r="C124" s="181" t="n"/>
      <c r="D124" s="181" t="n"/>
      <c r="E124" s="181" t="n"/>
      <c r="F124" s="181" t="n"/>
      <c r="G124" s="181" t="n"/>
      <c r="H124" s="181" t="n"/>
      <c r="I124" s="181" t="n"/>
      <c r="J124" s="181" t="n"/>
      <c r="K124" s="181" t="n"/>
      <c r="L124" s="181" t="n"/>
      <c r="M124" s="181" t="n"/>
      <c r="N124" s="181" t="n"/>
      <c r="O124" s="181" t="n"/>
    </row>
    <row r="125">
      <c r="A125" s="181" t="n"/>
      <c r="B125" s="181" t="n"/>
      <c r="C125" s="181" t="n"/>
      <c r="D125" s="181" t="n"/>
      <c r="E125" s="181" t="n"/>
      <c r="F125" s="181" t="n"/>
      <c r="G125" s="181" t="n"/>
      <c r="H125" s="181" t="n"/>
      <c r="I125" s="181" t="n"/>
      <c r="J125" s="181" t="n"/>
      <c r="K125" s="181" t="n"/>
      <c r="L125" s="181" t="n"/>
      <c r="M125" s="181" t="n"/>
      <c r="N125" s="181" t="n"/>
      <c r="O125" s="181" t="n"/>
    </row>
    <row r="126">
      <c r="A126" s="181" t="n"/>
      <c r="B126" s="181" t="n"/>
      <c r="C126" s="181" t="n"/>
      <c r="D126" s="181" t="n"/>
      <c r="E126" s="181" t="n"/>
      <c r="F126" s="181" t="n"/>
      <c r="G126" s="181" t="n"/>
      <c r="H126" s="181" t="n"/>
      <c r="I126" s="181" t="n"/>
      <c r="J126" s="181" t="n"/>
      <c r="K126" s="181" t="n"/>
      <c r="L126" s="181" t="n"/>
      <c r="M126" s="181" t="n"/>
      <c r="N126" s="181" t="n"/>
      <c r="O126" s="181" t="n"/>
    </row>
    <row r="127">
      <c r="A127" s="181" t="n"/>
      <c r="B127" s="181" t="n"/>
      <c r="C127" s="181" t="n"/>
      <c r="D127" s="181" t="n"/>
      <c r="E127" s="181" t="n"/>
      <c r="F127" s="181" t="n"/>
      <c r="G127" s="181" t="n"/>
      <c r="H127" s="181" t="n"/>
      <c r="I127" s="181" t="n"/>
      <c r="J127" s="181" t="n"/>
      <c r="K127" s="181" t="n"/>
      <c r="L127" s="181" t="n"/>
      <c r="M127" s="181" t="n"/>
      <c r="N127" s="181" t="n"/>
      <c r="O127" s="181" t="n"/>
    </row>
    <row r="128">
      <c r="A128" s="181" t="n"/>
      <c r="B128" s="181" t="n"/>
      <c r="C128" s="181" t="n"/>
      <c r="D128" s="181" t="n"/>
      <c r="E128" s="181" t="n"/>
      <c r="F128" s="181" t="n"/>
      <c r="G128" s="181" t="n"/>
      <c r="H128" s="181" t="n"/>
      <c r="I128" s="181" t="n"/>
      <c r="J128" s="181" t="n"/>
      <c r="K128" s="181" t="n"/>
      <c r="L128" s="181" t="n"/>
      <c r="M128" s="181" t="n"/>
      <c r="N128" s="181" t="n"/>
      <c r="O128" s="181" t="n"/>
    </row>
    <row r="129">
      <c r="A129" s="181" t="n"/>
      <c r="B129" s="181" t="n"/>
      <c r="C129" s="181" t="n"/>
      <c r="D129" s="181" t="n"/>
      <c r="E129" s="181" t="n"/>
      <c r="F129" s="181" t="n"/>
      <c r="G129" s="181" t="n"/>
      <c r="H129" s="181" t="n"/>
      <c r="I129" s="181" t="n"/>
      <c r="J129" s="181" t="n"/>
      <c r="K129" s="181" t="n"/>
      <c r="L129" s="181" t="n"/>
      <c r="M129" s="181" t="n"/>
      <c r="N129" s="181" t="n"/>
      <c r="O129" s="181" t="n"/>
    </row>
    <row r="130">
      <c r="A130" s="181" t="n"/>
      <c r="B130" s="181" t="n"/>
      <c r="C130" s="181" t="n"/>
      <c r="D130" s="181" t="n"/>
      <c r="E130" s="181" t="n"/>
      <c r="F130" s="181" t="n"/>
      <c r="G130" s="181" t="n"/>
      <c r="H130" s="181" t="n"/>
      <c r="I130" s="181" t="n"/>
      <c r="J130" s="181" t="n"/>
      <c r="K130" s="181" t="n"/>
      <c r="L130" s="181" t="n"/>
      <c r="M130" s="181" t="n"/>
      <c r="N130" s="181" t="n"/>
      <c r="O130" s="181" t="n"/>
    </row>
    <row r="131">
      <c r="A131" s="181" t="n"/>
      <c r="B131" s="181" t="n"/>
      <c r="C131" s="181" t="n"/>
      <c r="D131" s="181" t="n"/>
      <c r="E131" s="181" t="n"/>
      <c r="F131" s="181" t="n"/>
      <c r="G131" s="181" t="n"/>
      <c r="H131" s="181" t="n"/>
      <c r="I131" s="181" t="n"/>
      <c r="J131" s="181" t="n"/>
      <c r="K131" s="181" t="n"/>
      <c r="L131" s="181" t="n"/>
      <c r="M131" s="181" t="n"/>
      <c r="N131" s="181" t="n"/>
      <c r="O131" s="181" t="n"/>
    </row>
    <row r="132">
      <c r="A132" s="181" t="n"/>
      <c r="B132" s="181" t="n"/>
      <c r="C132" s="181" t="n"/>
      <c r="D132" s="181" t="n"/>
      <c r="E132" s="181" t="n"/>
      <c r="F132" s="181" t="n"/>
      <c r="G132" s="181" t="n"/>
      <c r="H132" s="181" t="n"/>
      <c r="I132" s="181" t="n"/>
      <c r="J132" s="181" t="n"/>
      <c r="K132" s="181" t="n"/>
      <c r="L132" s="181" t="n"/>
      <c r="M132" s="181" t="n"/>
      <c r="N132" s="181" t="n"/>
      <c r="O132" s="181" t="n"/>
    </row>
    <row r="133">
      <c r="A133" s="181" t="n"/>
      <c r="B133" s="181" t="n"/>
      <c r="C133" s="181" t="n"/>
      <c r="D133" s="181" t="n"/>
      <c r="E133" s="181" t="n"/>
      <c r="F133" s="181" t="n"/>
      <c r="G133" s="181" t="n"/>
      <c r="H133" s="181" t="n"/>
      <c r="I133" s="181" t="n"/>
      <c r="J133" s="181" t="n"/>
      <c r="K133" s="181" t="n"/>
      <c r="L133" s="181" t="n"/>
      <c r="M133" s="181" t="n"/>
      <c r="N133" s="181" t="n"/>
      <c r="O133" s="181" t="n"/>
    </row>
    <row r="134">
      <c r="A134" s="181" t="n"/>
      <c r="B134" s="181" t="n"/>
      <c r="C134" s="181" t="n"/>
      <c r="D134" s="181" t="n"/>
      <c r="E134" s="181" t="n"/>
      <c r="F134" s="181" t="n"/>
      <c r="G134" s="181" t="n"/>
      <c r="H134" s="181" t="n"/>
      <c r="I134" s="181" t="n"/>
      <c r="J134" s="181" t="n"/>
      <c r="K134" s="181" t="n"/>
      <c r="L134" s="181" t="n"/>
      <c r="M134" s="181" t="n"/>
      <c r="N134" s="181" t="n"/>
      <c r="O134" s="181" t="n"/>
    </row>
    <row r="135">
      <c r="A135" s="181" t="n"/>
      <c r="B135" s="181" t="n"/>
      <c r="C135" s="181" t="n"/>
      <c r="D135" s="181" t="n"/>
      <c r="E135" s="181" t="n"/>
      <c r="F135" s="181" t="n"/>
      <c r="G135" s="181" t="n"/>
      <c r="H135" s="181" t="n"/>
      <c r="I135" s="181" t="n"/>
      <c r="J135" s="181" t="n"/>
      <c r="K135" s="181" t="n"/>
      <c r="L135" s="181" t="n"/>
      <c r="M135" s="181" t="n"/>
      <c r="N135" s="181" t="n"/>
      <c r="O135" s="181" t="n"/>
    </row>
    <row r="136">
      <c r="A136" s="181" t="n"/>
      <c r="B136" s="181" t="n"/>
      <c r="C136" s="181" t="n"/>
      <c r="D136" s="181" t="n"/>
      <c r="E136" s="181" t="n"/>
      <c r="F136" s="181" t="n"/>
      <c r="G136" s="181" t="n"/>
      <c r="H136" s="181" t="n"/>
      <c r="I136" s="181" t="n"/>
      <c r="J136" s="181" t="n"/>
      <c r="K136" s="181" t="n"/>
      <c r="L136" s="181" t="n"/>
      <c r="M136" s="181" t="n"/>
      <c r="N136" s="181" t="n"/>
      <c r="O136" s="181" t="n"/>
    </row>
    <row r="137">
      <c r="A137" s="181" t="n"/>
      <c r="B137" s="181" t="n"/>
      <c r="C137" s="181" t="n"/>
      <c r="D137" s="181" t="n"/>
      <c r="E137" s="181" t="n"/>
      <c r="F137" s="181" t="n"/>
      <c r="G137" s="181" t="n"/>
      <c r="H137" s="181" t="n"/>
      <c r="I137" s="181" t="n"/>
      <c r="J137" s="181" t="n"/>
      <c r="K137" s="181" t="n"/>
      <c r="L137" s="181" t="n"/>
      <c r="M137" s="181" t="n"/>
      <c r="N137" s="181" t="n"/>
      <c r="O137" s="181" t="n"/>
    </row>
    <row r="138">
      <c r="A138" s="181" t="n"/>
      <c r="B138" s="181" t="n"/>
      <c r="C138" s="181" t="n"/>
      <c r="D138" s="181" t="n"/>
      <c r="E138" s="181" t="n"/>
      <c r="F138" s="181" t="n"/>
      <c r="G138" s="181" t="n"/>
      <c r="H138" s="181" t="n"/>
      <c r="I138" s="181" t="n"/>
      <c r="J138" s="181" t="n"/>
      <c r="K138" s="181" t="n"/>
      <c r="L138" s="181" t="n"/>
      <c r="M138" s="181" t="n"/>
      <c r="N138" s="181" t="n"/>
      <c r="O138" s="181" t="n"/>
    </row>
    <row r="139">
      <c r="A139" s="181" t="n"/>
      <c r="B139" s="181" t="n"/>
      <c r="C139" s="181" t="n"/>
      <c r="D139" s="181" t="n"/>
      <c r="E139" s="181" t="n"/>
      <c r="F139" s="181" t="n"/>
      <c r="G139" s="181" t="n"/>
      <c r="H139" s="181" t="n"/>
      <c r="I139" s="181" t="n"/>
      <c r="J139" s="181" t="n"/>
      <c r="K139" s="181" t="n"/>
      <c r="L139" s="181" t="n"/>
      <c r="M139" s="181" t="n"/>
      <c r="N139" s="181" t="n"/>
      <c r="O139" s="181" t="n"/>
    </row>
    <row r="140">
      <c r="A140" s="181" t="n"/>
      <c r="B140" s="181" t="n"/>
      <c r="C140" s="181" t="n"/>
      <c r="D140" s="181" t="n"/>
      <c r="E140" s="181" t="n"/>
      <c r="F140" s="181" t="n"/>
      <c r="G140" s="181" t="n"/>
      <c r="H140" s="181" t="n"/>
      <c r="I140" s="181" t="n"/>
      <c r="J140" s="181" t="n"/>
      <c r="K140" s="181" t="n"/>
      <c r="L140" s="181" t="n"/>
      <c r="M140" s="181" t="n"/>
      <c r="N140" s="181" t="n"/>
      <c r="O140" s="181" t="n"/>
    </row>
    <row r="141">
      <c r="A141" s="181" t="n"/>
      <c r="B141" s="181" t="n"/>
      <c r="C141" s="181" t="n"/>
      <c r="D141" s="181" t="n"/>
      <c r="E141" s="181" t="n"/>
      <c r="F141" s="181" t="n"/>
      <c r="G141" s="181" t="n"/>
      <c r="H141" s="181" t="n"/>
      <c r="I141" s="181" t="n"/>
      <c r="J141" s="181" t="n"/>
      <c r="K141" s="181" t="n"/>
      <c r="L141" s="181" t="n"/>
      <c r="M141" s="181" t="n"/>
      <c r="N141" s="181" t="n"/>
      <c r="O141" s="181" t="n"/>
    </row>
    <row r="142">
      <c r="A142" s="181" t="n"/>
      <c r="B142" s="181" t="n"/>
      <c r="C142" s="181" t="n"/>
      <c r="D142" s="181" t="n"/>
      <c r="E142" s="181" t="n"/>
      <c r="F142" s="181" t="n"/>
      <c r="G142" s="181" t="n"/>
      <c r="H142" s="181" t="n"/>
      <c r="I142" s="181" t="n"/>
      <c r="J142" s="181" t="n"/>
      <c r="K142" s="181" t="n"/>
      <c r="L142" s="181" t="n"/>
      <c r="M142" s="181" t="n"/>
      <c r="N142" s="181" t="n"/>
      <c r="O142" s="181" t="n"/>
    </row>
    <row r="143">
      <c r="A143" s="181" t="n"/>
      <c r="B143" s="181" t="n"/>
      <c r="C143" s="181" t="n"/>
      <c r="D143" s="181" t="n"/>
      <c r="E143" s="181" t="n"/>
      <c r="F143" s="181" t="n"/>
      <c r="G143" s="181" t="n"/>
      <c r="H143" s="181" t="n"/>
      <c r="I143" s="181" t="n"/>
      <c r="J143" s="181" t="n"/>
      <c r="K143" s="181" t="n"/>
      <c r="L143" s="181" t="n"/>
      <c r="M143" s="181" t="n"/>
      <c r="N143" s="181" t="n"/>
      <c r="O143" s="181" t="n"/>
    </row>
    <row r="144">
      <c r="A144" s="181" t="n"/>
      <c r="B144" s="181" t="n"/>
      <c r="C144" s="181" t="n"/>
      <c r="D144" s="181" t="n"/>
      <c r="E144" s="181" t="n"/>
      <c r="F144" s="181" t="n"/>
      <c r="G144" s="181" t="n"/>
      <c r="H144" s="181" t="n"/>
      <c r="I144" s="181" t="n"/>
      <c r="J144" s="181" t="n"/>
      <c r="K144" s="181" t="n"/>
      <c r="L144" s="181" t="n"/>
      <c r="M144" s="181" t="n"/>
      <c r="N144" s="181" t="n"/>
      <c r="O144" s="181" t="n"/>
    </row>
    <row r="145">
      <c r="A145" s="181" t="n"/>
      <c r="B145" s="181" t="n"/>
      <c r="C145" s="181" t="n"/>
      <c r="D145" s="181" t="n"/>
      <c r="E145" s="181" t="n"/>
      <c r="F145" s="181" t="n"/>
      <c r="G145" s="181" t="n"/>
      <c r="H145" s="181" t="n"/>
      <c r="I145" s="181" t="n"/>
      <c r="J145" s="181" t="n"/>
      <c r="K145" s="181" t="n"/>
      <c r="L145" s="181" t="n"/>
      <c r="M145" s="181" t="n"/>
      <c r="N145" s="181" t="n"/>
      <c r="O145" s="181" t="n"/>
    </row>
    <row r="146">
      <c r="A146" s="181" t="n"/>
      <c r="B146" s="181" t="n"/>
      <c r="C146" s="181" t="n"/>
      <c r="D146" s="181" t="n"/>
      <c r="E146" s="181" t="n"/>
      <c r="F146" s="181" t="n"/>
      <c r="G146" s="181" t="n"/>
      <c r="H146" s="181" t="n"/>
      <c r="I146" s="181" t="n"/>
      <c r="J146" s="181" t="n"/>
      <c r="K146" s="181" t="n"/>
      <c r="L146" s="181" t="n"/>
      <c r="M146" s="181" t="n"/>
      <c r="N146" s="181" t="n"/>
      <c r="O146" s="181" t="n"/>
    </row>
    <row r="147">
      <c r="A147" s="181" t="n"/>
      <c r="B147" s="181" t="n"/>
      <c r="C147" s="181" t="n"/>
      <c r="D147" s="181" t="n"/>
      <c r="E147" s="181" t="n"/>
      <c r="F147" s="181" t="n"/>
      <c r="G147" s="181" t="n"/>
      <c r="H147" s="181" t="n"/>
      <c r="I147" s="181" t="n"/>
      <c r="J147" s="181" t="n"/>
      <c r="K147" s="181" t="n"/>
      <c r="L147" s="181" t="n"/>
      <c r="M147" s="181" t="n"/>
      <c r="N147" s="181" t="n"/>
      <c r="O147" s="181" t="n"/>
    </row>
    <row r="148">
      <c r="A148" s="181" t="n"/>
      <c r="B148" s="181" t="n"/>
      <c r="C148" s="181" t="n"/>
      <c r="D148" s="181" t="n"/>
      <c r="E148" s="181" t="n"/>
      <c r="F148" s="181" t="n"/>
      <c r="G148" s="181" t="n"/>
      <c r="H148" s="181" t="n"/>
      <c r="I148" s="181" t="n"/>
      <c r="J148" s="181" t="n"/>
      <c r="K148" s="181" t="n"/>
      <c r="L148" s="181" t="n"/>
      <c r="M148" s="181" t="n"/>
      <c r="N148" s="181" t="n"/>
      <c r="O148" s="181" t="n"/>
    </row>
    <row r="149">
      <c r="A149" s="181" t="n"/>
      <c r="B149" s="181" t="n"/>
      <c r="C149" s="181" t="n"/>
      <c r="D149" s="181" t="n"/>
      <c r="E149" s="181" t="n"/>
      <c r="F149" s="181" t="n"/>
      <c r="G149" s="181" t="n"/>
      <c r="H149" s="181" t="n"/>
      <c r="I149" s="181" t="n"/>
      <c r="J149" s="181" t="n"/>
      <c r="K149" s="181" t="n"/>
      <c r="L149" s="181" t="n"/>
      <c r="M149" s="181" t="n"/>
      <c r="N149" s="181" t="n"/>
      <c r="O149" s="181" t="n"/>
    </row>
    <row r="150">
      <c r="A150" s="181" t="n"/>
      <c r="B150" s="181" t="n"/>
      <c r="C150" s="181" t="n"/>
      <c r="D150" s="181" t="n"/>
      <c r="E150" s="181" t="n"/>
      <c r="F150" s="181" t="n"/>
      <c r="G150" s="181" t="n"/>
      <c r="H150" s="181" t="n"/>
      <c r="I150" s="181" t="n"/>
      <c r="J150" s="181" t="n"/>
      <c r="K150" s="181" t="n"/>
      <c r="L150" s="181" t="n"/>
      <c r="M150" s="181" t="n"/>
      <c r="N150" s="181" t="n"/>
      <c r="O150" s="181" t="n"/>
    </row>
    <row r="151">
      <c r="A151" s="181" t="n"/>
      <c r="B151" s="181" t="n"/>
      <c r="C151" s="181" t="n"/>
      <c r="D151" s="181" t="n"/>
      <c r="E151" s="181" t="n"/>
      <c r="F151" s="181" t="n"/>
      <c r="G151" s="181" t="n"/>
      <c r="H151" s="181" t="n"/>
      <c r="I151" s="181" t="n"/>
      <c r="J151" s="181" t="n"/>
      <c r="K151" s="181" t="n"/>
      <c r="L151" s="181" t="n"/>
      <c r="M151" s="181" t="n"/>
      <c r="N151" s="181" t="n"/>
      <c r="O151" s="181" t="n"/>
    </row>
    <row r="152">
      <c r="A152" s="181" t="n"/>
      <c r="B152" s="181" t="n"/>
      <c r="C152" s="181" t="n"/>
      <c r="D152" s="181" t="n"/>
      <c r="E152" s="181" t="n"/>
      <c r="F152" s="181" t="n"/>
      <c r="G152" s="181" t="n"/>
      <c r="H152" s="181" t="n"/>
      <c r="I152" s="181" t="n"/>
      <c r="J152" s="181" t="n"/>
      <c r="K152" s="181" t="n"/>
      <c r="L152" s="181" t="n"/>
      <c r="M152" s="181" t="n"/>
      <c r="N152" s="181" t="n"/>
      <c r="O152" s="181" t="n"/>
    </row>
    <row r="153">
      <c r="A153" s="181" t="n"/>
      <c r="B153" s="181" t="n"/>
      <c r="C153" s="181" t="n"/>
      <c r="D153" s="181" t="n"/>
      <c r="E153" s="181" t="n"/>
      <c r="F153" s="181" t="n"/>
      <c r="G153" s="181" t="n"/>
      <c r="H153" s="181" t="n"/>
      <c r="I153" s="181" t="n"/>
      <c r="J153" s="181" t="n"/>
      <c r="K153" s="181" t="n"/>
      <c r="L153" s="181" t="n"/>
      <c r="M153" s="181" t="n"/>
      <c r="N153" s="181" t="n"/>
      <c r="O153" s="181" t="n"/>
    </row>
    <row r="154">
      <c r="A154" s="181" t="n"/>
      <c r="B154" s="181" t="n"/>
      <c r="C154" s="181" t="n"/>
      <c r="D154" s="181" t="n"/>
      <c r="E154" s="181" t="n"/>
      <c r="F154" s="181" t="n"/>
      <c r="G154" s="181" t="n"/>
      <c r="H154" s="181" t="n"/>
      <c r="I154" s="181" t="n"/>
      <c r="J154" s="181" t="n"/>
      <c r="K154" s="181" t="n"/>
      <c r="L154" s="181" t="n"/>
      <c r="M154" s="181" t="n"/>
      <c r="N154" s="181" t="n"/>
      <c r="O154" s="181" t="n"/>
    </row>
    <row r="155">
      <c r="A155" s="181" t="n"/>
      <c r="B155" s="181" t="n"/>
      <c r="C155" s="181" t="n"/>
      <c r="D155" s="181" t="n"/>
      <c r="E155" s="181" t="n"/>
      <c r="F155" s="181" t="n"/>
      <c r="G155" s="181" t="n"/>
      <c r="H155" s="181" t="n"/>
      <c r="I155" s="181" t="n"/>
      <c r="J155" s="181" t="n"/>
      <c r="K155" s="181" t="n"/>
      <c r="L155" s="181" t="n"/>
      <c r="M155" s="181" t="n"/>
      <c r="N155" s="181" t="n"/>
      <c r="O155" s="181" t="n"/>
    </row>
    <row r="156">
      <c r="A156" s="181" t="n"/>
      <c r="B156" s="181" t="n"/>
      <c r="C156" s="181" t="n"/>
      <c r="D156" s="181" t="n"/>
      <c r="E156" s="181" t="n"/>
      <c r="F156" s="181" t="n"/>
      <c r="G156" s="181" t="n"/>
      <c r="H156" s="181" t="n"/>
      <c r="I156" s="181" t="n"/>
      <c r="J156" s="181" t="n"/>
      <c r="K156" s="181" t="n"/>
      <c r="L156" s="181" t="n"/>
      <c r="M156" s="181" t="n"/>
      <c r="N156" s="181" t="n"/>
      <c r="O156" s="181" t="n"/>
    </row>
    <row r="157">
      <c r="A157" s="181" t="n"/>
      <c r="B157" s="181" t="n"/>
      <c r="C157" s="181" t="n"/>
      <c r="D157" s="181" t="n"/>
      <c r="E157" s="181" t="n"/>
      <c r="F157" s="181" t="n"/>
      <c r="G157" s="181" t="n"/>
      <c r="H157" s="181" t="n"/>
      <c r="I157" s="181" t="n"/>
      <c r="J157" s="181" t="n"/>
      <c r="K157" s="181" t="n"/>
      <c r="L157" s="181" t="n"/>
      <c r="M157" s="181" t="n"/>
      <c r="N157" s="181" t="n"/>
      <c r="O157" s="181" t="n"/>
    </row>
    <row r="158">
      <c r="A158" s="181" t="n"/>
      <c r="B158" s="181" t="n"/>
      <c r="C158" s="181" t="n"/>
      <c r="D158" s="181" t="n"/>
      <c r="E158" s="181" t="n"/>
      <c r="F158" s="181" t="n"/>
      <c r="G158" s="181" t="n"/>
      <c r="H158" s="181" t="n"/>
      <c r="I158" s="181" t="n"/>
      <c r="J158" s="181" t="n"/>
      <c r="K158" s="181" t="n"/>
      <c r="L158" s="181" t="n"/>
      <c r="M158" s="181" t="n"/>
      <c r="N158" s="181" t="n"/>
      <c r="O158" s="181" t="n"/>
    </row>
    <row r="159">
      <c r="A159" s="181" t="n"/>
      <c r="B159" s="181" t="n"/>
      <c r="C159" s="181" t="n"/>
      <c r="D159" s="181" t="n"/>
      <c r="E159" s="181" t="n"/>
      <c r="F159" s="181" t="n"/>
      <c r="G159" s="181" t="n"/>
      <c r="H159" s="181" t="n"/>
      <c r="I159" s="181" t="n"/>
      <c r="J159" s="181" t="n"/>
      <c r="K159" s="181" t="n"/>
      <c r="L159" s="181" t="n"/>
      <c r="M159" s="181" t="n"/>
      <c r="N159" s="181" t="n"/>
      <c r="O159" s="181" t="n"/>
    </row>
    <row r="160">
      <c r="A160" s="181" t="n"/>
      <c r="B160" s="181" t="n"/>
      <c r="C160" s="181" t="n"/>
      <c r="D160" s="181" t="n"/>
      <c r="E160" s="181" t="n"/>
      <c r="F160" s="181" t="n"/>
      <c r="G160" s="181" t="n"/>
      <c r="H160" s="181" t="n"/>
      <c r="I160" s="181" t="n"/>
      <c r="J160" s="181" t="n"/>
      <c r="K160" s="181" t="n"/>
      <c r="L160" s="181" t="n"/>
      <c r="M160" s="181" t="n"/>
      <c r="N160" s="181" t="n"/>
      <c r="O160" s="181" t="n"/>
    </row>
    <row r="161">
      <c r="A161" s="181" t="n"/>
      <c r="B161" s="181" t="n"/>
      <c r="C161" s="181" t="n"/>
      <c r="D161" s="181" t="n"/>
      <c r="E161" s="181" t="n"/>
      <c r="F161" s="181" t="n"/>
      <c r="G161" s="181" t="n"/>
      <c r="H161" s="181" t="n"/>
      <c r="I161" s="181" t="n"/>
      <c r="J161" s="181" t="n"/>
      <c r="K161" s="181" t="n"/>
      <c r="L161" s="181" t="n"/>
      <c r="M161" s="181" t="n"/>
      <c r="N161" s="181" t="n"/>
      <c r="O161" s="181" t="n"/>
    </row>
    <row r="162">
      <c r="A162" s="181" t="n"/>
      <c r="B162" s="181" t="n"/>
      <c r="C162" s="181" t="n"/>
      <c r="D162" s="181" t="n"/>
      <c r="E162" s="181" t="n"/>
      <c r="F162" s="181" t="n"/>
      <c r="G162" s="181" t="n"/>
      <c r="H162" s="181" t="n"/>
      <c r="I162" s="181" t="n"/>
      <c r="J162" s="181" t="n"/>
      <c r="K162" s="181" t="n"/>
      <c r="L162" s="181" t="n"/>
      <c r="M162" s="181" t="n"/>
      <c r="N162" s="181" t="n"/>
      <c r="O162" s="181" t="n"/>
    </row>
    <row r="163">
      <c r="A163" s="181" t="n"/>
      <c r="B163" s="181" t="n"/>
      <c r="C163" s="181" t="n"/>
      <c r="D163" s="181" t="n"/>
      <c r="E163" s="181" t="n"/>
      <c r="F163" s="181" t="n"/>
      <c r="G163" s="181" t="n"/>
      <c r="H163" s="181" t="n"/>
      <c r="I163" s="181" t="n"/>
      <c r="J163" s="181" t="n"/>
      <c r="K163" s="181" t="n"/>
      <c r="L163" s="181" t="n"/>
      <c r="M163" s="181" t="n"/>
      <c r="N163" s="181" t="n"/>
      <c r="O163" s="181" t="n"/>
    </row>
    <row r="164">
      <c r="A164" s="181" t="n"/>
      <c r="B164" s="181" t="n"/>
      <c r="C164" s="181" t="n"/>
      <c r="D164" s="181" t="n"/>
      <c r="E164" s="181" t="n"/>
      <c r="F164" s="181" t="n"/>
      <c r="G164" s="181" t="n"/>
      <c r="H164" s="181" t="n"/>
      <c r="I164" s="181" t="n"/>
      <c r="J164" s="181" t="n"/>
      <c r="K164" s="181" t="n"/>
      <c r="L164" s="181" t="n"/>
      <c r="M164" s="181" t="n"/>
      <c r="N164" s="181" t="n"/>
      <c r="O164" s="181" t="n"/>
    </row>
    <row r="165">
      <c r="A165" s="181" t="n"/>
      <c r="B165" s="181" t="n"/>
      <c r="C165" s="181" t="n"/>
      <c r="D165" s="181" t="n"/>
      <c r="E165" s="181" t="n"/>
      <c r="F165" s="181" t="n"/>
      <c r="G165" s="181" t="n"/>
      <c r="H165" s="181" t="n"/>
      <c r="I165" s="181" t="n"/>
      <c r="J165" s="181" t="n"/>
      <c r="K165" s="181" t="n"/>
      <c r="L165" s="181" t="n"/>
      <c r="M165" s="181" t="n"/>
      <c r="N165" s="181" t="n"/>
      <c r="O165" s="181" t="n"/>
    </row>
    <row r="166">
      <c r="A166" s="181" t="n"/>
      <c r="B166" s="181" t="n"/>
      <c r="C166" s="181" t="n"/>
      <c r="D166" s="181" t="n"/>
      <c r="E166" s="181" t="n"/>
      <c r="F166" s="181" t="n"/>
      <c r="G166" s="181" t="n"/>
      <c r="H166" s="181" t="n"/>
      <c r="I166" s="181" t="n"/>
      <c r="J166" s="181" t="n"/>
      <c r="K166" s="181" t="n"/>
      <c r="L166" s="181" t="n"/>
      <c r="M166" s="181" t="n"/>
      <c r="N166" s="181" t="n"/>
      <c r="O166" s="181" t="n"/>
    </row>
    <row r="167">
      <c r="A167" s="181" t="n"/>
      <c r="B167" s="181" t="n"/>
      <c r="C167" s="181" t="n"/>
      <c r="D167" s="181" t="n"/>
      <c r="E167" s="181" t="n"/>
      <c r="F167" s="181" t="n"/>
      <c r="G167" s="181" t="n"/>
      <c r="H167" s="181" t="n"/>
      <c r="I167" s="181" t="n"/>
      <c r="J167" s="181" t="n"/>
      <c r="K167" s="181" t="n"/>
      <c r="L167" s="181" t="n"/>
      <c r="M167" s="181" t="n"/>
      <c r="N167" s="181" t="n"/>
      <c r="O167" s="181" t="n"/>
    </row>
    <row r="168">
      <c r="A168" s="181" t="n"/>
      <c r="B168" s="181" t="n"/>
      <c r="C168" s="181" t="n"/>
      <c r="D168" s="181" t="n"/>
      <c r="E168" s="181" t="n"/>
      <c r="F168" s="181" t="n"/>
      <c r="G168" s="181" t="n"/>
      <c r="H168" s="181" t="n"/>
      <c r="I168" s="181" t="n"/>
      <c r="J168" s="181" t="n"/>
      <c r="K168" s="181" t="n"/>
      <c r="L168" s="181" t="n"/>
      <c r="M168" s="181" t="n"/>
      <c r="N168" s="181" t="n"/>
      <c r="O168" s="181" t="n"/>
    </row>
    <row r="169">
      <c r="A169" s="181" t="n"/>
      <c r="B169" s="181" t="n"/>
      <c r="C169" s="181" t="n"/>
      <c r="D169" s="181" t="n"/>
      <c r="E169" s="181" t="n"/>
      <c r="F169" s="181" t="n"/>
      <c r="G169" s="181" t="n"/>
      <c r="H169" s="181" t="n"/>
      <c r="I169" s="181" t="n"/>
      <c r="J169" s="181" t="n"/>
      <c r="K169" s="181" t="n"/>
      <c r="L169" s="181" t="n"/>
      <c r="M169" s="181" t="n"/>
      <c r="N169" s="181" t="n"/>
      <c r="O169" s="181" t="n"/>
    </row>
    <row r="170">
      <c r="A170" s="181" t="n"/>
      <c r="B170" s="181" t="n"/>
      <c r="C170" s="181" t="n"/>
      <c r="D170" s="181" t="n"/>
      <c r="E170" s="181" t="n"/>
      <c r="F170" s="181" t="n"/>
      <c r="G170" s="181" t="n"/>
      <c r="H170" s="181" t="n"/>
      <c r="I170" s="181" t="n"/>
      <c r="J170" s="181" t="n"/>
      <c r="K170" s="181" t="n"/>
      <c r="L170" s="181" t="n"/>
      <c r="M170" s="181" t="n"/>
      <c r="N170" s="181" t="n"/>
      <c r="O170" s="181" t="n"/>
    </row>
    <row r="171">
      <c r="A171" s="181" t="n"/>
      <c r="B171" s="181" t="n"/>
      <c r="C171" s="181" t="n"/>
      <c r="D171" s="181" t="n"/>
      <c r="E171" s="181" t="n"/>
      <c r="F171" s="181" t="n"/>
      <c r="G171" s="181" t="n"/>
      <c r="H171" s="181" t="n"/>
      <c r="I171" s="181" t="n"/>
      <c r="J171" s="181" t="n"/>
      <c r="K171" s="181" t="n"/>
      <c r="L171" s="181" t="n"/>
      <c r="M171" s="181" t="n"/>
      <c r="N171" s="181" t="n"/>
      <c r="O171" s="181" t="n"/>
    </row>
    <row r="172">
      <c r="A172" s="181" t="n"/>
      <c r="B172" s="181" t="n"/>
      <c r="C172" s="181" t="n"/>
      <c r="D172" s="181" t="n"/>
      <c r="E172" s="181" t="n"/>
      <c r="F172" s="181" t="n"/>
      <c r="G172" s="181" t="n"/>
      <c r="H172" s="181" t="n"/>
      <c r="I172" s="181" t="n"/>
      <c r="J172" s="181" t="n"/>
      <c r="K172" s="181" t="n"/>
      <c r="L172" s="181" t="n"/>
      <c r="M172" s="181" t="n"/>
      <c r="N172" s="181" t="n"/>
      <c r="O172" s="181" t="n"/>
    </row>
    <row r="173">
      <c r="A173" s="181" t="n"/>
      <c r="B173" s="181" t="n"/>
      <c r="C173" s="181" t="n"/>
      <c r="D173" s="181" t="n"/>
      <c r="E173" s="181" t="n"/>
      <c r="F173" s="181" t="n"/>
      <c r="G173" s="181" t="n"/>
      <c r="H173" s="181" t="n"/>
      <c r="I173" s="181" t="n"/>
      <c r="J173" s="181" t="n"/>
      <c r="K173" s="181" t="n"/>
      <c r="L173" s="181" t="n"/>
      <c r="M173" s="181" t="n"/>
      <c r="N173" s="181" t="n"/>
      <c r="O173" s="181" t="n"/>
    </row>
    <row r="174">
      <c r="A174" s="181" t="n"/>
      <c r="B174" s="181" t="n"/>
      <c r="C174" s="181" t="n"/>
      <c r="D174" s="181" t="n"/>
      <c r="E174" s="181" t="n"/>
      <c r="F174" s="181" t="n"/>
      <c r="G174" s="181" t="n"/>
      <c r="H174" s="181" t="n"/>
      <c r="I174" s="181" t="n"/>
      <c r="J174" s="181" t="n"/>
      <c r="K174" s="181" t="n"/>
      <c r="L174" s="181" t="n"/>
      <c r="M174" s="181" t="n"/>
      <c r="N174" s="181" t="n"/>
      <c r="O174" s="181" t="n"/>
    </row>
    <row r="175">
      <c r="A175" s="181" t="n"/>
      <c r="B175" s="181" t="n"/>
      <c r="C175" s="181" t="n"/>
      <c r="D175" s="181" t="n"/>
      <c r="E175" s="181" t="n"/>
      <c r="F175" s="181" t="n"/>
      <c r="G175" s="181" t="n"/>
      <c r="H175" s="181" t="n"/>
      <c r="I175" s="181" t="n"/>
      <c r="J175" s="181" t="n"/>
      <c r="K175" s="181" t="n"/>
      <c r="L175" s="181" t="n"/>
      <c r="M175" s="181" t="n"/>
      <c r="N175" s="181" t="n"/>
      <c r="O175" s="181" t="n"/>
    </row>
    <row r="176">
      <c r="A176" s="181" t="n"/>
      <c r="B176" s="181" t="n"/>
      <c r="C176" s="181" t="n"/>
      <c r="D176" s="181" t="n"/>
      <c r="E176" s="181" t="n"/>
      <c r="F176" s="181" t="n"/>
      <c r="G176" s="181" t="n"/>
      <c r="H176" s="181" t="n"/>
      <c r="I176" s="181" t="n"/>
      <c r="J176" s="181" t="n"/>
      <c r="K176" s="181" t="n"/>
      <c r="L176" s="181" t="n"/>
      <c r="M176" s="181" t="n"/>
      <c r="N176" s="181" t="n"/>
      <c r="O176" s="181" t="n"/>
    </row>
    <row r="177">
      <c r="A177" s="181" t="n"/>
      <c r="B177" s="181" t="n"/>
      <c r="C177" s="181" t="n"/>
      <c r="D177" s="181" t="n"/>
      <c r="E177" s="181" t="n"/>
      <c r="F177" s="181" t="n"/>
      <c r="G177" s="181" t="n"/>
      <c r="H177" s="181" t="n"/>
      <c r="I177" s="181" t="n"/>
      <c r="J177" s="181" t="n"/>
      <c r="K177" s="181" t="n"/>
      <c r="L177" s="181" t="n"/>
      <c r="M177" s="181" t="n"/>
      <c r="N177" s="181" t="n"/>
      <c r="O177" s="181" t="n"/>
    </row>
    <row r="178">
      <c r="A178" s="181" t="n"/>
      <c r="B178" s="181" t="n"/>
      <c r="C178" s="181" t="n"/>
      <c r="D178" s="181" t="n"/>
      <c r="E178" s="181" t="n"/>
      <c r="F178" s="181" t="n"/>
      <c r="G178" s="181" t="n"/>
      <c r="H178" s="181" t="n"/>
      <c r="I178" s="181" t="n"/>
      <c r="J178" s="181" t="n"/>
      <c r="K178" s="181" t="n"/>
      <c r="L178" s="181" t="n"/>
      <c r="M178" s="181" t="n"/>
      <c r="N178" s="181" t="n"/>
      <c r="O178" s="181" t="n"/>
    </row>
    <row r="179">
      <c r="A179" s="181" t="n"/>
      <c r="B179" s="181" t="n"/>
      <c r="C179" s="181" t="n"/>
      <c r="D179" s="181" t="n"/>
      <c r="E179" s="181" t="n"/>
      <c r="F179" s="181" t="n"/>
      <c r="G179" s="181" t="n"/>
      <c r="H179" s="181" t="n"/>
      <c r="I179" s="181" t="n"/>
      <c r="J179" s="181" t="n"/>
      <c r="K179" s="181" t="n"/>
      <c r="L179" s="181" t="n"/>
      <c r="M179" s="181" t="n"/>
      <c r="N179" s="181" t="n"/>
      <c r="O179" s="181" t="n"/>
    </row>
    <row r="180">
      <c r="A180" s="181" t="n"/>
      <c r="B180" s="181" t="n"/>
      <c r="C180" s="181" t="n"/>
      <c r="D180" s="181" t="n"/>
      <c r="E180" s="181" t="n"/>
      <c r="F180" s="181" t="n"/>
      <c r="G180" s="181" t="n"/>
      <c r="H180" s="181" t="n"/>
      <c r="I180" s="181" t="n"/>
      <c r="J180" s="181" t="n"/>
      <c r="K180" s="181" t="n"/>
      <c r="L180" s="181" t="n"/>
      <c r="M180" s="181" t="n"/>
      <c r="N180" s="181" t="n"/>
      <c r="O180" s="181" t="n"/>
    </row>
    <row r="181">
      <c r="A181" s="181" t="n"/>
      <c r="B181" s="181" t="n"/>
      <c r="C181" s="181" t="n"/>
      <c r="D181" s="181" t="n"/>
      <c r="E181" s="181" t="n"/>
      <c r="F181" s="181" t="n"/>
      <c r="G181" s="181" t="n"/>
      <c r="H181" s="181" t="n"/>
      <c r="I181" s="181" t="n"/>
      <c r="J181" s="181" t="n"/>
      <c r="K181" s="181" t="n"/>
      <c r="L181" s="181" t="n"/>
      <c r="M181" s="181" t="n"/>
      <c r="N181" s="181" t="n"/>
      <c r="O181" s="181" t="n"/>
    </row>
    <row r="182">
      <c r="A182" s="181" t="n"/>
      <c r="B182" s="181" t="n"/>
      <c r="C182" s="181" t="n"/>
      <c r="D182" s="181" t="n"/>
      <c r="E182" s="181" t="n"/>
      <c r="F182" s="181" t="n"/>
      <c r="G182" s="181" t="n"/>
      <c r="H182" s="181" t="n"/>
      <c r="I182" s="181" t="n"/>
      <c r="J182" s="181" t="n"/>
      <c r="K182" s="181" t="n"/>
      <c r="L182" s="181" t="n"/>
      <c r="M182" s="181" t="n"/>
      <c r="N182" s="181" t="n"/>
      <c r="O182" s="181" t="n"/>
    </row>
    <row r="183">
      <c r="A183" s="181" t="n"/>
      <c r="B183" s="181" t="n"/>
      <c r="C183" s="181" t="n"/>
      <c r="D183" s="181" t="n"/>
      <c r="E183" s="181" t="n"/>
      <c r="F183" s="181" t="n"/>
      <c r="G183" s="181" t="n"/>
      <c r="H183" s="181" t="n"/>
      <c r="I183" s="181" t="n"/>
      <c r="J183" s="181" t="n"/>
      <c r="K183" s="181" t="n"/>
      <c r="L183" s="181" t="n"/>
      <c r="M183" s="181" t="n"/>
      <c r="N183" s="181" t="n"/>
      <c r="O183" s="181" t="n"/>
    </row>
    <row r="184">
      <c r="A184" s="181" t="n"/>
      <c r="B184" s="181" t="n"/>
      <c r="C184" s="181" t="n"/>
      <c r="D184" s="181" t="n"/>
      <c r="E184" s="181" t="n"/>
      <c r="F184" s="181" t="n"/>
      <c r="G184" s="181" t="n"/>
      <c r="H184" s="181" t="n"/>
      <c r="I184" s="181" t="n"/>
      <c r="J184" s="181" t="n"/>
      <c r="K184" s="181" t="n"/>
      <c r="L184" s="181" t="n"/>
      <c r="M184" s="181" t="n"/>
      <c r="N184" s="181" t="n"/>
      <c r="O184" s="181" t="n"/>
    </row>
    <row r="185">
      <c r="A185" s="181" t="n"/>
      <c r="B185" s="181" t="n"/>
      <c r="C185" s="181" t="n"/>
      <c r="D185" s="181" t="n"/>
      <c r="E185" s="181" t="n"/>
      <c r="F185" s="181" t="n"/>
      <c r="G185" s="181" t="n"/>
      <c r="H185" s="181" t="n"/>
      <c r="I185" s="181" t="n"/>
      <c r="J185" s="181" t="n"/>
      <c r="K185" s="181" t="n"/>
      <c r="L185" s="181" t="n"/>
      <c r="M185" s="181" t="n"/>
      <c r="N185" s="181" t="n"/>
      <c r="O185" s="181" t="n"/>
    </row>
    <row r="186">
      <c r="A186" s="181" t="n"/>
      <c r="B186" s="181" t="n"/>
      <c r="C186" s="181" t="n"/>
      <c r="D186" s="181" t="n"/>
      <c r="E186" s="181" t="n"/>
      <c r="F186" s="181" t="n"/>
      <c r="G186" s="181" t="n"/>
      <c r="H186" s="181" t="n"/>
      <c r="I186" s="181" t="n"/>
      <c r="J186" s="181" t="n"/>
      <c r="K186" s="181" t="n"/>
      <c r="L186" s="181" t="n"/>
      <c r="M186" s="181" t="n"/>
      <c r="N186" s="181" t="n"/>
      <c r="O186" s="181" t="n"/>
    </row>
    <row r="187">
      <c r="A187" s="181" t="n"/>
      <c r="B187" s="181" t="n"/>
      <c r="C187" s="181" t="n"/>
      <c r="D187" s="181" t="n"/>
      <c r="E187" s="181" t="n"/>
      <c r="F187" s="181" t="n"/>
      <c r="G187" s="181" t="n"/>
      <c r="H187" s="181" t="n"/>
      <c r="I187" s="181" t="n"/>
      <c r="J187" s="181" t="n"/>
      <c r="K187" s="181" t="n"/>
      <c r="L187" s="181" t="n"/>
      <c r="M187" s="181" t="n"/>
      <c r="N187" s="181" t="n"/>
      <c r="O187" s="181" t="n"/>
    </row>
    <row r="188">
      <c r="A188" s="181" t="n"/>
      <c r="B188" s="181" t="n"/>
      <c r="C188" s="181" t="n"/>
      <c r="D188" s="181" t="n"/>
      <c r="E188" s="181" t="n"/>
      <c r="F188" s="181" t="n"/>
      <c r="G188" s="181" t="n"/>
      <c r="H188" s="181" t="n"/>
      <c r="I188" s="181" t="n"/>
      <c r="J188" s="181" t="n"/>
      <c r="K188" s="181" t="n"/>
      <c r="L188" s="181" t="n"/>
      <c r="M188" s="181" t="n"/>
      <c r="N188" s="181" t="n"/>
      <c r="O188" s="181" t="n"/>
    </row>
    <row r="189">
      <c r="A189" s="181" t="n"/>
      <c r="B189" s="181" t="n"/>
      <c r="C189" s="181" t="n"/>
      <c r="D189" s="181" t="n"/>
      <c r="E189" s="181" t="n"/>
      <c r="F189" s="181" t="n"/>
      <c r="G189" s="181" t="n"/>
      <c r="H189" s="181" t="n"/>
      <c r="I189" s="181" t="n"/>
      <c r="J189" s="181" t="n"/>
      <c r="K189" s="181" t="n"/>
      <c r="L189" s="181" t="n"/>
      <c r="M189" s="181" t="n"/>
      <c r="N189" s="181" t="n"/>
      <c r="O189" s="181" t="n"/>
    </row>
    <row r="190">
      <c r="A190" s="181" t="n"/>
      <c r="B190" s="181" t="n"/>
      <c r="C190" s="181" t="n"/>
      <c r="D190" s="181" t="n"/>
      <c r="E190" s="181" t="n"/>
      <c r="F190" s="181" t="n"/>
      <c r="G190" s="181" t="n"/>
      <c r="H190" s="181" t="n"/>
      <c r="I190" s="181" t="n"/>
      <c r="J190" s="181" t="n"/>
      <c r="K190" s="181" t="n"/>
      <c r="L190" s="181" t="n"/>
      <c r="M190" s="181" t="n"/>
      <c r="N190" s="181" t="n"/>
      <c r="O190" s="181" t="n"/>
    </row>
    <row r="191">
      <c r="A191" s="181" t="n"/>
      <c r="B191" s="181" t="n"/>
      <c r="C191" s="181" t="n"/>
      <c r="D191" s="181" t="n"/>
      <c r="E191" s="181" t="n"/>
      <c r="F191" s="181" t="n"/>
      <c r="G191" s="181" t="n"/>
      <c r="H191" s="181" t="n"/>
      <c r="I191" s="181" t="n"/>
      <c r="J191" s="181" t="n"/>
      <c r="K191" s="181" t="n"/>
      <c r="L191" s="181" t="n"/>
      <c r="M191" s="181" t="n"/>
      <c r="N191" s="181" t="n"/>
      <c r="O191" s="181" t="n"/>
    </row>
    <row r="192">
      <c r="A192" s="181" t="n"/>
      <c r="B192" s="181" t="n"/>
      <c r="C192" s="181" t="n"/>
      <c r="D192" s="181" t="n"/>
      <c r="E192" s="181" t="n"/>
      <c r="F192" s="181" t="n"/>
      <c r="G192" s="181" t="n"/>
      <c r="H192" s="181" t="n"/>
      <c r="I192" s="181" t="n"/>
      <c r="J192" s="181" t="n"/>
      <c r="K192" s="181" t="n"/>
      <c r="L192" s="181" t="n"/>
      <c r="M192" s="181" t="n"/>
      <c r="N192" s="181" t="n"/>
      <c r="O192" s="181" t="n"/>
    </row>
    <row r="193">
      <c r="A193" s="181" t="n"/>
      <c r="B193" s="181" t="n"/>
      <c r="C193" s="181" t="n"/>
      <c r="D193" s="181" t="n"/>
      <c r="E193" s="181" t="n"/>
      <c r="F193" s="181" t="n"/>
      <c r="G193" s="181" t="n"/>
      <c r="H193" s="181" t="n"/>
      <c r="I193" s="181" t="n"/>
      <c r="J193" s="181" t="n"/>
      <c r="K193" s="181" t="n"/>
      <c r="L193" s="181" t="n"/>
      <c r="M193" s="181" t="n"/>
      <c r="N193" s="181" t="n"/>
      <c r="O193" s="181" t="n"/>
    </row>
    <row r="194">
      <c r="A194" s="181" t="n"/>
      <c r="B194" s="181" t="n"/>
      <c r="C194" s="181" t="n"/>
      <c r="D194" s="181" t="n"/>
      <c r="E194" s="181" t="n"/>
      <c r="F194" s="181" t="n"/>
      <c r="G194" s="181" t="n"/>
      <c r="H194" s="181" t="n"/>
      <c r="I194" s="181" t="n"/>
      <c r="J194" s="181" t="n"/>
      <c r="K194" s="181" t="n"/>
      <c r="L194" s="181" t="n"/>
      <c r="M194" s="181" t="n"/>
      <c r="N194" s="181" t="n"/>
      <c r="O194" s="181" t="n"/>
    </row>
    <row r="195">
      <c r="A195" s="181" t="n"/>
      <c r="B195" s="181" t="n"/>
      <c r="C195" s="181" t="n"/>
      <c r="D195" s="181" t="n"/>
      <c r="E195" s="181" t="n"/>
      <c r="F195" s="181" t="n"/>
      <c r="G195" s="181" t="n"/>
      <c r="H195" s="181" t="n"/>
      <c r="I195" s="181" t="n"/>
      <c r="J195" s="181" t="n"/>
      <c r="K195" s="181" t="n"/>
      <c r="L195" s="181" t="n"/>
      <c r="M195" s="181" t="n"/>
      <c r="N195" s="181" t="n"/>
      <c r="O195" s="181" t="n"/>
    </row>
    <row r="196">
      <c r="A196" s="181" t="n"/>
      <c r="B196" s="181" t="n"/>
      <c r="C196" s="181" t="n"/>
      <c r="D196" s="181" t="n"/>
      <c r="E196" s="181" t="n"/>
      <c r="F196" s="181" t="n"/>
      <c r="G196" s="181" t="n"/>
      <c r="H196" s="181" t="n"/>
      <c r="I196" s="181" t="n"/>
      <c r="J196" s="181" t="n"/>
      <c r="K196" s="181" t="n"/>
      <c r="L196" s="181" t="n"/>
      <c r="M196" s="181" t="n"/>
      <c r="N196" s="181" t="n"/>
      <c r="O196" s="181" t="n"/>
    </row>
    <row r="197">
      <c r="A197" s="181" t="n"/>
      <c r="B197" s="181" t="n"/>
      <c r="C197" s="181" t="n"/>
      <c r="D197" s="181" t="n"/>
      <c r="E197" s="181" t="n"/>
      <c r="F197" s="181" t="n"/>
      <c r="G197" s="181" t="n"/>
      <c r="H197" s="181" t="n"/>
      <c r="I197" s="181" t="n"/>
      <c r="J197" s="181" t="n"/>
      <c r="K197" s="181" t="n"/>
      <c r="L197" s="181" t="n"/>
      <c r="M197" s="181" t="n"/>
      <c r="N197" s="181" t="n"/>
      <c r="O197" s="181" t="n"/>
    </row>
    <row r="198">
      <c r="A198" s="181" t="n"/>
      <c r="B198" s="181" t="n"/>
      <c r="C198" s="181" t="n"/>
      <c r="D198" s="181" t="n"/>
      <c r="E198" s="181" t="n"/>
      <c r="F198" s="181" t="n"/>
      <c r="G198" s="181" t="n"/>
      <c r="H198" s="181" t="n"/>
      <c r="I198" s="181" t="n"/>
      <c r="J198" s="181" t="n"/>
      <c r="K198" s="181" t="n"/>
      <c r="L198" s="181" t="n"/>
      <c r="M198" s="181" t="n"/>
      <c r="N198" s="181" t="n"/>
      <c r="O198" s="181" t="n"/>
    </row>
    <row r="199">
      <c r="A199" s="181" t="n"/>
      <c r="B199" s="181" t="n"/>
      <c r="C199" s="181" t="n"/>
      <c r="D199" s="181" t="n"/>
      <c r="E199" s="181" t="n"/>
      <c r="F199" s="181" t="n"/>
      <c r="G199" s="181" t="n"/>
      <c r="H199" s="181" t="n"/>
      <c r="I199" s="181" t="n"/>
      <c r="J199" s="181" t="n"/>
      <c r="K199" s="181" t="n"/>
      <c r="L199" s="181" t="n"/>
      <c r="M199" s="181" t="n"/>
      <c r="N199" s="181" t="n"/>
      <c r="O199" s="181" t="n"/>
    </row>
    <row r="200">
      <c r="A200" s="181" t="n"/>
      <c r="B200" s="181" t="n"/>
      <c r="C200" s="181" t="n"/>
      <c r="D200" s="181" t="n"/>
      <c r="E200" s="181" t="n"/>
      <c r="F200" s="181" t="n"/>
      <c r="G200" s="181" t="n"/>
      <c r="H200" s="181" t="n"/>
      <c r="I200" s="181" t="n"/>
      <c r="J200" s="181" t="n"/>
      <c r="K200" s="181" t="n"/>
      <c r="L200" s="181" t="n"/>
      <c r="M200" s="181" t="n"/>
      <c r="N200" s="181" t="n"/>
      <c r="O200" s="181" t="n"/>
    </row>
  </sheetData>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9" customWidth="1" style="76" min="1" max="1"/>
    <col width="10.14000034332275" customWidth="1" style="76" min="2" max="2"/>
    <col width="73.29000091552734" customWidth="1" style="76" min="3" max="3"/>
  </cols>
  <sheetData>
    <row r="1">
      <c r="A1" t="inlineStr">
        <is>
          <t>action</t>
        </is>
      </c>
      <c r="B1" t="inlineStr">
        <is>
          <t>result</t>
        </is>
      </c>
      <c r="C1" t="inlineStr">
        <is>
          <t>note</t>
        </is>
      </c>
    </row>
    <row r="2">
      <c r="A2" t="inlineStr">
        <is>
          <t>adaptive replacement scan</t>
        </is>
      </c>
      <c r="B2" t="inlineStr">
        <is>
          <t>complete</t>
        </is>
      </c>
      <c r="C2" t="inlineStr">
        <is>
          <t>preferred stacks checked for safer same-goal same-type alternatives</t>
        </is>
      </c>
    </row>
    <row r="3">
      <c r="A3" t="inlineStr">
        <is>
          <t>replacement_found</t>
        </is>
      </c>
      <c r="B3" t="n">
        <v>13</v>
      </c>
      <c r="C3" t="inlineStr">
        <is>
          <t>concrete safer replacement exists</t>
        </is>
      </c>
    </row>
    <row r="4">
      <c r="A4" t="inlineStr">
        <is>
          <t>no_safer_replacement</t>
        </is>
      </c>
      <c r="B4" t="n">
        <v>6</v>
      </c>
      <c r="C4" t="inlineStr">
        <is>
          <t>current stack pool has no safer same-type alternative</t>
        </is>
      </c>
    </row>
  </sheetData>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U300"/>
  <sheetViews>
    <sheetView workbookViewId="0">
      <selection activeCell="A1" sqref="A1"/>
    </sheetView>
  </sheetViews>
  <sheetFormatPr baseColWidth="8" defaultRowHeight="15"/>
  <cols>
    <col width="14.43000030517578" customWidth="1" style="76" min="1" max="1"/>
    <col width="10.14000034332275" customWidth="1" style="76" min="2" max="2"/>
    <col width="7.570000171661377" customWidth="1" style="76" min="3" max="3"/>
    <col width="15.43000030517578" customWidth="1" style="76" min="4" max="4"/>
    <col width="8" customWidth="1" style="76" min="5" max="5"/>
    <col width="56.43000030517578" customWidth="1" style="76" min="6" max="6"/>
    <col width="16.13999938964844" customWidth="1" style="76" min="7" max="7"/>
    <col width="73.70999908447266" customWidth="1" style="76" min="8" max="8"/>
    <col width="70.13999938964844" customWidth="1" style="76" min="9" max="9"/>
    <col width="55.43000030517578" customWidth="1" style="76" min="10" max="10"/>
    <col width="14.85999965667725" customWidth="1" style="76" min="11" max="11"/>
    <col width="14.14000034332275" customWidth="1" style="76" min="12" max="12"/>
    <col width="11.43000030517578" customWidth="1" style="76" min="13" max="13"/>
    <col width="29.70999908447266" customWidth="1" style="76" min="14" max="14"/>
    <col width="0.05000000074505806" customWidth="1" style="76" min="15" max="15"/>
    <col width="14.43000030517578" customWidth="1" style="76" min="16" max="16"/>
    <col width="14.71000003814697" customWidth="1" style="76" min="17" max="17"/>
    <col width="18.43000030517578" customWidth="1" style="76" min="18" max="18"/>
    <col width="17.86000061035156" customWidth="1" style="76" min="19" max="19"/>
    <col width="19" customWidth="1" style="76" min="20" max="20"/>
    <col width="59.29000091552734" customWidth="1" style="76" min="21" max="21"/>
  </cols>
  <sheetData>
    <row r="1">
      <c r="A1" s="181" t="inlineStr">
        <is>
          <t>goal</t>
        </is>
      </c>
      <c r="B1" s="181" t="inlineStr">
        <is>
          <t>stackTier</t>
        </is>
      </c>
      <c r="C1" s="181" t="inlineStr">
        <is>
          <t>type</t>
        </is>
      </c>
      <c r="D1" s="181" t="inlineStr">
        <is>
          <t>preferredRank</t>
        </is>
      </c>
      <c r="E1" s="181" t="inlineStr">
        <is>
          <t>status</t>
        </is>
      </c>
      <c r="F1" s="181" t="inlineStr">
        <is>
          <t>preferredStack</t>
        </is>
      </c>
      <c r="G1" s="181" t="inlineStr">
        <is>
          <t>preferredScore</t>
        </is>
      </c>
      <c r="H1" s="181" t="inlineStr">
        <is>
          <t>whySelected</t>
        </is>
      </c>
      <c r="I1" s="181" t="inlineStr">
        <is>
          <t>cautionSummary</t>
        </is>
      </c>
      <c r="J1" s="181" t="inlineStr">
        <is>
          <t>saferFallback</t>
        </is>
      </c>
      <c r="K1" s="181" t="inlineStr">
        <is>
          <t>fallbackStatus</t>
        </is>
      </c>
      <c r="L1" s="181" t="inlineStr">
        <is>
          <t>fallbackScore</t>
        </is>
      </c>
      <c r="M1" s="181" t="inlineStr">
        <is>
          <t>scoreDelta</t>
        </is>
      </c>
      <c r="N1" s="181" t="inlineStr">
        <is>
          <t>frontendReadyLabel</t>
        </is>
      </c>
      <c r="O1" s="181" t="n"/>
      <c r="P1" s="181" t="inlineStr">
        <is>
          <t>goal</t>
        </is>
      </c>
      <c r="Q1" s="181" t="inlineStr">
        <is>
          <t>topSafeCount</t>
        </is>
      </c>
      <c r="R1" s="181" t="inlineStr">
        <is>
          <t>topCautionCount</t>
        </is>
      </c>
      <c r="S1" s="181" t="inlineStr">
        <is>
          <t>topReviewCount</t>
        </is>
      </c>
      <c r="T1" s="181" t="inlineStr">
        <is>
          <t>fallbacksAvailable</t>
        </is>
      </c>
      <c r="U1" s="181" t="inlineStr">
        <is>
          <t>notes</t>
        </is>
      </c>
    </row>
    <row r="2">
      <c r="A2" s="181" t="inlineStr">
        <is>
          <t>Sleep</t>
        </is>
      </c>
      <c r="B2" s="181" t="inlineStr">
        <is>
          <t>preferred</t>
        </is>
      </c>
      <c r="C2" s="181" t="inlineStr">
        <is>
          <t>2-stack</t>
        </is>
      </c>
      <c r="D2" s="181" t="n">
        <v>1</v>
      </c>
      <c r="E2" s="181" t="inlineStr">
        <is>
          <t>safe</t>
        </is>
      </c>
      <c r="F2" s="181" t="inlineStr">
        <is>
          <t>Rhodiola Rosea + Lemon Balm</t>
        </is>
      </c>
      <c r="G2" s="181" t="n">
        <v>26</v>
      </c>
      <c r="H2" s="181" t="inlineStr">
        <is>
          <t>No contraindication conflicts detected; prioritized as safest option.</t>
        </is>
      </c>
      <c r="I2" s="181" t="inlineStr">
        <is>
          <t>safer alternatives exist; weaker caution/review stacks suppressed</t>
        </is>
      </c>
      <c r="J2" s="181" t="inlineStr">
        <is>
          <t>No safer replacement currently available</t>
        </is>
      </c>
      <c r="K2" s="181" t="n"/>
      <c r="L2" s="181" t="n"/>
      <c r="M2" s="181" t="n"/>
      <c r="N2" s="181" t="inlineStr">
        <is>
          <t>Sleep | #1 | 2-stack</t>
        </is>
      </c>
      <c r="O2" s="181" t="n"/>
      <c r="P2" s="181" t="inlineStr">
        <is>
          <t>Sleep</t>
        </is>
      </c>
      <c r="Q2" s="181" t="n">
        <v>4</v>
      </c>
      <c r="R2" s="181" t="n">
        <v>0</v>
      </c>
      <c r="S2" s="181" t="n">
        <v>0</v>
      </c>
      <c r="T2" s="181" t="n">
        <v>0</v>
      </c>
      <c r="U2" s="181" t="inlineStr">
        <is>
          <t>Export-ready goal bundle for frontend/content handoff</t>
        </is>
      </c>
    </row>
    <row r="3">
      <c r="A3" s="181" t="inlineStr">
        <is>
          <t>Sleep</t>
        </is>
      </c>
      <c r="B3" s="181" t="inlineStr">
        <is>
          <t>preferred</t>
        </is>
      </c>
      <c r="C3" s="181" t="inlineStr">
        <is>
          <t>2-stack</t>
        </is>
      </c>
      <c r="D3" s="181" t="n">
        <v>2</v>
      </c>
      <c r="E3" s="181" t="inlineStr">
        <is>
          <t>safe</t>
        </is>
      </c>
      <c r="F3" s="181" t="inlineStr">
        <is>
          <t>Rhodiola Rosea + Holy Basil</t>
        </is>
      </c>
      <c r="G3" s="181" t="n">
        <v>23</v>
      </c>
      <c r="H3" s="181" t="inlineStr">
        <is>
          <t>No contraindication conflicts detected; prioritized as safest option.</t>
        </is>
      </c>
      <c r="I3" s="181" t="inlineStr">
        <is>
          <t>safer alternatives exist; weaker caution/review stacks suppressed</t>
        </is>
      </c>
      <c r="J3" s="181" t="inlineStr">
        <is>
          <t>No safer replacement currently available</t>
        </is>
      </c>
      <c r="K3" s="181" t="n"/>
      <c r="L3" s="181" t="n"/>
      <c r="M3" s="181" t="n"/>
      <c r="N3" s="181" t="inlineStr">
        <is>
          <t>Sleep | #2 | 2-stack</t>
        </is>
      </c>
      <c r="O3" s="181" t="n"/>
      <c r="P3" s="181" t="inlineStr">
        <is>
          <t>Inflammation</t>
        </is>
      </c>
      <c r="Q3" s="181" t="n">
        <v>0</v>
      </c>
      <c r="R3" s="181" t="n">
        <v>4</v>
      </c>
      <c r="S3" s="181" t="n">
        <v>0</v>
      </c>
      <c r="T3" s="181" t="n">
        <v>4</v>
      </c>
      <c r="U3" s="181" t="inlineStr">
        <is>
          <t>Export-ready goal bundle for frontend/content handoff</t>
        </is>
      </c>
    </row>
    <row r="4">
      <c r="A4" s="181" t="inlineStr">
        <is>
          <t>Sleep</t>
        </is>
      </c>
      <c r="B4" s="181" t="inlineStr">
        <is>
          <t>preferred</t>
        </is>
      </c>
      <c r="C4" s="181" t="inlineStr">
        <is>
          <t>3-stack</t>
        </is>
      </c>
      <c r="D4" s="181" t="n">
        <v>1</v>
      </c>
      <c r="E4" s="181" t="inlineStr">
        <is>
          <t>safe</t>
        </is>
      </c>
      <c r="F4" s="181" t="inlineStr">
        <is>
          <t>Rhodiola Rosea + Lemon Balm + Holy Basil</t>
        </is>
      </c>
      <c r="G4" s="181" t="n">
        <v>33</v>
      </c>
      <c r="H4" s="181" t="inlineStr">
        <is>
          <t>No contraindication conflicts detected; prioritized as safest option.</t>
        </is>
      </c>
      <c r="I4" s="181" t="inlineStr">
        <is>
          <t>safer alternatives exist; weaker caution/review stacks suppressed</t>
        </is>
      </c>
      <c r="J4" s="181" t="inlineStr">
        <is>
          <t>No safer replacement currently available</t>
        </is>
      </c>
      <c r="K4" s="181" t="n"/>
      <c r="L4" s="181" t="n"/>
      <c r="M4" s="181" t="n"/>
      <c r="N4" s="181" t="inlineStr">
        <is>
          <t>Sleep | #1 | 3-stack</t>
        </is>
      </c>
      <c r="O4" s="181" t="n"/>
      <c r="P4" s="181" t="inlineStr">
        <is>
          <t>Mood</t>
        </is>
      </c>
      <c r="Q4" s="181" t="n">
        <v>2</v>
      </c>
      <c r="R4" s="181" t="n">
        <v>3</v>
      </c>
      <c r="S4" s="181" t="n">
        <v>0</v>
      </c>
      <c r="T4" s="181" t="n">
        <v>3</v>
      </c>
      <c r="U4" s="181" t="inlineStr">
        <is>
          <t>Export-ready goal bundle for frontend/content handoff</t>
        </is>
      </c>
    </row>
    <row r="5">
      <c r="A5" s="181" t="inlineStr">
        <is>
          <t>Sleep</t>
        </is>
      </c>
      <c r="B5" s="181" t="inlineStr">
        <is>
          <t>preferred</t>
        </is>
      </c>
      <c r="C5" s="181" t="inlineStr">
        <is>
          <t>3-stack</t>
        </is>
      </c>
      <c r="D5" s="181" t="n">
        <v>2</v>
      </c>
      <c r="E5" s="181" t="inlineStr">
        <is>
          <t>safe</t>
        </is>
      </c>
      <c r="F5" s="181" t="inlineStr">
        <is>
          <t>Rhodiola Rosea + Lemon Balm + Echinacea Purpurea</t>
        </is>
      </c>
      <c r="G5" s="181" t="n">
        <v>32.25</v>
      </c>
      <c r="H5" s="181" t="inlineStr">
        <is>
          <t>No contraindication conflicts detected; prioritized as safest option.</t>
        </is>
      </c>
      <c r="I5" s="181" t="inlineStr">
        <is>
          <t>safer alternatives exist; weaker caution/review stacks suppressed</t>
        </is>
      </c>
      <c r="J5" s="181" t="inlineStr">
        <is>
          <t>No safer replacement currently available</t>
        </is>
      </c>
      <c r="K5" s="181" t="n"/>
      <c r="L5" s="181" t="n"/>
      <c r="M5" s="181" t="n"/>
      <c r="N5" s="181" t="inlineStr">
        <is>
          <t>Sleep | #2 | 3-stack</t>
        </is>
      </c>
      <c r="O5" s="181" t="n"/>
      <c r="P5" s="181" t="inlineStr">
        <is>
          <t>Liver</t>
        </is>
      </c>
      <c r="Q5" s="181" t="n">
        <v>0</v>
      </c>
      <c r="R5" s="181" t="n">
        <v>6</v>
      </c>
      <c r="S5" s="181" t="n">
        <v>0</v>
      </c>
      <c r="T5" s="181" t="n">
        <v>6</v>
      </c>
      <c r="U5" s="181" t="inlineStr">
        <is>
          <t>Export-ready goal bundle for frontend/content handoff</t>
        </is>
      </c>
    </row>
    <row r="6">
      <c r="A6" s="181" t="inlineStr">
        <is>
          <t>Inflammation</t>
        </is>
      </c>
      <c r="B6" s="181" t="inlineStr">
        <is>
          <t>preferred</t>
        </is>
      </c>
      <c r="C6" s="181" t="inlineStr">
        <is>
          <t>2-stack</t>
        </is>
      </c>
      <c r="D6" s="181" t="n">
        <v>1</v>
      </c>
      <c r="E6" s="181" t="inlineStr">
        <is>
          <t>caution</t>
        </is>
      </c>
      <c r="F6" s="181" t="inlineStr">
        <is>
          <t>Milk Thistle + Turmeric</t>
        </is>
      </c>
      <c r="G6" s="181" t="n">
        <v>30.5</v>
      </c>
      <c r="H6" s="181" t="inlineStr">
        <is>
          <t>Moderate risk present; retained due to lack of fully safe alternatives.</t>
        </is>
      </c>
      <c r="I6" s="181" t="inlineStr">
        <is>
          <t>no safe stacks available; best caution stacks retained</t>
        </is>
      </c>
      <c r="J6" s="181" t="inlineStr">
        <is>
          <t>Milk Thistle + Ginkgo Biloba</t>
        </is>
      </c>
      <c r="K6" s="181" t="inlineStr">
        <is>
          <t>review</t>
        </is>
      </c>
      <c r="L6" s="181" t="n">
        <v>33</v>
      </c>
      <c r="M6" s="181" t="n">
        <v>2.5</v>
      </c>
      <c r="N6" s="181" t="inlineStr">
        <is>
          <t>Inflammation | #1 | 2-stack</t>
        </is>
      </c>
      <c r="O6" s="181" t="n"/>
      <c r="P6" s="181" t="n"/>
      <c r="Q6" s="181" t="n"/>
      <c r="R6" s="181" t="n"/>
      <c r="S6" s="181" t="n"/>
      <c r="T6" s="181" t="n"/>
      <c r="U6" s="181" t="n"/>
    </row>
    <row r="7">
      <c r="A7" s="181" t="inlineStr">
        <is>
          <t>Inflammation</t>
        </is>
      </c>
      <c r="B7" s="181" t="inlineStr">
        <is>
          <t>preferred</t>
        </is>
      </c>
      <c r="C7" s="181" t="inlineStr">
        <is>
          <t>2-stack</t>
        </is>
      </c>
      <c r="D7" s="181" t="n">
        <v>2</v>
      </c>
      <c r="E7" s="181" t="inlineStr">
        <is>
          <t>caution</t>
        </is>
      </c>
      <c r="F7" s="181" t="inlineStr">
        <is>
          <t>Milk Thistle + Ashwagandha</t>
        </is>
      </c>
      <c r="G7" s="181" t="n">
        <v>28</v>
      </c>
      <c r="H7" s="181" t="inlineStr">
        <is>
          <t>Moderate risk present; retained due to lack of fully safe alternatives.</t>
        </is>
      </c>
      <c r="I7" s="181" t="inlineStr">
        <is>
          <t>no safe stacks available; best caution stacks retained</t>
        </is>
      </c>
      <c r="J7" s="181" t="inlineStr">
        <is>
          <t>Milk Thistle + Ginkgo Biloba</t>
        </is>
      </c>
      <c r="K7" s="181" t="inlineStr">
        <is>
          <t>review</t>
        </is>
      </c>
      <c r="L7" s="181" t="n">
        <v>33</v>
      </c>
      <c r="M7" s="181" t="n">
        <v>5</v>
      </c>
      <c r="N7" s="181" t="inlineStr">
        <is>
          <t>Inflammation | #2 | 2-stack</t>
        </is>
      </c>
      <c r="O7" s="181" t="n"/>
      <c r="P7" s="181" t="n"/>
      <c r="Q7" s="181" t="n"/>
      <c r="R7" s="181" t="n"/>
      <c r="S7" s="181" t="n"/>
      <c r="T7" s="181" t="n"/>
      <c r="U7" s="181" t="n"/>
    </row>
    <row r="8">
      <c r="A8" s="181" t="inlineStr">
        <is>
          <t>Inflammation</t>
        </is>
      </c>
      <c r="B8" s="181" t="inlineStr">
        <is>
          <t>preferred</t>
        </is>
      </c>
      <c r="C8" s="181" t="inlineStr">
        <is>
          <t>3-stack</t>
        </is>
      </c>
      <c r="D8" s="181" t="n">
        <v>1</v>
      </c>
      <c r="E8" s="181" t="inlineStr">
        <is>
          <t>caution</t>
        </is>
      </c>
      <c r="F8" s="181" t="inlineStr">
        <is>
          <t>Milk Thistle + Ginkgo Biloba + Turmeric</t>
        </is>
      </c>
      <c r="G8" s="181" t="n">
        <v>45</v>
      </c>
      <c r="H8" s="181" t="inlineStr">
        <is>
          <t>Moderate risk present; retained due to lack of fully safe alternatives.</t>
        </is>
      </c>
      <c r="I8" s="181" t="inlineStr">
        <is>
          <t>no safe stacks available; best caution stacks retained</t>
        </is>
      </c>
      <c r="J8" s="181" t="inlineStr">
        <is>
          <t>Milk Thistle + Ginkgo Biloba + Rhodiola Rosea</t>
        </is>
      </c>
      <c r="K8" s="181" t="inlineStr">
        <is>
          <t>review</t>
        </is>
      </c>
      <c r="L8" s="181" t="n">
        <v>46</v>
      </c>
      <c r="M8" s="181" t="n">
        <v>1</v>
      </c>
      <c r="N8" s="181" t="inlineStr">
        <is>
          <t>Inflammation | #1 | 3-stack</t>
        </is>
      </c>
      <c r="O8" s="181" t="n"/>
      <c r="P8" s="181" t="n"/>
      <c r="Q8" s="181" t="n"/>
      <c r="R8" s="181" t="n"/>
      <c r="S8" s="181" t="n"/>
      <c r="T8" s="181" t="n"/>
      <c r="U8" s="181" t="n"/>
    </row>
    <row r="9">
      <c r="A9" s="181" t="inlineStr">
        <is>
          <t>Inflammation</t>
        </is>
      </c>
      <c r="B9" s="181" t="inlineStr">
        <is>
          <t>preferred</t>
        </is>
      </c>
      <c r="C9" s="181" t="inlineStr">
        <is>
          <t>3-stack</t>
        </is>
      </c>
      <c r="D9" s="181" t="n">
        <v>2</v>
      </c>
      <c r="E9" s="181" t="inlineStr">
        <is>
          <t>caution</t>
        </is>
      </c>
      <c r="F9" s="181" t="inlineStr">
        <is>
          <t>Milk Thistle + Ginkgo Biloba + Ashwagandha</t>
        </is>
      </c>
      <c r="G9" s="181" t="n">
        <v>42.5</v>
      </c>
      <c r="H9" s="181" t="inlineStr">
        <is>
          <t>Moderate risk present; retained due to lack of fully safe alternatives.</t>
        </is>
      </c>
      <c r="I9" s="181" t="inlineStr">
        <is>
          <t>no safe stacks available; best caution stacks retained</t>
        </is>
      </c>
      <c r="J9" s="181" t="inlineStr">
        <is>
          <t>Milk Thistle + Ginkgo Biloba + Rhodiola Rosea</t>
        </is>
      </c>
      <c r="K9" s="181" t="inlineStr">
        <is>
          <t>review</t>
        </is>
      </c>
      <c r="L9" s="181" t="n">
        <v>46</v>
      </c>
      <c r="M9" s="181" t="n">
        <v>3.5</v>
      </c>
      <c r="N9" s="181" t="inlineStr">
        <is>
          <t>Inflammation | #2 | 3-stack</t>
        </is>
      </c>
      <c r="O9" s="181" t="n"/>
      <c r="P9" s="181" t="n"/>
      <c r="Q9" s="181" t="n"/>
      <c r="R9" s="181" t="n"/>
      <c r="S9" s="181" t="n"/>
      <c r="T9" s="181" t="n"/>
      <c r="U9" s="181" t="n"/>
    </row>
    <row r="10">
      <c r="A10" s="181" t="inlineStr">
        <is>
          <t>Mood</t>
        </is>
      </c>
      <c r="B10" s="181" t="inlineStr">
        <is>
          <t>preferred</t>
        </is>
      </c>
      <c r="C10" s="181" t="inlineStr">
        <is>
          <t>2-stack</t>
        </is>
      </c>
      <c r="D10" s="181" t="n">
        <v>1</v>
      </c>
      <c r="E10" s="181" t="inlineStr">
        <is>
          <t>safe</t>
        </is>
      </c>
      <c r="F10" s="181" t="inlineStr">
        <is>
          <t>Rhodiola Rosea + Echinacea Purpurea</t>
        </is>
      </c>
      <c r="G10" s="181" t="n">
        <v>25.25</v>
      </c>
      <c r="H10" s="181" t="inlineStr">
        <is>
          <t>No contraindication conflicts detected; prioritized as safest option.</t>
        </is>
      </c>
      <c r="I10" s="181" t="inlineStr">
        <is>
          <t>safer alternatives exist; weaker caution/review stacks suppressed</t>
        </is>
      </c>
      <c r="J10" s="181" t="inlineStr">
        <is>
          <t>No safer replacement currently available</t>
        </is>
      </c>
      <c r="K10" s="181" t="n"/>
      <c r="L10" s="181" t="n"/>
      <c r="M10" s="181" t="n"/>
      <c r="N10" s="181" t="inlineStr">
        <is>
          <t>Mood | #1 | 2-stack</t>
        </is>
      </c>
      <c r="O10" s="181" t="n"/>
      <c r="P10" s="181" t="n"/>
      <c r="Q10" s="181" t="n"/>
      <c r="R10" s="181" t="n"/>
      <c r="S10" s="181" t="n"/>
      <c r="T10" s="181" t="n"/>
      <c r="U10" s="181" t="n"/>
    </row>
    <row r="11">
      <c r="A11" s="181" t="inlineStr">
        <is>
          <t>Mood</t>
        </is>
      </c>
      <c r="B11" s="181" t="inlineStr">
        <is>
          <t>preferred</t>
        </is>
      </c>
      <c r="C11" s="181" t="inlineStr">
        <is>
          <t>2-stack</t>
        </is>
      </c>
      <c r="D11" s="181" t="n">
        <v>2</v>
      </c>
      <c r="E11" s="181" t="inlineStr">
        <is>
          <t>safe</t>
        </is>
      </c>
      <c r="F11" s="181" t="inlineStr">
        <is>
          <t>Rhodiola Rosea + Holy Basil</t>
        </is>
      </c>
      <c r="G11" s="181" t="n">
        <v>23</v>
      </c>
      <c r="H11" s="181" t="inlineStr">
        <is>
          <t>No contraindication conflicts detected; prioritized as safest option.</t>
        </is>
      </c>
      <c r="I11" s="181" t="inlineStr">
        <is>
          <t>safer alternatives exist; weaker caution/review stacks suppressed</t>
        </is>
      </c>
      <c r="J11" s="181" t="inlineStr">
        <is>
          <t>No safer replacement currently available</t>
        </is>
      </c>
      <c r="K11" s="181" t="n"/>
      <c r="L11" s="181" t="n"/>
      <c r="M11" s="181" t="n"/>
      <c r="N11" s="181" t="inlineStr">
        <is>
          <t>Mood | #2 | 2-stack</t>
        </is>
      </c>
      <c r="O11" s="181" t="n"/>
      <c r="P11" s="181" t="n"/>
      <c r="Q11" s="181" t="n"/>
      <c r="R11" s="181" t="n"/>
      <c r="S11" s="181" t="n"/>
      <c r="T11" s="181" t="n"/>
      <c r="U11" s="181" t="n"/>
    </row>
    <row r="12">
      <c r="A12" s="181" t="inlineStr">
        <is>
          <t>Mood</t>
        </is>
      </c>
      <c r="B12" s="181" t="inlineStr">
        <is>
          <t>preferred</t>
        </is>
      </c>
      <c r="C12" s="181" t="inlineStr">
        <is>
          <t>3-stack</t>
        </is>
      </c>
      <c r="D12" s="181" t="n">
        <v>1</v>
      </c>
      <c r="E12" s="181" t="inlineStr">
        <is>
          <t>caution</t>
        </is>
      </c>
      <c r="F12" s="181" t="inlineStr">
        <is>
          <t>Rhodiola Rosea + Milk Thistle + Ashwagandha</t>
        </is>
      </c>
      <c r="G12" s="181" t="n">
        <v>34.75</v>
      </c>
      <c r="H12" s="181" t="inlineStr">
        <is>
          <t>Moderate risk present; retained due to lack of fully safe alternatives.</t>
        </is>
      </c>
      <c r="I12" s="181" t="inlineStr">
        <is>
          <t>no safe stacks available; best caution stacks retained</t>
        </is>
      </c>
      <c r="J12" s="181" t="inlineStr">
        <is>
          <t>Rhodiola Rosea + Milk Thistle + Echinacea Purpurea</t>
        </is>
      </c>
      <c r="K12" s="181" t="inlineStr">
        <is>
          <t>review</t>
        </is>
      </c>
      <c r="L12" s="181" t="n">
        <v>34.5</v>
      </c>
      <c r="M12" s="181" t="n">
        <v>-0.25</v>
      </c>
      <c r="N12" s="181" t="inlineStr">
        <is>
          <t>Mood | #1 | 3-stack</t>
        </is>
      </c>
      <c r="O12" s="181" t="n"/>
      <c r="P12" s="181" t="n"/>
      <c r="Q12" s="181" t="n"/>
      <c r="R12" s="181" t="n"/>
      <c r="S12" s="181" t="n"/>
      <c r="T12" s="181" t="n"/>
      <c r="U12" s="181" t="n"/>
    </row>
    <row r="13">
      <c r="A13" s="181" t="inlineStr">
        <is>
          <t>Mood</t>
        </is>
      </c>
      <c r="B13" s="181" t="inlineStr">
        <is>
          <t>preferred</t>
        </is>
      </c>
      <c r="C13" s="181" t="inlineStr">
        <is>
          <t>3-stack</t>
        </is>
      </c>
      <c r="D13" s="181" t="n">
        <v>2</v>
      </c>
      <c r="E13" s="181" t="inlineStr">
        <is>
          <t>caution</t>
        </is>
      </c>
      <c r="F13" s="181" t="inlineStr">
        <is>
          <t>Rhodiola Rosea + Milk Thistle + Turmeric</t>
        </is>
      </c>
      <c r="G13" s="181" t="n">
        <v>32.25</v>
      </c>
      <c r="H13" s="181" t="inlineStr">
        <is>
          <t>Moderate risk present; retained due to lack of fully safe alternatives.</t>
        </is>
      </c>
      <c r="I13" s="181" t="inlineStr">
        <is>
          <t>no safe stacks available; best caution stacks retained</t>
        </is>
      </c>
      <c r="J13" s="181" t="inlineStr">
        <is>
          <t>Rhodiola Rosea + Milk Thistle + Echinacea Purpurea</t>
        </is>
      </c>
      <c r="K13" s="181" t="inlineStr">
        <is>
          <t>review</t>
        </is>
      </c>
      <c r="L13" s="181" t="n">
        <v>34.5</v>
      </c>
      <c r="M13" s="181" t="n">
        <v>2.25</v>
      </c>
      <c r="N13" s="181" t="inlineStr">
        <is>
          <t>Mood | #2 | 3-stack</t>
        </is>
      </c>
      <c r="O13" s="181" t="n"/>
      <c r="P13" s="181" t="n"/>
      <c r="Q13" s="181" t="n"/>
      <c r="R13" s="181" t="n"/>
      <c r="S13" s="181" t="n"/>
      <c r="T13" s="181" t="n"/>
      <c r="U13" s="181" t="n"/>
    </row>
    <row r="14">
      <c r="A14" s="181" t="inlineStr">
        <is>
          <t>Mood</t>
        </is>
      </c>
      <c r="B14" s="181" t="inlineStr">
        <is>
          <t>preferred</t>
        </is>
      </c>
      <c r="C14" s="181" t="inlineStr">
        <is>
          <t>3-stack</t>
        </is>
      </c>
      <c r="D14" s="181" t="n">
        <v>3</v>
      </c>
      <c r="E14" s="181" t="inlineStr">
        <is>
          <t>caution</t>
        </is>
      </c>
      <c r="F14" s="181" t="inlineStr">
        <is>
          <t>Rhodiola Rosea + Milk Thistle + Garlic</t>
        </is>
      </c>
      <c r="G14" s="181" t="n">
        <v>31.5</v>
      </c>
      <c r="H14" s="181" t="inlineStr">
        <is>
          <t>Moderate risk present; retained due to lack of fully safe alternatives.</t>
        </is>
      </c>
      <c r="I14" s="181" t="inlineStr">
        <is>
          <t>no safe stacks available; best caution stacks retained</t>
        </is>
      </c>
      <c r="J14" s="181" t="inlineStr">
        <is>
          <t>Rhodiola Rosea + Milk Thistle + Echinacea Purpurea</t>
        </is>
      </c>
      <c r="K14" s="181" t="inlineStr">
        <is>
          <t>review</t>
        </is>
      </c>
      <c r="L14" s="181" t="n">
        <v>34.5</v>
      </c>
      <c r="M14" s="181" t="n">
        <v>3</v>
      </c>
      <c r="N14" s="181" t="inlineStr">
        <is>
          <t>Mood | #3 | 3-stack</t>
        </is>
      </c>
      <c r="O14" s="181" t="n"/>
      <c r="P14" s="181" t="n"/>
      <c r="Q14" s="181" t="n"/>
      <c r="R14" s="181" t="n"/>
      <c r="S14" s="181" t="n"/>
      <c r="T14" s="181" t="n"/>
      <c r="U14" s="181" t="n"/>
    </row>
    <row r="15">
      <c r="A15" s="181" t="inlineStr">
        <is>
          <t>Liver</t>
        </is>
      </c>
      <c r="B15" s="181" t="inlineStr">
        <is>
          <t>preferred</t>
        </is>
      </c>
      <c r="C15" s="181" t="inlineStr">
        <is>
          <t>2-stack</t>
        </is>
      </c>
      <c r="D15" s="181" t="n">
        <v>1</v>
      </c>
      <c r="E15" s="181" t="inlineStr">
        <is>
          <t>caution</t>
        </is>
      </c>
      <c r="F15" s="181" t="inlineStr">
        <is>
          <t>Milk Thistle + Turmeric</t>
        </is>
      </c>
      <c r="G15" s="181" t="n">
        <v>24.5</v>
      </c>
      <c r="H15" s="181" t="inlineStr">
        <is>
          <t>Moderate risk present; retained due to lack of fully safe alternatives.</t>
        </is>
      </c>
      <c r="I15" s="181" t="inlineStr">
        <is>
          <t>no safe stacks available; best caution stacks retained</t>
        </is>
      </c>
      <c r="J15" s="181" t="inlineStr">
        <is>
          <t>Milk Thistle + Rhodiola Rosea</t>
        </is>
      </c>
      <c r="K15" s="181" t="inlineStr">
        <is>
          <t>review</t>
        </is>
      </c>
      <c r="L15" s="181" t="n">
        <v>25.5</v>
      </c>
      <c r="M15" s="181" t="n">
        <v>1</v>
      </c>
      <c r="N15" s="181" t="inlineStr">
        <is>
          <t>Liver | #1 | 2-stack</t>
        </is>
      </c>
      <c r="O15" s="181" t="n"/>
      <c r="P15" s="181" t="n"/>
      <c r="Q15" s="181" t="n"/>
      <c r="R15" s="181" t="n"/>
      <c r="S15" s="181" t="n"/>
      <c r="T15" s="181" t="n"/>
      <c r="U15" s="181" t="n"/>
    </row>
    <row r="16">
      <c r="A16" s="181" t="inlineStr">
        <is>
          <t>Liver</t>
        </is>
      </c>
      <c r="B16" s="181" t="inlineStr">
        <is>
          <t>preferred</t>
        </is>
      </c>
      <c r="C16" s="181" t="inlineStr">
        <is>
          <t>2-stack</t>
        </is>
      </c>
      <c r="D16" s="181" t="n">
        <v>2</v>
      </c>
      <c r="E16" s="181" t="inlineStr">
        <is>
          <t>caution</t>
        </is>
      </c>
      <c r="F16" s="181" t="inlineStr">
        <is>
          <t>Milk Thistle + Garlic</t>
        </is>
      </c>
      <c r="G16" s="181" t="n">
        <v>23.75</v>
      </c>
      <c r="H16" s="181" t="inlineStr">
        <is>
          <t>Moderate risk present; retained due to lack of fully safe alternatives.</t>
        </is>
      </c>
      <c r="I16" s="181" t="inlineStr">
        <is>
          <t>no safe stacks available; best caution stacks retained</t>
        </is>
      </c>
      <c r="J16" s="181" t="inlineStr">
        <is>
          <t>Milk Thistle + Rhodiola Rosea</t>
        </is>
      </c>
      <c r="K16" s="181" t="inlineStr">
        <is>
          <t>review</t>
        </is>
      </c>
      <c r="L16" s="181" t="n">
        <v>25.5</v>
      </c>
      <c r="M16" s="181" t="n">
        <v>1.75</v>
      </c>
      <c r="N16" s="181" t="inlineStr">
        <is>
          <t>Liver | #2 | 2-stack</t>
        </is>
      </c>
      <c r="O16" s="181" t="n"/>
      <c r="P16" s="181" t="n"/>
      <c r="Q16" s="181" t="n"/>
      <c r="R16" s="181" t="n"/>
      <c r="S16" s="181" t="n"/>
      <c r="T16" s="181" t="n"/>
      <c r="U16" s="181" t="n"/>
    </row>
    <row r="17">
      <c r="A17" s="181" t="inlineStr">
        <is>
          <t>Liver</t>
        </is>
      </c>
      <c r="B17" s="181" t="inlineStr">
        <is>
          <t>preferred</t>
        </is>
      </c>
      <c r="C17" s="181" t="inlineStr">
        <is>
          <t>2-stack</t>
        </is>
      </c>
      <c r="D17" s="181" t="n">
        <v>3</v>
      </c>
      <c r="E17" s="181" t="inlineStr">
        <is>
          <t>caution</t>
        </is>
      </c>
      <c r="F17" s="181" t="inlineStr">
        <is>
          <t>Milk Thistle + Ashwagandha</t>
        </is>
      </c>
      <c r="G17" s="181" t="n">
        <v>21</v>
      </c>
      <c r="H17" s="181" t="inlineStr">
        <is>
          <t>Moderate risk present; retained due to lack of fully safe alternatives.</t>
        </is>
      </c>
      <c r="I17" s="181" t="inlineStr">
        <is>
          <t>no safe stacks available; best caution stacks retained</t>
        </is>
      </c>
      <c r="J17" s="181" t="inlineStr">
        <is>
          <t>Milk Thistle + Rhodiola Rosea</t>
        </is>
      </c>
      <c r="K17" s="181" t="inlineStr">
        <is>
          <t>review</t>
        </is>
      </c>
      <c r="L17" s="181" t="n">
        <v>25.5</v>
      </c>
      <c r="M17" s="181" t="n">
        <v>4.5</v>
      </c>
      <c r="N17" s="181" t="inlineStr">
        <is>
          <t>Liver | #3 | 2-stack</t>
        </is>
      </c>
      <c r="O17" s="181" t="n"/>
      <c r="P17" s="181" t="n"/>
      <c r="Q17" s="181" t="n"/>
      <c r="R17" s="181" t="n"/>
      <c r="S17" s="181" t="n"/>
      <c r="T17" s="181" t="n"/>
      <c r="U17" s="181" t="n"/>
    </row>
    <row r="18">
      <c r="A18" s="181" t="inlineStr">
        <is>
          <t>Liver</t>
        </is>
      </c>
      <c r="B18" s="181" t="inlineStr">
        <is>
          <t>preferred</t>
        </is>
      </c>
      <c r="C18" s="181" t="inlineStr">
        <is>
          <t>3-stack</t>
        </is>
      </c>
      <c r="D18" s="181" t="n">
        <v>1</v>
      </c>
      <c r="E18" s="181" t="inlineStr">
        <is>
          <t>caution</t>
        </is>
      </c>
      <c r="F18" s="181" t="inlineStr">
        <is>
          <t>Milk Thistle + Rhodiola Rosea + Turmeric</t>
        </is>
      </c>
      <c r="G18" s="181" t="n">
        <v>35.5</v>
      </c>
      <c r="H18" s="181" t="inlineStr">
        <is>
          <t>Moderate risk present; retained due to lack of fully safe alternatives.</t>
        </is>
      </c>
      <c r="I18" s="181" t="inlineStr">
        <is>
          <t>no safe stacks available; best caution stacks retained</t>
        </is>
      </c>
      <c r="J18" s="181" t="inlineStr">
        <is>
          <t>Milk Thistle + Rhodiola Rosea + Echinacea Purpurea</t>
        </is>
      </c>
      <c r="K18" s="181" t="inlineStr">
        <is>
          <t>review</t>
        </is>
      </c>
      <c r="L18" s="181" t="n">
        <v>31.75</v>
      </c>
      <c r="M18" s="181" t="n">
        <v>-3.75</v>
      </c>
      <c r="N18" s="181" t="inlineStr">
        <is>
          <t>Liver | #1 | 3-stack</t>
        </is>
      </c>
      <c r="O18" s="181" t="n"/>
      <c r="P18" s="181" t="n"/>
      <c r="Q18" s="181" t="n"/>
      <c r="R18" s="181" t="n"/>
      <c r="S18" s="181" t="n"/>
      <c r="T18" s="181" t="n"/>
      <c r="U18" s="181" t="n"/>
    </row>
    <row r="19">
      <c r="A19" s="181" t="inlineStr">
        <is>
          <t>Liver</t>
        </is>
      </c>
      <c r="B19" s="181" t="inlineStr">
        <is>
          <t>preferred</t>
        </is>
      </c>
      <c r="C19" s="181" t="inlineStr">
        <is>
          <t>3-stack</t>
        </is>
      </c>
      <c r="D19" s="181" t="n">
        <v>2</v>
      </c>
      <c r="E19" s="181" t="inlineStr">
        <is>
          <t>caution</t>
        </is>
      </c>
      <c r="F19" s="181" t="inlineStr">
        <is>
          <t>Milk Thistle + Rhodiola Rosea + Garlic</t>
        </is>
      </c>
      <c r="G19" s="181" t="n">
        <v>34.75</v>
      </c>
      <c r="H19" s="181" t="inlineStr">
        <is>
          <t>Moderate risk present; retained due to lack of fully safe alternatives.</t>
        </is>
      </c>
      <c r="I19" s="181" t="inlineStr">
        <is>
          <t>no safe stacks available; best caution stacks retained</t>
        </is>
      </c>
      <c r="J19" s="181" t="inlineStr">
        <is>
          <t>Milk Thistle + Rhodiola Rosea + Echinacea Purpurea</t>
        </is>
      </c>
      <c r="K19" s="181" t="inlineStr">
        <is>
          <t>review</t>
        </is>
      </c>
      <c r="L19" s="181" t="n">
        <v>31.75</v>
      </c>
      <c r="M19" s="181" t="n">
        <v>-3</v>
      </c>
      <c r="N19" s="181" t="inlineStr">
        <is>
          <t>Liver | #2 | 3-stack</t>
        </is>
      </c>
      <c r="O19" s="181" t="n"/>
      <c r="P19" s="181" t="n"/>
      <c r="Q19" s="181" t="n"/>
      <c r="R19" s="181" t="n"/>
      <c r="S19" s="181" t="n"/>
      <c r="T19" s="181" t="n"/>
      <c r="U19" s="181" t="n"/>
    </row>
    <row r="20">
      <c r="A20" s="181" t="inlineStr">
        <is>
          <t>Liver</t>
        </is>
      </c>
      <c r="B20" s="181" t="inlineStr">
        <is>
          <t>preferred</t>
        </is>
      </c>
      <c r="C20" s="181" t="inlineStr">
        <is>
          <t>3-stack</t>
        </is>
      </c>
      <c r="D20" s="181" t="n">
        <v>3</v>
      </c>
      <c r="E20" s="181" t="inlineStr">
        <is>
          <t>caution</t>
        </is>
      </c>
      <c r="F20" s="181" t="inlineStr">
        <is>
          <t>Milk Thistle + Rhodiola Rosea + Ashwagandha</t>
        </is>
      </c>
      <c r="G20" s="181" t="n">
        <v>32</v>
      </c>
      <c r="H20" s="181" t="inlineStr">
        <is>
          <t>Moderate risk present; retained due to lack of fully safe alternatives.</t>
        </is>
      </c>
      <c r="I20" s="181" t="inlineStr">
        <is>
          <t>no safe stacks available; best caution stacks retained</t>
        </is>
      </c>
      <c r="J20" s="181" t="inlineStr">
        <is>
          <t>Milk Thistle + Rhodiola Rosea + Echinacea Purpurea</t>
        </is>
      </c>
      <c r="K20" s="181" t="inlineStr">
        <is>
          <t>review</t>
        </is>
      </c>
      <c r="L20" s="181" t="n">
        <v>31.75</v>
      </c>
      <c r="M20" s="181" t="n">
        <v>-0.25</v>
      </c>
      <c r="N20" s="181" t="inlineStr">
        <is>
          <t>Liver | #3 | 3-stack</t>
        </is>
      </c>
      <c r="O20" s="181" t="n"/>
      <c r="P20" s="181" t="n"/>
      <c r="Q20" s="181" t="n"/>
      <c r="R20" s="181" t="n"/>
      <c r="S20" s="181" t="n"/>
      <c r="T20" s="181" t="n"/>
      <c r="U20" s="181" t="n"/>
    </row>
    <row r="21">
      <c r="A21" s="181" t="n"/>
      <c r="B21" s="181" t="n"/>
      <c r="C21" s="181" t="n"/>
      <c r="D21" s="181" t="n"/>
      <c r="E21" s="181" t="n"/>
      <c r="F21" s="181" t="n"/>
      <c r="G21" s="181" t="n"/>
      <c r="H21" s="181" t="n"/>
      <c r="I21" s="181" t="n"/>
      <c r="J21" s="181" t="n"/>
      <c r="K21" s="181" t="n"/>
      <c r="L21" s="181" t="n"/>
      <c r="M21" s="181" t="n"/>
      <c r="N21" s="181" t="n"/>
      <c r="O21" s="181" t="n"/>
      <c r="P21" s="181" t="n"/>
      <c r="Q21" s="181" t="n"/>
      <c r="R21" s="181" t="n"/>
      <c r="S21" s="181" t="n"/>
      <c r="T21" s="181" t="n"/>
      <c r="U21" s="181" t="n"/>
    </row>
    <row r="22">
      <c r="A22" s="181" t="n"/>
      <c r="B22" s="181" t="n"/>
      <c r="C22" s="181" t="n"/>
      <c r="D22" s="181" t="n"/>
      <c r="E22" s="181" t="n"/>
      <c r="F22" s="181" t="n"/>
      <c r="G22" s="181" t="n"/>
      <c r="H22" s="181" t="n"/>
      <c r="I22" s="181" t="n"/>
      <c r="J22" s="181" t="n"/>
      <c r="K22" s="181" t="n"/>
      <c r="L22" s="181" t="n"/>
      <c r="M22" s="181" t="n"/>
      <c r="N22" s="181" t="n"/>
      <c r="O22" s="181" t="n"/>
      <c r="P22" s="181" t="n"/>
      <c r="Q22" s="181" t="n"/>
      <c r="R22" s="181" t="n"/>
      <c r="S22" s="181" t="n"/>
      <c r="T22" s="181" t="n"/>
      <c r="U22" s="181" t="n"/>
    </row>
    <row r="23">
      <c r="A23" s="181" t="n"/>
      <c r="B23" s="181" t="n"/>
      <c r="C23" s="181" t="n"/>
      <c r="D23" s="181" t="n"/>
      <c r="E23" s="181" t="n"/>
      <c r="F23" s="181" t="n"/>
      <c r="G23" s="181" t="n"/>
      <c r="H23" s="181" t="n"/>
      <c r="I23" s="181" t="n"/>
      <c r="J23" s="181" t="n"/>
      <c r="K23" s="181" t="n"/>
      <c r="L23" s="181" t="n"/>
      <c r="M23" s="181" t="n"/>
      <c r="N23" s="181" t="n"/>
      <c r="O23" s="181" t="n"/>
      <c r="P23" s="181" t="n"/>
      <c r="Q23" s="181" t="n"/>
      <c r="R23" s="181" t="n"/>
      <c r="S23" s="181" t="n"/>
      <c r="T23" s="181" t="n"/>
      <c r="U23" s="181" t="n"/>
    </row>
    <row r="24">
      <c r="A24" s="181" t="n"/>
      <c r="B24" s="181" t="n"/>
      <c r="C24" s="181" t="n"/>
      <c r="D24" s="181" t="n"/>
      <c r="E24" s="181" t="n"/>
      <c r="F24" s="181" t="n"/>
      <c r="G24" s="181" t="n"/>
      <c r="H24" s="181" t="n"/>
      <c r="I24" s="181" t="n"/>
      <c r="J24" s="181" t="n"/>
      <c r="K24" s="181" t="n"/>
      <c r="L24" s="181" t="n"/>
      <c r="M24" s="181" t="n"/>
      <c r="N24" s="181" t="n"/>
      <c r="O24" s="181" t="n"/>
      <c r="P24" s="181" t="n"/>
      <c r="Q24" s="181" t="n"/>
      <c r="R24" s="181" t="n"/>
      <c r="S24" s="181" t="n"/>
      <c r="T24" s="181" t="n"/>
      <c r="U24" s="181" t="n"/>
    </row>
    <row r="25">
      <c r="A25" s="181" t="n"/>
      <c r="B25" s="181" t="n"/>
      <c r="C25" s="181" t="n"/>
      <c r="D25" s="181" t="n"/>
      <c r="E25" s="181" t="n"/>
      <c r="F25" s="181" t="n"/>
      <c r="G25" s="181" t="n"/>
      <c r="H25" s="181" t="n"/>
      <c r="I25" s="181" t="n"/>
      <c r="J25" s="181" t="n"/>
      <c r="K25" s="181" t="n"/>
      <c r="L25" s="181" t="n"/>
      <c r="M25" s="181" t="n"/>
      <c r="N25" s="181" t="n"/>
      <c r="O25" s="181" t="n"/>
      <c r="P25" s="181" t="n"/>
      <c r="Q25" s="181" t="n"/>
      <c r="R25" s="181" t="n"/>
      <c r="S25" s="181" t="n"/>
      <c r="T25" s="181" t="n"/>
      <c r="U25" s="181" t="n"/>
    </row>
    <row r="26">
      <c r="A26" s="181" t="n"/>
      <c r="B26" s="181" t="n"/>
      <c r="C26" s="181" t="n"/>
      <c r="D26" s="181" t="n"/>
      <c r="E26" s="181" t="n"/>
      <c r="F26" s="181" t="n"/>
      <c r="G26" s="181" t="n"/>
      <c r="H26" s="181" t="n"/>
      <c r="I26" s="181" t="n"/>
      <c r="J26" s="181" t="n"/>
      <c r="K26" s="181" t="n"/>
      <c r="L26" s="181" t="n"/>
      <c r="M26" s="181" t="n"/>
      <c r="N26" s="181" t="n"/>
      <c r="O26" s="181" t="n"/>
      <c r="P26" s="181" t="n"/>
      <c r="Q26" s="181" t="n"/>
      <c r="R26" s="181" t="n"/>
      <c r="S26" s="181" t="n"/>
      <c r="T26" s="181" t="n"/>
      <c r="U26" s="181" t="n"/>
    </row>
    <row r="27">
      <c r="A27" s="181" t="n"/>
      <c r="B27" s="181" t="n"/>
      <c r="C27" s="181" t="n"/>
      <c r="D27" s="181" t="n"/>
      <c r="E27" s="181" t="n"/>
      <c r="F27" s="181" t="n"/>
      <c r="G27" s="181" t="n"/>
      <c r="H27" s="181" t="n"/>
      <c r="I27" s="181" t="n"/>
      <c r="J27" s="181" t="n"/>
      <c r="K27" s="181" t="n"/>
      <c r="L27" s="181" t="n"/>
      <c r="M27" s="181" t="n"/>
      <c r="N27" s="181" t="n"/>
      <c r="O27" s="181" t="n"/>
      <c r="P27" s="181" t="n"/>
      <c r="Q27" s="181" t="n"/>
      <c r="R27" s="181" t="n"/>
      <c r="S27" s="181" t="n"/>
      <c r="T27" s="181" t="n"/>
      <c r="U27" s="181" t="n"/>
    </row>
    <row r="28">
      <c r="A28" s="181" t="n"/>
      <c r="B28" s="181" t="n"/>
      <c r="C28" s="181" t="n"/>
      <c r="D28" s="181" t="n"/>
      <c r="E28" s="181" t="n"/>
      <c r="F28" s="181" t="n"/>
      <c r="G28" s="181" t="n"/>
      <c r="H28" s="181" t="n"/>
      <c r="I28" s="181" t="n"/>
      <c r="J28" s="181" t="n"/>
      <c r="K28" s="181" t="n"/>
      <c r="L28" s="181" t="n"/>
      <c r="M28" s="181" t="n"/>
      <c r="N28" s="181" t="n"/>
      <c r="O28" s="181" t="n"/>
      <c r="P28" s="181" t="n"/>
      <c r="Q28" s="181" t="n"/>
      <c r="R28" s="181" t="n"/>
      <c r="S28" s="181" t="n"/>
      <c r="T28" s="181" t="n"/>
      <c r="U28" s="181" t="n"/>
    </row>
    <row r="29">
      <c r="A29" s="181" t="n"/>
      <c r="B29" s="181" t="n"/>
      <c r="C29" s="181" t="n"/>
      <c r="D29" s="181" t="n"/>
      <c r="E29" s="181" t="n"/>
      <c r="F29" s="181" t="n"/>
      <c r="G29" s="181" t="n"/>
      <c r="H29" s="181" t="n"/>
      <c r="I29" s="181" t="n"/>
      <c r="J29" s="181" t="n"/>
      <c r="K29" s="181" t="n"/>
      <c r="L29" s="181" t="n"/>
      <c r="M29" s="181" t="n"/>
      <c r="N29" s="181" t="n"/>
      <c r="O29" s="181" t="n"/>
      <c r="P29" s="181" t="n"/>
      <c r="Q29" s="181" t="n"/>
      <c r="R29" s="181" t="n"/>
      <c r="S29" s="181" t="n"/>
      <c r="T29" s="181" t="n"/>
      <c r="U29" s="181" t="n"/>
    </row>
    <row r="30">
      <c r="A30" s="181" t="n"/>
      <c r="B30" s="181" t="n"/>
      <c r="C30" s="181" t="n"/>
      <c r="D30" s="181" t="n"/>
      <c r="E30" s="181" t="n"/>
      <c r="F30" s="181" t="n"/>
      <c r="G30" s="181" t="n"/>
      <c r="H30" s="181" t="n"/>
      <c r="I30" s="181" t="n"/>
      <c r="J30" s="181" t="n"/>
      <c r="K30" s="181" t="n"/>
      <c r="L30" s="181" t="n"/>
      <c r="M30" s="181" t="n"/>
      <c r="N30" s="181" t="n"/>
      <c r="O30" s="181" t="n"/>
      <c r="P30" s="181" t="n"/>
      <c r="Q30" s="181" t="n"/>
      <c r="R30" s="181" t="n"/>
      <c r="S30" s="181" t="n"/>
      <c r="T30" s="181" t="n"/>
      <c r="U30" s="181" t="n"/>
    </row>
    <row r="31">
      <c r="A31" s="181" t="n"/>
      <c r="B31" s="181" t="n"/>
      <c r="C31" s="181" t="n"/>
      <c r="D31" s="181" t="n"/>
      <c r="E31" s="181" t="n"/>
      <c r="F31" s="181" t="n"/>
      <c r="G31" s="181" t="n"/>
      <c r="H31" s="181" t="n"/>
      <c r="I31" s="181" t="n"/>
      <c r="J31" s="181" t="n"/>
      <c r="K31" s="181" t="n"/>
      <c r="L31" s="181" t="n"/>
      <c r="M31" s="181" t="n"/>
      <c r="N31" s="181" t="n"/>
      <c r="O31" s="181" t="n"/>
      <c r="P31" s="181" t="n"/>
      <c r="Q31" s="181" t="n"/>
      <c r="R31" s="181" t="n"/>
      <c r="S31" s="181" t="n"/>
      <c r="T31" s="181" t="n"/>
      <c r="U31" s="181" t="n"/>
    </row>
    <row r="32">
      <c r="A32" s="181" t="n"/>
      <c r="B32" s="181" t="n"/>
      <c r="C32" s="181" t="n"/>
      <c r="D32" s="181" t="n"/>
      <c r="E32" s="181" t="n"/>
      <c r="F32" s="181" t="n"/>
      <c r="G32" s="181" t="n"/>
      <c r="H32" s="181" t="n"/>
      <c r="I32" s="181" t="n"/>
      <c r="J32" s="181" t="n"/>
      <c r="K32" s="181" t="n"/>
      <c r="L32" s="181" t="n"/>
      <c r="M32" s="181" t="n"/>
      <c r="N32" s="181" t="n"/>
      <c r="O32" s="181" t="n"/>
      <c r="P32" s="181" t="n"/>
      <c r="Q32" s="181" t="n"/>
      <c r="R32" s="181" t="n"/>
      <c r="S32" s="181" t="n"/>
      <c r="T32" s="181" t="n"/>
      <c r="U32" s="181" t="n"/>
    </row>
    <row r="33">
      <c r="A33" s="181" t="n"/>
      <c r="B33" s="181" t="n"/>
      <c r="C33" s="181" t="n"/>
      <c r="D33" s="181" t="n"/>
      <c r="E33" s="181" t="n"/>
      <c r="F33" s="181" t="n"/>
      <c r="G33" s="181" t="n"/>
      <c r="H33" s="181" t="n"/>
      <c r="I33" s="181" t="n"/>
      <c r="J33" s="181" t="n"/>
      <c r="K33" s="181" t="n"/>
      <c r="L33" s="181" t="n"/>
      <c r="M33" s="181" t="n"/>
      <c r="N33" s="181" t="n"/>
      <c r="O33" s="181" t="n"/>
      <c r="P33" s="181" t="n"/>
      <c r="Q33" s="181" t="n"/>
      <c r="R33" s="181" t="n"/>
      <c r="S33" s="181" t="n"/>
      <c r="T33" s="181" t="n"/>
      <c r="U33" s="181" t="n"/>
    </row>
    <row r="34">
      <c r="A34" s="181" t="n"/>
      <c r="B34" s="181" t="n"/>
      <c r="C34" s="181" t="n"/>
      <c r="D34" s="181" t="n"/>
      <c r="E34" s="181" t="n"/>
      <c r="F34" s="181" t="n"/>
      <c r="G34" s="181" t="n"/>
      <c r="H34" s="181" t="n"/>
      <c r="I34" s="181" t="n"/>
      <c r="J34" s="181" t="n"/>
      <c r="K34" s="181" t="n"/>
      <c r="L34" s="181" t="n"/>
      <c r="M34" s="181" t="n"/>
      <c r="N34" s="181" t="n"/>
      <c r="O34" s="181" t="n"/>
      <c r="P34" s="181" t="n"/>
      <c r="Q34" s="181" t="n"/>
      <c r="R34" s="181" t="n"/>
      <c r="S34" s="181" t="n"/>
      <c r="T34" s="181" t="n"/>
      <c r="U34" s="181" t="n"/>
    </row>
    <row r="35">
      <c r="A35" s="181" t="n"/>
      <c r="B35" s="181" t="n"/>
      <c r="C35" s="181" t="n"/>
      <c r="D35" s="181" t="n"/>
      <c r="E35" s="181" t="n"/>
      <c r="F35" s="181" t="n"/>
      <c r="G35" s="181" t="n"/>
      <c r="H35" s="181" t="n"/>
      <c r="I35" s="181" t="n"/>
      <c r="J35" s="181" t="n"/>
      <c r="K35" s="181" t="n"/>
      <c r="L35" s="181" t="n"/>
      <c r="M35" s="181" t="n"/>
      <c r="N35" s="181" t="n"/>
      <c r="O35" s="181" t="n"/>
      <c r="P35" s="181" t="n"/>
      <c r="Q35" s="181" t="n"/>
      <c r="R35" s="181" t="n"/>
      <c r="S35" s="181" t="n"/>
      <c r="T35" s="181" t="n"/>
      <c r="U35" s="181" t="n"/>
    </row>
    <row r="36">
      <c r="A36" s="181" t="n"/>
      <c r="B36" s="181" t="n"/>
      <c r="C36" s="181" t="n"/>
      <c r="D36" s="181" t="n"/>
      <c r="E36" s="181" t="n"/>
      <c r="F36" s="181" t="n"/>
      <c r="G36" s="181" t="n"/>
      <c r="H36" s="181" t="n"/>
      <c r="I36" s="181" t="n"/>
      <c r="J36" s="181" t="n"/>
      <c r="K36" s="181" t="n"/>
      <c r="L36" s="181" t="n"/>
      <c r="M36" s="181" t="n"/>
      <c r="N36" s="181" t="n"/>
      <c r="O36" s="181" t="n"/>
      <c r="P36" s="181" t="n"/>
      <c r="Q36" s="181" t="n"/>
      <c r="R36" s="181" t="n"/>
      <c r="S36" s="181" t="n"/>
      <c r="T36" s="181" t="n"/>
      <c r="U36" s="181" t="n"/>
    </row>
    <row r="37">
      <c r="A37" s="181" t="n"/>
      <c r="B37" s="181" t="n"/>
      <c r="C37" s="181" t="n"/>
      <c r="D37" s="181" t="n"/>
      <c r="E37" s="181" t="n"/>
      <c r="F37" s="181" t="n"/>
      <c r="G37" s="181" t="n"/>
      <c r="H37" s="181" t="n"/>
      <c r="I37" s="181" t="n"/>
      <c r="J37" s="181" t="n"/>
      <c r="K37" s="181" t="n"/>
      <c r="L37" s="181" t="n"/>
      <c r="M37" s="181" t="n"/>
      <c r="N37" s="181" t="n"/>
      <c r="O37" s="181" t="n"/>
      <c r="P37" s="181" t="n"/>
      <c r="Q37" s="181" t="n"/>
      <c r="R37" s="181" t="n"/>
      <c r="S37" s="181" t="n"/>
      <c r="T37" s="181" t="n"/>
      <c r="U37" s="181" t="n"/>
    </row>
    <row r="38">
      <c r="A38" s="181" t="n"/>
      <c r="B38" s="181" t="n"/>
      <c r="C38" s="181" t="n"/>
      <c r="D38" s="181" t="n"/>
      <c r="E38" s="181" t="n"/>
      <c r="F38" s="181" t="n"/>
      <c r="G38" s="181" t="n"/>
      <c r="H38" s="181" t="n"/>
      <c r="I38" s="181" t="n"/>
      <c r="J38" s="181" t="n"/>
      <c r="K38" s="181" t="n"/>
      <c r="L38" s="181" t="n"/>
      <c r="M38" s="181" t="n"/>
      <c r="N38" s="181" t="n"/>
      <c r="O38" s="181" t="n"/>
      <c r="P38" s="181" t="n"/>
      <c r="Q38" s="181" t="n"/>
      <c r="R38" s="181" t="n"/>
      <c r="S38" s="181" t="n"/>
      <c r="T38" s="181" t="n"/>
      <c r="U38" s="181" t="n"/>
    </row>
    <row r="39">
      <c r="A39" s="181" t="n"/>
      <c r="B39" s="181" t="n"/>
      <c r="C39" s="181" t="n"/>
      <c r="D39" s="181" t="n"/>
      <c r="E39" s="181" t="n"/>
      <c r="F39" s="181" t="n"/>
      <c r="G39" s="181" t="n"/>
      <c r="H39" s="181" t="n"/>
      <c r="I39" s="181" t="n"/>
      <c r="J39" s="181" t="n"/>
      <c r="K39" s="181" t="n"/>
      <c r="L39" s="181" t="n"/>
      <c r="M39" s="181" t="n"/>
      <c r="N39" s="181" t="n"/>
      <c r="O39" s="181" t="n"/>
      <c r="P39" s="181" t="n"/>
      <c r="Q39" s="181" t="n"/>
      <c r="R39" s="181" t="n"/>
      <c r="S39" s="181" t="n"/>
      <c r="T39" s="181" t="n"/>
      <c r="U39" s="181" t="n"/>
    </row>
    <row r="40">
      <c r="A40" s="181" t="n"/>
      <c r="B40" s="181" t="n"/>
      <c r="C40" s="181" t="n"/>
      <c r="D40" s="181" t="n"/>
      <c r="E40" s="181" t="n"/>
      <c r="F40" s="181" t="n"/>
      <c r="G40" s="181" t="n"/>
      <c r="H40" s="181" t="n"/>
      <c r="I40" s="181" t="n"/>
      <c r="J40" s="181" t="n"/>
      <c r="K40" s="181" t="n"/>
      <c r="L40" s="181" t="n"/>
      <c r="M40" s="181" t="n"/>
      <c r="N40" s="181" t="n"/>
      <c r="O40" s="181" t="n"/>
      <c r="P40" s="181" t="n"/>
      <c r="Q40" s="181" t="n"/>
      <c r="R40" s="181" t="n"/>
      <c r="S40" s="181" t="n"/>
      <c r="T40" s="181" t="n"/>
      <c r="U40" s="181" t="n"/>
    </row>
    <row r="41">
      <c r="A41" s="181" t="n"/>
      <c r="B41" s="181" t="n"/>
      <c r="C41" s="181" t="n"/>
      <c r="D41" s="181" t="n"/>
      <c r="E41" s="181" t="n"/>
      <c r="F41" s="181" t="n"/>
      <c r="G41" s="181" t="n"/>
      <c r="H41" s="181" t="n"/>
      <c r="I41" s="181" t="n"/>
      <c r="J41" s="181" t="n"/>
      <c r="K41" s="181" t="n"/>
      <c r="L41" s="181" t="n"/>
      <c r="M41" s="181" t="n"/>
      <c r="N41" s="181" t="n"/>
      <c r="O41" s="181" t="n"/>
      <c r="P41" s="181" t="n"/>
      <c r="Q41" s="181" t="n"/>
      <c r="R41" s="181" t="n"/>
      <c r="S41" s="181" t="n"/>
      <c r="T41" s="181" t="n"/>
      <c r="U41" s="181" t="n"/>
    </row>
    <row r="42">
      <c r="A42" s="181" t="n"/>
      <c r="B42" s="181" t="n"/>
      <c r="C42" s="181" t="n"/>
      <c r="D42" s="181" t="n"/>
      <c r="E42" s="181" t="n"/>
      <c r="F42" s="181" t="n"/>
      <c r="G42" s="181" t="n"/>
      <c r="H42" s="181" t="n"/>
      <c r="I42" s="181" t="n"/>
      <c r="J42" s="181" t="n"/>
      <c r="K42" s="181" t="n"/>
      <c r="L42" s="181" t="n"/>
      <c r="M42" s="181" t="n"/>
      <c r="N42" s="181" t="n"/>
      <c r="O42" s="181" t="n"/>
      <c r="P42" s="181" t="n"/>
      <c r="Q42" s="181" t="n"/>
      <c r="R42" s="181" t="n"/>
      <c r="S42" s="181" t="n"/>
      <c r="T42" s="181" t="n"/>
      <c r="U42" s="181" t="n"/>
    </row>
    <row r="43">
      <c r="A43" s="181" t="n"/>
      <c r="B43" s="181" t="n"/>
      <c r="C43" s="181" t="n"/>
      <c r="D43" s="181" t="n"/>
      <c r="E43" s="181" t="n"/>
      <c r="F43" s="181" t="n"/>
      <c r="G43" s="181" t="n"/>
      <c r="H43" s="181" t="n"/>
      <c r="I43" s="181" t="n"/>
      <c r="J43" s="181" t="n"/>
      <c r="K43" s="181" t="n"/>
      <c r="L43" s="181" t="n"/>
      <c r="M43" s="181" t="n"/>
      <c r="N43" s="181" t="n"/>
      <c r="O43" s="181" t="n"/>
      <c r="P43" s="181" t="n"/>
      <c r="Q43" s="181" t="n"/>
      <c r="R43" s="181" t="n"/>
      <c r="S43" s="181" t="n"/>
      <c r="T43" s="181" t="n"/>
      <c r="U43" s="181" t="n"/>
    </row>
    <row r="44">
      <c r="A44" s="181" t="n"/>
      <c r="B44" s="181" t="n"/>
      <c r="C44" s="181" t="n"/>
      <c r="D44" s="181" t="n"/>
      <c r="E44" s="181" t="n"/>
      <c r="F44" s="181" t="n"/>
      <c r="G44" s="181" t="n"/>
      <c r="H44" s="181" t="n"/>
      <c r="I44" s="181" t="n"/>
      <c r="J44" s="181" t="n"/>
      <c r="K44" s="181" t="n"/>
      <c r="L44" s="181" t="n"/>
      <c r="M44" s="181" t="n"/>
      <c r="N44" s="181" t="n"/>
      <c r="O44" s="181" t="n"/>
      <c r="P44" s="181" t="n"/>
      <c r="Q44" s="181" t="n"/>
      <c r="R44" s="181" t="n"/>
      <c r="S44" s="181" t="n"/>
      <c r="T44" s="181" t="n"/>
      <c r="U44" s="181" t="n"/>
    </row>
    <row r="45">
      <c r="A45" s="181" t="n"/>
      <c r="B45" s="181" t="n"/>
      <c r="C45" s="181" t="n"/>
      <c r="D45" s="181" t="n"/>
      <c r="E45" s="181" t="n"/>
      <c r="F45" s="181" t="n"/>
      <c r="G45" s="181" t="n"/>
      <c r="H45" s="181" t="n"/>
      <c r="I45" s="181" t="n"/>
      <c r="J45" s="181" t="n"/>
      <c r="K45" s="181" t="n"/>
      <c r="L45" s="181" t="n"/>
      <c r="M45" s="181" t="n"/>
      <c r="N45" s="181" t="n"/>
      <c r="O45" s="181" t="n"/>
      <c r="P45" s="181" t="n"/>
      <c r="Q45" s="181" t="n"/>
      <c r="R45" s="181" t="n"/>
      <c r="S45" s="181" t="n"/>
      <c r="T45" s="181" t="n"/>
      <c r="U45" s="181" t="n"/>
    </row>
    <row r="46">
      <c r="A46" s="181" t="n"/>
      <c r="B46" s="181" t="n"/>
      <c r="C46" s="181" t="n"/>
      <c r="D46" s="181" t="n"/>
      <c r="E46" s="181" t="n"/>
      <c r="F46" s="181" t="n"/>
      <c r="G46" s="181" t="n"/>
      <c r="H46" s="181" t="n"/>
      <c r="I46" s="181" t="n"/>
      <c r="J46" s="181" t="n"/>
      <c r="K46" s="181" t="n"/>
      <c r="L46" s="181" t="n"/>
      <c r="M46" s="181" t="n"/>
      <c r="N46" s="181" t="n"/>
      <c r="O46" s="181" t="n"/>
      <c r="P46" s="181" t="n"/>
      <c r="Q46" s="181" t="n"/>
      <c r="R46" s="181" t="n"/>
      <c r="S46" s="181" t="n"/>
      <c r="T46" s="181" t="n"/>
      <c r="U46" s="181" t="n"/>
    </row>
    <row r="47">
      <c r="A47" s="181" t="n"/>
      <c r="B47" s="181" t="n"/>
      <c r="C47" s="181" t="n"/>
      <c r="D47" s="181" t="n"/>
      <c r="E47" s="181" t="n"/>
      <c r="F47" s="181" t="n"/>
      <c r="G47" s="181" t="n"/>
      <c r="H47" s="181" t="n"/>
      <c r="I47" s="181" t="n"/>
      <c r="J47" s="181" t="n"/>
      <c r="K47" s="181" t="n"/>
      <c r="L47" s="181" t="n"/>
      <c r="M47" s="181" t="n"/>
      <c r="N47" s="181" t="n"/>
      <c r="O47" s="181" t="n"/>
      <c r="P47" s="181" t="n"/>
      <c r="Q47" s="181" t="n"/>
      <c r="R47" s="181" t="n"/>
      <c r="S47" s="181" t="n"/>
      <c r="T47" s="181" t="n"/>
      <c r="U47" s="181" t="n"/>
    </row>
    <row r="48">
      <c r="A48" s="181" t="n"/>
      <c r="B48" s="181" t="n"/>
      <c r="C48" s="181" t="n"/>
      <c r="D48" s="181" t="n"/>
      <c r="E48" s="181" t="n"/>
      <c r="F48" s="181" t="n"/>
      <c r="G48" s="181" t="n"/>
      <c r="H48" s="181" t="n"/>
      <c r="I48" s="181" t="n"/>
      <c r="J48" s="181" t="n"/>
      <c r="K48" s="181" t="n"/>
      <c r="L48" s="181" t="n"/>
      <c r="M48" s="181" t="n"/>
      <c r="N48" s="181" t="n"/>
      <c r="O48" s="181" t="n"/>
      <c r="P48" s="181" t="n"/>
      <c r="Q48" s="181" t="n"/>
      <c r="R48" s="181" t="n"/>
      <c r="S48" s="181" t="n"/>
      <c r="T48" s="181" t="n"/>
      <c r="U48" s="181" t="n"/>
    </row>
    <row r="49">
      <c r="A49" s="181" t="n"/>
      <c r="B49" s="181" t="n"/>
      <c r="C49" s="181" t="n"/>
      <c r="D49" s="181" t="n"/>
      <c r="E49" s="181" t="n"/>
      <c r="F49" s="181" t="n"/>
      <c r="G49" s="181" t="n"/>
      <c r="H49" s="181" t="n"/>
      <c r="I49" s="181" t="n"/>
      <c r="J49" s="181" t="n"/>
      <c r="K49" s="181" t="n"/>
      <c r="L49" s="181" t="n"/>
      <c r="M49" s="181" t="n"/>
      <c r="N49" s="181" t="n"/>
      <c r="O49" s="181" t="n"/>
      <c r="P49" s="181" t="n"/>
      <c r="Q49" s="181" t="n"/>
      <c r="R49" s="181" t="n"/>
      <c r="S49" s="181" t="n"/>
      <c r="T49" s="181" t="n"/>
      <c r="U49" s="181" t="n"/>
    </row>
    <row r="50">
      <c r="A50" s="181" t="n"/>
      <c r="B50" s="181" t="n"/>
      <c r="C50" s="181" t="n"/>
      <c r="D50" s="181" t="n"/>
      <c r="E50" s="181" t="n"/>
      <c r="F50" s="181" t="n"/>
      <c r="G50" s="181" t="n"/>
      <c r="H50" s="181" t="n"/>
      <c r="I50" s="181" t="n"/>
      <c r="J50" s="181" t="n"/>
      <c r="K50" s="181" t="n"/>
      <c r="L50" s="181" t="n"/>
      <c r="M50" s="181" t="n"/>
      <c r="N50" s="181" t="n"/>
      <c r="O50" s="181" t="n"/>
      <c r="P50" s="181" t="n"/>
      <c r="Q50" s="181" t="n"/>
      <c r="R50" s="181" t="n"/>
      <c r="S50" s="181" t="n"/>
      <c r="T50" s="181" t="n"/>
      <c r="U50" s="181" t="n"/>
    </row>
    <row r="51">
      <c r="A51" s="181" t="n"/>
      <c r="B51" s="181" t="n"/>
      <c r="C51" s="181" t="n"/>
      <c r="D51" s="181" t="n"/>
      <c r="E51" s="181" t="n"/>
      <c r="F51" s="181" t="n"/>
      <c r="G51" s="181" t="n"/>
      <c r="H51" s="181" t="n"/>
      <c r="I51" s="181" t="n"/>
      <c r="J51" s="181" t="n"/>
      <c r="K51" s="181" t="n"/>
      <c r="L51" s="181" t="n"/>
      <c r="M51" s="181" t="n"/>
      <c r="N51" s="181" t="n"/>
      <c r="O51" s="181" t="n"/>
      <c r="P51" s="181" t="n"/>
      <c r="Q51" s="181" t="n"/>
      <c r="R51" s="181" t="n"/>
      <c r="S51" s="181" t="n"/>
      <c r="T51" s="181" t="n"/>
      <c r="U51" s="181" t="n"/>
    </row>
    <row r="52">
      <c r="A52" s="181" t="n"/>
      <c r="B52" s="181" t="n"/>
      <c r="C52" s="181" t="n"/>
      <c r="D52" s="181" t="n"/>
      <c r="E52" s="181" t="n"/>
      <c r="F52" s="181" t="n"/>
      <c r="G52" s="181" t="n"/>
      <c r="H52" s="181" t="n"/>
      <c r="I52" s="181" t="n"/>
      <c r="J52" s="181" t="n"/>
      <c r="K52" s="181" t="n"/>
      <c r="L52" s="181" t="n"/>
      <c r="M52" s="181" t="n"/>
      <c r="N52" s="181" t="n"/>
      <c r="O52" s="181" t="n"/>
      <c r="P52" s="181" t="n"/>
      <c r="Q52" s="181" t="n"/>
      <c r="R52" s="181" t="n"/>
      <c r="S52" s="181" t="n"/>
      <c r="T52" s="181" t="n"/>
      <c r="U52" s="181" t="n"/>
    </row>
    <row r="53">
      <c r="A53" s="181" t="n"/>
      <c r="B53" s="181" t="n"/>
      <c r="C53" s="181" t="n"/>
      <c r="D53" s="181" t="n"/>
      <c r="E53" s="181" t="n"/>
      <c r="F53" s="181" t="n"/>
      <c r="G53" s="181" t="n"/>
      <c r="H53" s="181" t="n"/>
      <c r="I53" s="181" t="n"/>
      <c r="J53" s="181" t="n"/>
      <c r="K53" s="181" t="n"/>
      <c r="L53" s="181" t="n"/>
      <c r="M53" s="181" t="n"/>
      <c r="N53" s="181" t="n"/>
      <c r="O53" s="181" t="n"/>
      <c r="P53" s="181" t="n"/>
      <c r="Q53" s="181" t="n"/>
      <c r="R53" s="181" t="n"/>
      <c r="S53" s="181" t="n"/>
      <c r="T53" s="181" t="n"/>
      <c r="U53" s="181" t="n"/>
    </row>
    <row r="54">
      <c r="A54" s="181" t="n"/>
      <c r="B54" s="181" t="n"/>
      <c r="C54" s="181" t="n"/>
      <c r="D54" s="181" t="n"/>
      <c r="E54" s="181" t="n"/>
      <c r="F54" s="181" t="n"/>
      <c r="G54" s="181" t="n"/>
      <c r="H54" s="181" t="n"/>
      <c r="I54" s="181" t="n"/>
      <c r="J54" s="181" t="n"/>
      <c r="K54" s="181" t="n"/>
      <c r="L54" s="181" t="n"/>
      <c r="M54" s="181" t="n"/>
      <c r="N54" s="181" t="n"/>
      <c r="O54" s="181" t="n"/>
      <c r="P54" s="181" t="n"/>
      <c r="Q54" s="181" t="n"/>
      <c r="R54" s="181" t="n"/>
      <c r="S54" s="181" t="n"/>
      <c r="T54" s="181" t="n"/>
      <c r="U54" s="181" t="n"/>
    </row>
    <row r="55">
      <c r="A55" s="181" t="n"/>
      <c r="B55" s="181" t="n"/>
      <c r="C55" s="181" t="n"/>
      <c r="D55" s="181" t="n"/>
      <c r="E55" s="181" t="n"/>
      <c r="F55" s="181" t="n"/>
      <c r="G55" s="181" t="n"/>
      <c r="H55" s="181" t="n"/>
      <c r="I55" s="181" t="n"/>
      <c r="J55" s="181" t="n"/>
      <c r="K55" s="181" t="n"/>
      <c r="L55" s="181" t="n"/>
      <c r="M55" s="181" t="n"/>
      <c r="N55" s="181" t="n"/>
      <c r="O55" s="181" t="n"/>
      <c r="P55" s="181" t="n"/>
      <c r="Q55" s="181" t="n"/>
      <c r="R55" s="181" t="n"/>
      <c r="S55" s="181" t="n"/>
      <c r="T55" s="181" t="n"/>
      <c r="U55" s="181" t="n"/>
    </row>
    <row r="56">
      <c r="A56" s="181" t="n"/>
      <c r="B56" s="181" t="n"/>
      <c r="C56" s="181" t="n"/>
      <c r="D56" s="181" t="n"/>
      <c r="E56" s="181" t="n"/>
      <c r="F56" s="181" t="n"/>
      <c r="G56" s="181" t="n"/>
      <c r="H56" s="181" t="n"/>
      <c r="I56" s="181" t="n"/>
      <c r="J56" s="181" t="n"/>
      <c r="K56" s="181" t="n"/>
      <c r="L56" s="181" t="n"/>
      <c r="M56" s="181" t="n"/>
      <c r="N56" s="181" t="n"/>
      <c r="O56" s="181" t="n"/>
      <c r="P56" s="181" t="n"/>
      <c r="Q56" s="181" t="n"/>
      <c r="R56" s="181" t="n"/>
      <c r="S56" s="181" t="n"/>
      <c r="T56" s="181" t="n"/>
      <c r="U56" s="181" t="n"/>
    </row>
    <row r="57">
      <c r="A57" s="181" t="n"/>
      <c r="B57" s="181" t="n"/>
      <c r="C57" s="181" t="n"/>
      <c r="D57" s="181" t="n"/>
      <c r="E57" s="181" t="n"/>
      <c r="F57" s="181" t="n"/>
      <c r="G57" s="181" t="n"/>
      <c r="H57" s="181" t="n"/>
      <c r="I57" s="181" t="n"/>
      <c r="J57" s="181" t="n"/>
      <c r="K57" s="181" t="n"/>
      <c r="L57" s="181" t="n"/>
      <c r="M57" s="181" t="n"/>
      <c r="N57" s="181" t="n"/>
      <c r="O57" s="181" t="n"/>
      <c r="P57" s="181" t="n"/>
      <c r="Q57" s="181" t="n"/>
      <c r="R57" s="181" t="n"/>
      <c r="S57" s="181" t="n"/>
      <c r="T57" s="181" t="n"/>
      <c r="U57" s="181" t="n"/>
    </row>
    <row r="58">
      <c r="A58" s="181" t="n"/>
      <c r="B58" s="181" t="n"/>
      <c r="C58" s="181" t="n"/>
      <c r="D58" s="181" t="n"/>
      <c r="E58" s="181" t="n"/>
      <c r="F58" s="181" t="n"/>
      <c r="G58" s="181" t="n"/>
      <c r="H58" s="181" t="n"/>
      <c r="I58" s="181" t="n"/>
      <c r="J58" s="181" t="n"/>
      <c r="K58" s="181" t="n"/>
      <c r="L58" s="181" t="n"/>
      <c r="M58" s="181" t="n"/>
      <c r="N58" s="181" t="n"/>
      <c r="O58" s="181" t="n"/>
      <c r="P58" s="181" t="n"/>
      <c r="Q58" s="181" t="n"/>
      <c r="R58" s="181" t="n"/>
      <c r="S58" s="181" t="n"/>
      <c r="T58" s="181" t="n"/>
      <c r="U58" s="181" t="n"/>
    </row>
    <row r="59">
      <c r="A59" s="181" t="n"/>
      <c r="B59" s="181" t="n"/>
      <c r="C59" s="181" t="n"/>
      <c r="D59" s="181" t="n"/>
      <c r="E59" s="181" t="n"/>
      <c r="F59" s="181" t="n"/>
      <c r="G59" s="181" t="n"/>
      <c r="H59" s="181" t="n"/>
      <c r="I59" s="181" t="n"/>
      <c r="J59" s="181" t="n"/>
      <c r="K59" s="181" t="n"/>
      <c r="L59" s="181" t="n"/>
      <c r="M59" s="181" t="n"/>
      <c r="N59" s="181" t="n"/>
      <c r="O59" s="181" t="n"/>
      <c r="P59" s="181" t="n"/>
      <c r="Q59" s="181" t="n"/>
      <c r="R59" s="181" t="n"/>
      <c r="S59" s="181" t="n"/>
      <c r="T59" s="181" t="n"/>
      <c r="U59" s="181" t="n"/>
    </row>
    <row r="60">
      <c r="A60" s="181" t="n"/>
      <c r="B60" s="181" t="n"/>
      <c r="C60" s="181" t="n"/>
      <c r="D60" s="181" t="n"/>
      <c r="E60" s="181" t="n"/>
      <c r="F60" s="181" t="n"/>
      <c r="G60" s="181" t="n"/>
      <c r="H60" s="181" t="n"/>
      <c r="I60" s="181" t="n"/>
      <c r="J60" s="181" t="n"/>
      <c r="K60" s="181" t="n"/>
      <c r="L60" s="181" t="n"/>
      <c r="M60" s="181" t="n"/>
      <c r="N60" s="181" t="n"/>
      <c r="O60" s="181" t="n"/>
      <c r="P60" s="181" t="n"/>
      <c r="Q60" s="181" t="n"/>
      <c r="R60" s="181" t="n"/>
      <c r="S60" s="181" t="n"/>
      <c r="T60" s="181" t="n"/>
      <c r="U60" s="181" t="n"/>
    </row>
    <row r="61">
      <c r="A61" s="181" t="n"/>
      <c r="B61" s="181" t="n"/>
      <c r="C61" s="181" t="n"/>
      <c r="D61" s="181" t="n"/>
      <c r="E61" s="181" t="n"/>
      <c r="F61" s="181" t="n"/>
      <c r="G61" s="181" t="n"/>
      <c r="H61" s="181" t="n"/>
      <c r="I61" s="181" t="n"/>
      <c r="J61" s="181" t="n"/>
      <c r="K61" s="181" t="n"/>
      <c r="L61" s="181" t="n"/>
      <c r="M61" s="181" t="n"/>
      <c r="N61" s="181" t="n"/>
      <c r="O61" s="181" t="n"/>
      <c r="P61" s="181" t="n"/>
      <c r="Q61" s="181" t="n"/>
      <c r="R61" s="181" t="n"/>
      <c r="S61" s="181" t="n"/>
      <c r="T61" s="181" t="n"/>
      <c r="U61" s="181" t="n"/>
    </row>
    <row r="62">
      <c r="A62" s="181" t="n"/>
      <c r="B62" s="181" t="n"/>
      <c r="C62" s="181" t="n"/>
      <c r="D62" s="181" t="n"/>
      <c r="E62" s="181" t="n"/>
      <c r="F62" s="181" t="n"/>
      <c r="G62" s="181" t="n"/>
      <c r="H62" s="181" t="n"/>
      <c r="I62" s="181" t="n"/>
      <c r="J62" s="181" t="n"/>
      <c r="K62" s="181" t="n"/>
      <c r="L62" s="181" t="n"/>
      <c r="M62" s="181" t="n"/>
      <c r="N62" s="181" t="n"/>
      <c r="O62" s="181" t="n"/>
      <c r="P62" s="181" t="n"/>
      <c r="Q62" s="181" t="n"/>
      <c r="R62" s="181" t="n"/>
      <c r="S62" s="181" t="n"/>
      <c r="T62" s="181" t="n"/>
      <c r="U62" s="181" t="n"/>
    </row>
    <row r="63">
      <c r="A63" s="181" t="n"/>
      <c r="B63" s="181" t="n"/>
      <c r="C63" s="181" t="n"/>
      <c r="D63" s="181" t="n"/>
      <c r="E63" s="181" t="n"/>
      <c r="F63" s="181" t="n"/>
      <c r="G63" s="181" t="n"/>
      <c r="H63" s="181" t="n"/>
      <c r="I63" s="181" t="n"/>
      <c r="J63" s="181" t="n"/>
      <c r="K63" s="181" t="n"/>
      <c r="L63" s="181" t="n"/>
      <c r="M63" s="181" t="n"/>
      <c r="N63" s="181" t="n"/>
      <c r="O63" s="181" t="n"/>
      <c r="P63" s="181" t="n"/>
      <c r="Q63" s="181" t="n"/>
      <c r="R63" s="181" t="n"/>
      <c r="S63" s="181" t="n"/>
      <c r="T63" s="181" t="n"/>
      <c r="U63" s="181" t="n"/>
    </row>
    <row r="64">
      <c r="A64" s="181" t="n"/>
      <c r="B64" s="181" t="n"/>
      <c r="C64" s="181" t="n"/>
      <c r="D64" s="181" t="n"/>
      <c r="E64" s="181" t="n"/>
      <c r="F64" s="181" t="n"/>
      <c r="G64" s="181" t="n"/>
      <c r="H64" s="181" t="n"/>
      <c r="I64" s="181" t="n"/>
      <c r="J64" s="181" t="n"/>
      <c r="K64" s="181" t="n"/>
      <c r="L64" s="181" t="n"/>
      <c r="M64" s="181" t="n"/>
      <c r="N64" s="181" t="n"/>
      <c r="O64" s="181" t="n"/>
      <c r="P64" s="181" t="n"/>
      <c r="Q64" s="181" t="n"/>
      <c r="R64" s="181" t="n"/>
      <c r="S64" s="181" t="n"/>
      <c r="T64" s="181" t="n"/>
      <c r="U64" s="181" t="n"/>
    </row>
    <row r="65">
      <c r="A65" s="181" t="n"/>
      <c r="B65" s="181" t="n"/>
      <c r="C65" s="181" t="n"/>
      <c r="D65" s="181" t="n"/>
      <c r="E65" s="181" t="n"/>
      <c r="F65" s="181" t="n"/>
      <c r="G65" s="181" t="n"/>
      <c r="H65" s="181" t="n"/>
      <c r="I65" s="181" t="n"/>
      <c r="J65" s="181" t="n"/>
      <c r="K65" s="181" t="n"/>
      <c r="L65" s="181" t="n"/>
      <c r="M65" s="181" t="n"/>
      <c r="N65" s="181" t="n"/>
      <c r="O65" s="181" t="n"/>
      <c r="P65" s="181" t="n"/>
      <c r="Q65" s="181" t="n"/>
      <c r="R65" s="181" t="n"/>
      <c r="S65" s="181" t="n"/>
      <c r="T65" s="181" t="n"/>
      <c r="U65" s="181" t="n"/>
    </row>
    <row r="66">
      <c r="A66" s="181" t="n"/>
      <c r="B66" s="181" t="n"/>
      <c r="C66" s="181" t="n"/>
      <c r="D66" s="181" t="n"/>
      <c r="E66" s="181" t="n"/>
      <c r="F66" s="181" t="n"/>
      <c r="G66" s="181" t="n"/>
      <c r="H66" s="181" t="n"/>
      <c r="I66" s="181" t="n"/>
      <c r="J66" s="181" t="n"/>
      <c r="K66" s="181" t="n"/>
      <c r="L66" s="181" t="n"/>
      <c r="M66" s="181" t="n"/>
      <c r="N66" s="181" t="n"/>
      <c r="O66" s="181" t="n"/>
      <c r="P66" s="181" t="n"/>
      <c r="Q66" s="181" t="n"/>
      <c r="R66" s="181" t="n"/>
      <c r="S66" s="181" t="n"/>
      <c r="T66" s="181" t="n"/>
      <c r="U66" s="181" t="n"/>
    </row>
    <row r="67">
      <c r="A67" s="181" t="n"/>
      <c r="B67" s="181" t="n"/>
      <c r="C67" s="181" t="n"/>
      <c r="D67" s="181" t="n"/>
      <c r="E67" s="181" t="n"/>
      <c r="F67" s="181" t="n"/>
      <c r="G67" s="181" t="n"/>
      <c r="H67" s="181" t="n"/>
      <c r="I67" s="181" t="n"/>
      <c r="J67" s="181" t="n"/>
      <c r="K67" s="181" t="n"/>
      <c r="L67" s="181" t="n"/>
      <c r="M67" s="181" t="n"/>
      <c r="N67" s="181" t="n"/>
      <c r="O67" s="181" t="n"/>
      <c r="P67" s="181" t="n"/>
      <c r="Q67" s="181" t="n"/>
      <c r="R67" s="181" t="n"/>
      <c r="S67" s="181" t="n"/>
      <c r="T67" s="181" t="n"/>
      <c r="U67" s="181" t="n"/>
    </row>
    <row r="68">
      <c r="A68" s="181" t="n"/>
      <c r="B68" s="181" t="n"/>
      <c r="C68" s="181" t="n"/>
      <c r="D68" s="181" t="n"/>
      <c r="E68" s="181" t="n"/>
      <c r="F68" s="181" t="n"/>
      <c r="G68" s="181" t="n"/>
      <c r="H68" s="181" t="n"/>
      <c r="I68" s="181" t="n"/>
      <c r="J68" s="181" t="n"/>
      <c r="K68" s="181" t="n"/>
      <c r="L68" s="181" t="n"/>
      <c r="M68" s="181" t="n"/>
      <c r="N68" s="181" t="n"/>
      <c r="O68" s="181" t="n"/>
      <c r="P68" s="181" t="n"/>
      <c r="Q68" s="181" t="n"/>
      <c r="R68" s="181" t="n"/>
      <c r="S68" s="181" t="n"/>
      <c r="T68" s="181" t="n"/>
      <c r="U68" s="181" t="n"/>
    </row>
    <row r="69">
      <c r="A69" s="181" t="n"/>
      <c r="B69" s="181" t="n"/>
      <c r="C69" s="181" t="n"/>
      <c r="D69" s="181" t="n"/>
      <c r="E69" s="181" t="n"/>
      <c r="F69" s="181" t="n"/>
      <c r="G69" s="181" t="n"/>
      <c r="H69" s="181" t="n"/>
      <c r="I69" s="181" t="n"/>
      <c r="J69" s="181" t="n"/>
      <c r="K69" s="181" t="n"/>
      <c r="L69" s="181" t="n"/>
      <c r="M69" s="181" t="n"/>
      <c r="N69" s="181" t="n"/>
      <c r="O69" s="181" t="n"/>
      <c r="P69" s="181" t="n"/>
      <c r="Q69" s="181" t="n"/>
      <c r="R69" s="181" t="n"/>
      <c r="S69" s="181" t="n"/>
      <c r="T69" s="181" t="n"/>
      <c r="U69" s="181" t="n"/>
    </row>
    <row r="70">
      <c r="A70" s="181" t="n"/>
      <c r="B70" s="181" t="n"/>
      <c r="C70" s="181" t="n"/>
      <c r="D70" s="181" t="n"/>
      <c r="E70" s="181" t="n"/>
      <c r="F70" s="181" t="n"/>
      <c r="G70" s="181" t="n"/>
      <c r="H70" s="181" t="n"/>
      <c r="I70" s="181" t="n"/>
      <c r="J70" s="181" t="n"/>
      <c r="K70" s="181" t="n"/>
      <c r="L70" s="181" t="n"/>
      <c r="M70" s="181" t="n"/>
      <c r="N70" s="181" t="n"/>
      <c r="O70" s="181" t="n"/>
      <c r="P70" s="181" t="n"/>
      <c r="Q70" s="181" t="n"/>
      <c r="R70" s="181" t="n"/>
      <c r="S70" s="181" t="n"/>
      <c r="T70" s="181" t="n"/>
      <c r="U70" s="181" t="n"/>
    </row>
    <row r="71">
      <c r="A71" s="181" t="n"/>
      <c r="B71" s="181" t="n"/>
      <c r="C71" s="181" t="n"/>
      <c r="D71" s="181" t="n"/>
      <c r="E71" s="181" t="n"/>
      <c r="F71" s="181" t="n"/>
      <c r="G71" s="181" t="n"/>
      <c r="H71" s="181" t="n"/>
      <c r="I71" s="181" t="n"/>
      <c r="J71" s="181" t="n"/>
      <c r="K71" s="181" t="n"/>
      <c r="L71" s="181" t="n"/>
      <c r="M71" s="181" t="n"/>
      <c r="N71" s="181" t="n"/>
      <c r="O71" s="181" t="n"/>
      <c r="P71" s="181" t="n"/>
      <c r="Q71" s="181" t="n"/>
      <c r="R71" s="181" t="n"/>
      <c r="S71" s="181" t="n"/>
      <c r="T71" s="181" t="n"/>
      <c r="U71" s="181" t="n"/>
    </row>
    <row r="72">
      <c r="A72" s="181" t="n"/>
      <c r="B72" s="181" t="n"/>
      <c r="C72" s="181" t="n"/>
      <c r="D72" s="181" t="n"/>
      <c r="E72" s="181" t="n"/>
      <c r="F72" s="181" t="n"/>
      <c r="G72" s="181" t="n"/>
      <c r="H72" s="181" t="n"/>
      <c r="I72" s="181" t="n"/>
      <c r="J72" s="181" t="n"/>
      <c r="K72" s="181" t="n"/>
      <c r="L72" s="181" t="n"/>
      <c r="M72" s="181" t="n"/>
      <c r="N72" s="181" t="n"/>
      <c r="O72" s="181" t="n"/>
      <c r="P72" s="181" t="n"/>
      <c r="Q72" s="181" t="n"/>
      <c r="R72" s="181" t="n"/>
      <c r="S72" s="181" t="n"/>
      <c r="T72" s="181" t="n"/>
      <c r="U72" s="181" t="n"/>
    </row>
    <row r="73">
      <c r="A73" s="181" t="n"/>
      <c r="B73" s="181" t="n"/>
      <c r="C73" s="181" t="n"/>
      <c r="D73" s="181" t="n"/>
      <c r="E73" s="181" t="n"/>
      <c r="F73" s="181" t="n"/>
      <c r="G73" s="181" t="n"/>
      <c r="H73" s="181" t="n"/>
      <c r="I73" s="181" t="n"/>
      <c r="J73" s="181" t="n"/>
      <c r="K73" s="181" t="n"/>
      <c r="L73" s="181" t="n"/>
      <c r="M73" s="181" t="n"/>
      <c r="N73" s="181" t="n"/>
      <c r="O73" s="181" t="n"/>
      <c r="P73" s="181" t="n"/>
      <c r="Q73" s="181" t="n"/>
      <c r="R73" s="181" t="n"/>
      <c r="S73" s="181" t="n"/>
      <c r="T73" s="181" t="n"/>
      <c r="U73" s="181" t="n"/>
    </row>
    <row r="74">
      <c r="A74" s="181" t="n"/>
      <c r="B74" s="181" t="n"/>
      <c r="C74" s="181" t="n"/>
      <c r="D74" s="181" t="n"/>
      <c r="E74" s="181" t="n"/>
      <c r="F74" s="181" t="n"/>
      <c r="G74" s="181" t="n"/>
      <c r="H74" s="181" t="n"/>
      <c r="I74" s="181" t="n"/>
      <c r="J74" s="181" t="n"/>
      <c r="K74" s="181" t="n"/>
      <c r="L74" s="181" t="n"/>
      <c r="M74" s="181" t="n"/>
      <c r="N74" s="181" t="n"/>
      <c r="O74" s="181" t="n"/>
      <c r="P74" s="181" t="n"/>
      <c r="Q74" s="181" t="n"/>
      <c r="R74" s="181" t="n"/>
      <c r="S74" s="181" t="n"/>
      <c r="T74" s="181" t="n"/>
      <c r="U74" s="181" t="n"/>
    </row>
    <row r="75">
      <c r="A75" s="181" t="n"/>
      <c r="B75" s="181" t="n"/>
      <c r="C75" s="181" t="n"/>
      <c r="D75" s="181" t="n"/>
      <c r="E75" s="181" t="n"/>
      <c r="F75" s="181" t="n"/>
      <c r="G75" s="181" t="n"/>
      <c r="H75" s="181" t="n"/>
      <c r="I75" s="181" t="n"/>
      <c r="J75" s="181" t="n"/>
      <c r="K75" s="181" t="n"/>
      <c r="L75" s="181" t="n"/>
      <c r="M75" s="181" t="n"/>
      <c r="N75" s="181" t="n"/>
      <c r="O75" s="181" t="n"/>
      <c r="P75" s="181" t="n"/>
      <c r="Q75" s="181" t="n"/>
      <c r="R75" s="181" t="n"/>
      <c r="S75" s="181" t="n"/>
      <c r="T75" s="181" t="n"/>
      <c r="U75" s="181" t="n"/>
    </row>
    <row r="76">
      <c r="A76" s="181" t="n"/>
      <c r="B76" s="181" t="n"/>
      <c r="C76" s="181" t="n"/>
      <c r="D76" s="181" t="n"/>
      <c r="E76" s="181" t="n"/>
      <c r="F76" s="181" t="n"/>
      <c r="G76" s="181" t="n"/>
      <c r="H76" s="181" t="n"/>
      <c r="I76" s="181" t="n"/>
      <c r="J76" s="181" t="n"/>
      <c r="K76" s="181" t="n"/>
      <c r="L76" s="181" t="n"/>
      <c r="M76" s="181" t="n"/>
      <c r="N76" s="181" t="n"/>
      <c r="O76" s="181" t="n"/>
      <c r="P76" s="181" t="n"/>
      <c r="Q76" s="181" t="n"/>
      <c r="R76" s="181" t="n"/>
      <c r="S76" s="181" t="n"/>
      <c r="T76" s="181" t="n"/>
      <c r="U76" s="181" t="n"/>
    </row>
    <row r="77">
      <c r="A77" s="181" t="n"/>
      <c r="B77" s="181" t="n"/>
      <c r="C77" s="181" t="n"/>
      <c r="D77" s="181" t="n"/>
      <c r="E77" s="181" t="n"/>
      <c r="F77" s="181" t="n"/>
      <c r="G77" s="181" t="n"/>
      <c r="H77" s="181" t="n"/>
      <c r="I77" s="181" t="n"/>
      <c r="J77" s="181" t="n"/>
      <c r="K77" s="181" t="n"/>
      <c r="L77" s="181" t="n"/>
      <c r="M77" s="181" t="n"/>
      <c r="N77" s="181" t="n"/>
      <c r="O77" s="181" t="n"/>
      <c r="P77" s="181" t="n"/>
      <c r="Q77" s="181" t="n"/>
      <c r="R77" s="181" t="n"/>
      <c r="S77" s="181" t="n"/>
      <c r="T77" s="181" t="n"/>
      <c r="U77" s="181" t="n"/>
    </row>
    <row r="78">
      <c r="A78" s="181" t="n"/>
      <c r="B78" s="181" t="n"/>
      <c r="C78" s="181" t="n"/>
      <c r="D78" s="181" t="n"/>
      <c r="E78" s="181" t="n"/>
      <c r="F78" s="181" t="n"/>
      <c r="G78" s="181" t="n"/>
      <c r="H78" s="181" t="n"/>
      <c r="I78" s="181" t="n"/>
      <c r="J78" s="181" t="n"/>
      <c r="K78" s="181" t="n"/>
      <c r="L78" s="181" t="n"/>
      <c r="M78" s="181" t="n"/>
      <c r="N78" s="181" t="n"/>
      <c r="O78" s="181" t="n"/>
      <c r="P78" s="181" t="n"/>
      <c r="Q78" s="181" t="n"/>
      <c r="R78" s="181" t="n"/>
      <c r="S78" s="181" t="n"/>
      <c r="T78" s="181" t="n"/>
      <c r="U78" s="181" t="n"/>
    </row>
    <row r="79">
      <c r="A79" s="181" t="n"/>
      <c r="B79" s="181" t="n"/>
      <c r="C79" s="181" t="n"/>
      <c r="D79" s="181" t="n"/>
      <c r="E79" s="181" t="n"/>
      <c r="F79" s="181" t="n"/>
      <c r="G79" s="181" t="n"/>
      <c r="H79" s="181" t="n"/>
      <c r="I79" s="181" t="n"/>
      <c r="J79" s="181" t="n"/>
      <c r="K79" s="181" t="n"/>
      <c r="L79" s="181" t="n"/>
      <c r="M79" s="181" t="n"/>
      <c r="N79" s="181" t="n"/>
      <c r="O79" s="181" t="n"/>
      <c r="P79" s="181" t="n"/>
      <c r="Q79" s="181" t="n"/>
      <c r="R79" s="181" t="n"/>
      <c r="S79" s="181" t="n"/>
      <c r="T79" s="181" t="n"/>
      <c r="U79" s="181" t="n"/>
    </row>
    <row r="80">
      <c r="A80" s="181" t="n"/>
      <c r="B80" s="181" t="n"/>
      <c r="C80" s="181" t="n"/>
      <c r="D80" s="181" t="n"/>
      <c r="E80" s="181" t="n"/>
      <c r="F80" s="181" t="n"/>
      <c r="G80" s="181" t="n"/>
      <c r="H80" s="181" t="n"/>
      <c r="I80" s="181" t="n"/>
      <c r="J80" s="181" t="n"/>
      <c r="K80" s="181" t="n"/>
      <c r="L80" s="181" t="n"/>
      <c r="M80" s="181" t="n"/>
      <c r="N80" s="181" t="n"/>
      <c r="O80" s="181" t="n"/>
      <c r="P80" s="181" t="n"/>
      <c r="Q80" s="181" t="n"/>
      <c r="R80" s="181" t="n"/>
      <c r="S80" s="181" t="n"/>
      <c r="T80" s="181" t="n"/>
      <c r="U80" s="181" t="n"/>
    </row>
    <row r="81">
      <c r="A81" s="181" t="n"/>
      <c r="B81" s="181" t="n"/>
      <c r="C81" s="181" t="n"/>
      <c r="D81" s="181" t="n"/>
      <c r="E81" s="181" t="n"/>
      <c r="F81" s="181" t="n"/>
      <c r="G81" s="181" t="n"/>
      <c r="H81" s="181" t="n"/>
      <c r="I81" s="181" t="n"/>
      <c r="J81" s="181" t="n"/>
      <c r="K81" s="181" t="n"/>
      <c r="L81" s="181" t="n"/>
      <c r="M81" s="181" t="n"/>
      <c r="N81" s="181" t="n"/>
      <c r="O81" s="181" t="n"/>
      <c r="P81" s="181" t="n"/>
      <c r="Q81" s="181" t="n"/>
      <c r="R81" s="181" t="n"/>
      <c r="S81" s="181" t="n"/>
      <c r="T81" s="181" t="n"/>
      <c r="U81" s="181" t="n"/>
    </row>
    <row r="82">
      <c r="A82" s="181" t="n"/>
      <c r="B82" s="181" t="n"/>
      <c r="C82" s="181" t="n"/>
      <c r="D82" s="181" t="n"/>
      <c r="E82" s="181" t="n"/>
      <c r="F82" s="181" t="n"/>
      <c r="G82" s="181" t="n"/>
      <c r="H82" s="181" t="n"/>
      <c r="I82" s="181" t="n"/>
      <c r="J82" s="181" t="n"/>
      <c r="K82" s="181" t="n"/>
      <c r="L82" s="181" t="n"/>
      <c r="M82" s="181" t="n"/>
      <c r="N82" s="181" t="n"/>
      <c r="O82" s="181" t="n"/>
      <c r="P82" s="181" t="n"/>
      <c r="Q82" s="181" t="n"/>
      <c r="R82" s="181" t="n"/>
      <c r="S82" s="181" t="n"/>
      <c r="T82" s="181" t="n"/>
      <c r="U82" s="181" t="n"/>
    </row>
    <row r="83">
      <c r="A83" s="181" t="n"/>
      <c r="B83" s="181" t="n"/>
      <c r="C83" s="181" t="n"/>
      <c r="D83" s="181" t="n"/>
      <c r="E83" s="181" t="n"/>
      <c r="F83" s="181" t="n"/>
      <c r="G83" s="181" t="n"/>
      <c r="H83" s="181" t="n"/>
      <c r="I83" s="181" t="n"/>
      <c r="J83" s="181" t="n"/>
      <c r="K83" s="181" t="n"/>
      <c r="L83" s="181" t="n"/>
      <c r="M83" s="181" t="n"/>
      <c r="N83" s="181" t="n"/>
      <c r="O83" s="181" t="n"/>
      <c r="P83" s="181" t="n"/>
      <c r="Q83" s="181" t="n"/>
      <c r="R83" s="181" t="n"/>
      <c r="S83" s="181" t="n"/>
      <c r="T83" s="181" t="n"/>
      <c r="U83" s="181" t="n"/>
    </row>
    <row r="84">
      <c r="A84" s="181" t="n"/>
      <c r="B84" s="181" t="n"/>
      <c r="C84" s="181" t="n"/>
      <c r="D84" s="181" t="n"/>
      <c r="E84" s="181" t="n"/>
      <c r="F84" s="181" t="n"/>
      <c r="G84" s="181" t="n"/>
      <c r="H84" s="181" t="n"/>
      <c r="I84" s="181" t="n"/>
      <c r="J84" s="181" t="n"/>
      <c r="K84" s="181" t="n"/>
      <c r="L84" s="181" t="n"/>
      <c r="M84" s="181" t="n"/>
      <c r="N84" s="181" t="n"/>
      <c r="O84" s="181" t="n"/>
      <c r="P84" s="181" t="n"/>
      <c r="Q84" s="181" t="n"/>
      <c r="R84" s="181" t="n"/>
      <c r="S84" s="181" t="n"/>
      <c r="T84" s="181" t="n"/>
      <c r="U84" s="181" t="n"/>
    </row>
    <row r="85">
      <c r="A85" s="181" t="n"/>
      <c r="B85" s="181" t="n"/>
      <c r="C85" s="181" t="n"/>
      <c r="D85" s="181" t="n"/>
      <c r="E85" s="181" t="n"/>
      <c r="F85" s="181" t="n"/>
      <c r="G85" s="181" t="n"/>
      <c r="H85" s="181" t="n"/>
      <c r="I85" s="181" t="n"/>
      <c r="J85" s="181" t="n"/>
      <c r="K85" s="181" t="n"/>
      <c r="L85" s="181" t="n"/>
      <c r="M85" s="181" t="n"/>
      <c r="N85" s="181" t="n"/>
      <c r="O85" s="181" t="n"/>
      <c r="P85" s="181" t="n"/>
      <c r="Q85" s="181" t="n"/>
      <c r="R85" s="181" t="n"/>
      <c r="S85" s="181" t="n"/>
      <c r="T85" s="181" t="n"/>
      <c r="U85" s="181" t="n"/>
    </row>
    <row r="86">
      <c r="A86" s="181" t="n"/>
      <c r="B86" s="181" t="n"/>
      <c r="C86" s="181" t="n"/>
      <c r="D86" s="181" t="n"/>
      <c r="E86" s="181" t="n"/>
      <c r="F86" s="181" t="n"/>
      <c r="G86" s="181" t="n"/>
      <c r="H86" s="181" t="n"/>
      <c r="I86" s="181" t="n"/>
      <c r="J86" s="181" t="n"/>
      <c r="K86" s="181" t="n"/>
      <c r="L86" s="181" t="n"/>
      <c r="M86" s="181" t="n"/>
      <c r="N86" s="181" t="n"/>
      <c r="O86" s="181" t="n"/>
      <c r="P86" s="181" t="n"/>
      <c r="Q86" s="181" t="n"/>
      <c r="R86" s="181" t="n"/>
      <c r="S86" s="181" t="n"/>
      <c r="T86" s="181" t="n"/>
      <c r="U86" s="181" t="n"/>
    </row>
    <row r="87">
      <c r="A87" s="181" t="n"/>
      <c r="B87" s="181" t="n"/>
      <c r="C87" s="181" t="n"/>
      <c r="D87" s="181" t="n"/>
      <c r="E87" s="181" t="n"/>
      <c r="F87" s="181" t="n"/>
      <c r="G87" s="181" t="n"/>
      <c r="H87" s="181" t="n"/>
      <c r="I87" s="181" t="n"/>
      <c r="J87" s="181" t="n"/>
      <c r="K87" s="181" t="n"/>
      <c r="L87" s="181" t="n"/>
      <c r="M87" s="181" t="n"/>
      <c r="N87" s="181" t="n"/>
      <c r="O87" s="181" t="n"/>
      <c r="P87" s="181" t="n"/>
      <c r="Q87" s="181" t="n"/>
      <c r="R87" s="181" t="n"/>
      <c r="S87" s="181" t="n"/>
      <c r="T87" s="181" t="n"/>
      <c r="U87" s="181" t="n"/>
    </row>
    <row r="88">
      <c r="A88" s="181" t="n"/>
      <c r="B88" s="181" t="n"/>
      <c r="C88" s="181" t="n"/>
      <c r="D88" s="181" t="n"/>
      <c r="E88" s="181" t="n"/>
      <c r="F88" s="181" t="n"/>
      <c r="G88" s="181" t="n"/>
      <c r="H88" s="181" t="n"/>
      <c r="I88" s="181" t="n"/>
      <c r="J88" s="181" t="n"/>
      <c r="K88" s="181" t="n"/>
      <c r="L88" s="181" t="n"/>
      <c r="M88" s="181" t="n"/>
      <c r="N88" s="181" t="n"/>
      <c r="O88" s="181" t="n"/>
      <c r="P88" s="181" t="n"/>
      <c r="Q88" s="181" t="n"/>
      <c r="R88" s="181" t="n"/>
      <c r="S88" s="181" t="n"/>
      <c r="T88" s="181" t="n"/>
      <c r="U88" s="181" t="n"/>
    </row>
    <row r="89">
      <c r="A89" s="181" t="n"/>
      <c r="B89" s="181" t="n"/>
      <c r="C89" s="181" t="n"/>
      <c r="D89" s="181" t="n"/>
      <c r="E89" s="181" t="n"/>
      <c r="F89" s="181" t="n"/>
      <c r="G89" s="181" t="n"/>
      <c r="H89" s="181" t="n"/>
      <c r="I89" s="181" t="n"/>
      <c r="J89" s="181" t="n"/>
      <c r="K89" s="181" t="n"/>
      <c r="L89" s="181" t="n"/>
      <c r="M89" s="181" t="n"/>
      <c r="N89" s="181" t="n"/>
      <c r="O89" s="181" t="n"/>
      <c r="P89" s="181" t="n"/>
      <c r="Q89" s="181" t="n"/>
      <c r="R89" s="181" t="n"/>
      <c r="S89" s="181" t="n"/>
      <c r="T89" s="181" t="n"/>
      <c r="U89" s="181" t="n"/>
    </row>
    <row r="90">
      <c r="A90" s="181" t="n"/>
      <c r="B90" s="181" t="n"/>
      <c r="C90" s="181" t="n"/>
      <c r="D90" s="181" t="n"/>
      <c r="E90" s="181" t="n"/>
      <c r="F90" s="181" t="n"/>
      <c r="G90" s="181" t="n"/>
      <c r="H90" s="181" t="n"/>
      <c r="I90" s="181" t="n"/>
      <c r="J90" s="181" t="n"/>
      <c r="K90" s="181" t="n"/>
      <c r="L90" s="181" t="n"/>
      <c r="M90" s="181" t="n"/>
      <c r="N90" s="181" t="n"/>
      <c r="O90" s="181" t="n"/>
      <c r="P90" s="181" t="n"/>
      <c r="Q90" s="181" t="n"/>
      <c r="R90" s="181" t="n"/>
      <c r="S90" s="181" t="n"/>
      <c r="T90" s="181" t="n"/>
      <c r="U90" s="181" t="n"/>
    </row>
    <row r="91">
      <c r="A91" s="181" t="n"/>
      <c r="B91" s="181" t="n"/>
      <c r="C91" s="181" t="n"/>
      <c r="D91" s="181" t="n"/>
      <c r="E91" s="181" t="n"/>
      <c r="F91" s="181" t="n"/>
      <c r="G91" s="181" t="n"/>
      <c r="H91" s="181" t="n"/>
      <c r="I91" s="181" t="n"/>
      <c r="J91" s="181" t="n"/>
      <c r="K91" s="181" t="n"/>
      <c r="L91" s="181" t="n"/>
      <c r="M91" s="181" t="n"/>
      <c r="N91" s="181" t="n"/>
      <c r="O91" s="181" t="n"/>
      <c r="P91" s="181" t="n"/>
      <c r="Q91" s="181" t="n"/>
      <c r="R91" s="181" t="n"/>
      <c r="S91" s="181" t="n"/>
      <c r="T91" s="181" t="n"/>
      <c r="U91" s="181" t="n"/>
    </row>
    <row r="92">
      <c r="A92" s="181" t="n"/>
      <c r="B92" s="181" t="n"/>
      <c r="C92" s="181" t="n"/>
      <c r="D92" s="181" t="n"/>
      <c r="E92" s="181" t="n"/>
      <c r="F92" s="181" t="n"/>
      <c r="G92" s="181" t="n"/>
      <c r="H92" s="181" t="n"/>
      <c r="I92" s="181" t="n"/>
      <c r="J92" s="181" t="n"/>
      <c r="K92" s="181" t="n"/>
      <c r="L92" s="181" t="n"/>
      <c r="M92" s="181" t="n"/>
      <c r="N92" s="181" t="n"/>
      <c r="O92" s="181" t="n"/>
      <c r="P92" s="181" t="n"/>
      <c r="Q92" s="181" t="n"/>
      <c r="R92" s="181" t="n"/>
      <c r="S92" s="181" t="n"/>
      <c r="T92" s="181" t="n"/>
      <c r="U92" s="181" t="n"/>
    </row>
    <row r="93">
      <c r="A93" s="181" t="n"/>
      <c r="B93" s="181" t="n"/>
      <c r="C93" s="181" t="n"/>
      <c r="D93" s="181" t="n"/>
      <c r="E93" s="181" t="n"/>
      <c r="F93" s="181" t="n"/>
      <c r="G93" s="181" t="n"/>
      <c r="H93" s="181" t="n"/>
      <c r="I93" s="181" t="n"/>
      <c r="J93" s="181" t="n"/>
      <c r="K93" s="181" t="n"/>
      <c r="L93" s="181" t="n"/>
      <c r="M93" s="181" t="n"/>
      <c r="N93" s="181" t="n"/>
      <c r="O93" s="181" t="n"/>
      <c r="P93" s="181" t="n"/>
      <c r="Q93" s="181" t="n"/>
      <c r="R93" s="181" t="n"/>
      <c r="S93" s="181" t="n"/>
      <c r="T93" s="181" t="n"/>
      <c r="U93" s="181" t="n"/>
    </row>
    <row r="94">
      <c r="A94" s="181" t="n"/>
      <c r="B94" s="181" t="n"/>
      <c r="C94" s="181" t="n"/>
      <c r="D94" s="181" t="n"/>
      <c r="E94" s="181" t="n"/>
      <c r="F94" s="181" t="n"/>
      <c r="G94" s="181" t="n"/>
      <c r="H94" s="181" t="n"/>
      <c r="I94" s="181" t="n"/>
      <c r="J94" s="181" t="n"/>
      <c r="K94" s="181" t="n"/>
      <c r="L94" s="181" t="n"/>
      <c r="M94" s="181" t="n"/>
      <c r="N94" s="181" t="n"/>
      <c r="O94" s="181" t="n"/>
      <c r="P94" s="181" t="n"/>
      <c r="Q94" s="181" t="n"/>
      <c r="R94" s="181" t="n"/>
      <c r="S94" s="181" t="n"/>
      <c r="T94" s="181" t="n"/>
      <c r="U94" s="181" t="n"/>
    </row>
    <row r="95">
      <c r="A95" s="181" t="n"/>
      <c r="B95" s="181" t="n"/>
      <c r="C95" s="181" t="n"/>
      <c r="D95" s="181" t="n"/>
      <c r="E95" s="181" t="n"/>
      <c r="F95" s="181" t="n"/>
      <c r="G95" s="181" t="n"/>
      <c r="H95" s="181" t="n"/>
      <c r="I95" s="181" t="n"/>
      <c r="J95" s="181" t="n"/>
      <c r="K95" s="181" t="n"/>
      <c r="L95" s="181" t="n"/>
      <c r="M95" s="181" t="n"/>
      <c r="N95" s="181" t="n"/>
      <c r="O95" s="181" t="n"/>
      <c r="P95" s="181" t="n"/>
      <c r="Q95" s="181" t="n"/>
      <c r="R95" s="181" t="n"/>
      <c r="S95" s="181" t="n"/>
      <c r="T95" s="181" t="n"/>
      <c r="U95" s="181" t="n"/>
    </row>
    <row r="96">
      <c r="A96" s="181" t="n"/>
      <c r="B96" s="181" t="n"/>
      <c r="C96" s="181" t="n"/>
      <c r="D96" s="181" t="n"/>
      <c r="E96" s="181" t="n"/>
      <c r="F96" s="181" t="n"/>
      <c r="G96" s="181" t="n"/>
      <c r="H96" s="181" t="n"/>
      <c r="I96" s="181" t="n"/>
      <c r="J96" s="181" t="n"/>
      <c r="K96" s="181" t="n"/>
      <c r="L96" s="181" t="n"/>
      <c r="M96" s="181" t="n"/>
      <c r="N96" s="181" t="n"/>
      <c r="O96" s="181" t="n"/>
      <c r="P96" s="181" t="n"/>
      <c r="Q96" s="181" t="n"/>
      <c r="R96" s="181" t="n"/>
      <c r="S96" s="181" t="n"/>
      <c r="T96" s="181" t="n"/>
      <c r="U96" s="181" t="n"/>
    </row>
    <row r="97">
      <c r="A97" s="181" t="n"/>
      <c r="B97" s="181" t="n"/>
      <c r="C97" s="181" t="n"/>
      <c r="D97" s="181" t="n"/>
      <c r="E97" s="181" t="n"/>
      <c r="F97" s="181" t="n"/>
      <c r="G97" s="181" t="n"/>
      <c r="H97" s="181" t="n"/>
      <c r="I97" s="181" t="n"/>
      <c r="J97" s="181" t="n"/>
      <c r="K97" s="181" t="n"/>
      <c r="L97" s="181" t="n"/>
      <c r="M97" s="181" t="n"/>
      <c r="N97" s="181" t="n"/>
      <c r="O97" s="181" t="n"/>
      <c r="P97" s="181" t="n"/>
      <c r="Q97" s="181" t="n"/>
      <c r="R97" s="181" t="n"/>
      <c r="S97" s="181" t="n"/>
      <c r="T97" s="181" t="n"/>
      <c r="U97" s="181" t="n"/>
    </row>
    <row r="98">
      <c r="A98" s="181" t="n"/>
      <c r="B98" s="181" t="n"/>
      <c r="C98" s="181" t="n"/>
      <c r="D98" s="181" t="n"/>
      <c r="E98" s="181" t="n"/>
      <c r="F98" s="181" t="n"/>
      <c r="G98" s="181" t="n"/>
      <c r="H98" s="181" t="n"/>
      <c r="I98" s="181" t="n"/>
      <c r="J98" s="181" t="n"/>
      <c r="K98" s="181" t="n"/>
      <c r="L98" s="181" t="n"/>
      <c r="M98" s="181" t="n"/>
      <c r="N98" s="181" t="n"/>
      <c r="O98" s="181" t="n"/>
      <c r="P98" s="181" t="n"/>
      <c r="Q98" s="181" t="n"/>
      <c r="R98" s="181" t="n"/>
      <c r="S98" s="181" t="n"/>
      <c r="T98" s="181" t="n"/>
      <c r="U98" s="181" t="n"/>
    </row>
    <row r="99">
      <c r="A99" s="181" t="n"/>
      <c r="B99" s="181" t="n"/>
      <c r="C99" s="181" t="n"/>
      <c r="D99" s="181" t="n"/>
      <c r="E99" s="181" t="n"/>
      <c r="F99" s="181" t="n"/>
      <c r="G99" s="181" t="n"/>
      <c r="H99" s="181" t="n"/>
      <c r="I99" s="181" t="n"/>
      <c r="J99" s="181" t="n"/>
      <c r="K99" s="181" t="n"/>
      <c r="L99" s="181" t="n"/>
      <c r="M99" s="181" t="n"/>
      <c r="N99" s="181" t="n"/>
      <c r="O99" s="181" t="n"/>
      <c r="P99" s="181" t="n"/>
      <c r="Q99" s="181" t="n"/>
      <c r="R99" s="181" t="n"/>
      <c r="S99" s="181" t="n"/>
      <c r="T99" s="181" t="n"/>
      <c r="U99" s="181" t="n"/>
    </row>
    <row r="100">
      <c r="A100" s="181" t="n"/>
      <c r="B100" s="181" t="n"/>
      <c r="C100" s="181" t="n"/>
      <c r="D100" s="181" t="n"/>
      <c r="E100" s="181" t="n"/>
      <c r="F100" s="181" t="n"/>
      <c r="G100" s="181" t="n"/>
      <c r="H100" s="181" t="n"/>
      <c r="I100" s="181" t="n"/>
      <c r="J100" s="181" t="n"/>
      <c r="K100" s="181" t="n"/>
      <c r="L100" s="181" t="n"/>
      <c r="M100" s="181" t="n"/>
      <c r="N100" s="181" t="n"/>
      <c r="O100" s="181" t="n"/>
      <c r="P100" s="181" t="n"/>
      <c r="Q100" s="181" t="n"/>
      <c r="R100" s="181" t="n"/>
      <c r="S100" s="181" t="n"/>
      <c r="T100" s="181" t="n"/>
      <c r="U100" s="181" t="n"/>
    </row>
    <row r="101">
      <c r="A101" s="181" t="n"/>
      <c r="B101" s="181" t="n"/>
      <c r="C101" s="181" t="n"/>
      <c r="D101" s="181" t="n"/>
      <c r="E101" s="181" t="n"/>
      <c r="F101" s="181" t="n"/>
      <c r="G101" s="181" t="n"/>
      <c r="H101" s="181" t="n"/>
      <c r="I101" s="181" t="n"/>
      <c r="J101" s="181" t="n"/>
      <c r="K101" s="181" t="n"/>
      <c r="L101" s="181" t="n"/>
      <c r="M101" s="181" t="n"/>
      <c r="N101" s="181" t="n"/>
      <c r="O101" s="181" t="n"/>
      <c r="P101" s="181" t="n"/>
      <c r="Q101" s="181" t="n"/>
      <c r="R101" s="181" t="n"/>
      <c r="S101" s="181" t="n"/>
      <c r="T101" s="181" t="n"/>
      <c r="U101" s="181" t="n"/>
    </row>
    <row r="102">
      <c r="A102" s="181" t="n"/>
      <c r="B102" s="181" t="n"/>
      <c r="C102" s="181" t="n"/>
      <c r="D102" s="181" t="n"/>
      <c r="E102" s="181" t="n"/>
      <c r="F102" s="181" t="n"/>
      <c r="G102" s="181" t="n"/>
      <c r="H102" s="181" t="n"/>
      <c r="I102" s="181" t="n"/>
      <c r="J102" s="181" t="n"/>
      <c r="K102" s="181" t="n"/>
      <c r="L102" s="181" t="n"/>
      <c r="M102" s="181" t="n"/>
      <c r="N102" s="181" t="n"/>
      <c r="O102" s="181" t="n"/>
      <c r="P102" s="181" t="n"/>
      <c r="Q102" s="181" t="n"/>
      <c r="R102" s="181" t="n"/>
      <c r="S102" s="181" t="n"/>
      <c r="T102" s="181" t="n"/>
      <c r="U102" s="181" t="n"/>
    </row>
    <row r="103">
      <c r="A103" s="181" t="n"/>
      <c r="B103" s="181" t="n"/>
      <c r="C103" s="181" t="n"/>
      <c r="D103" s="181" t="n"/>
      <c r="E103" s="181" t="n"/>
      <c r="F103" s="181" t="n"/>
      <c r="G103" s="181" t="n"/>
      <c r="H103" s="181" t="n"/>
      <c r="I103" s="181" t="n"/>
      <c r="J103" s="181" t="n"/>
      <c r="K103" s="181" t="n"/>
      <c r="L103" s="181" t="n"/>
      <c r="M103" s="181" t="n"/>
      <c r="N103" s="181" t="n"/>
      <c r="O103" s="181" t="n"/>
      <c r="P103" s="181" t="n"/>
      <c r="Q103" s="181" t="n"/>
      <c r="R103" s="181" t="n"/>
      <c r="S103" s="181" t="n"/>
      <c r="T103" s="181" t="n"/>
      <c r="U103" s="181" t="n"/>
    </row>
    <row r="104">
      <c r="A104" s="181" t="n"/>
      <c r="B104" s="181" t="n"/>
      <c r="C104" s="181" t="n"/>
      <c r="D104" s="181" t="n"/>
      <c r="E104" s="181" t="n"/>
      <c r="F104" s="181" t="n"/>
      <c r="G104" s="181" t="n"/>
      <c r="H104" s="181" t="n"/>
      <c r="I104" s="181" t="n"/>
      <c r="J104" s="181" t="n"/>
      <c r="K104" s="181" t="n"/>
      <c r="L104" s="181" t="n"/>
      <c r="M104" s="181" t="n"/>
      <c r="N104" s="181" t="n"/>
      <c r="O104" s="181" t="n"/>
      <c r="P104" s="181" t="n"/>
      <c r="Q104" s="181" t="n"/>
      <c r="R104" s="181" t="n"/>
      <c r="S104" s="181" t="n"/>
      <c r="T104" s="181" t="n"/>
      <c r="U104" s="181" t="n"/>
    </row>
    <row r="105">
      <c r="A105" s="181" t="n"/>
      <c r="B105" s="181" t="n"/>
      <c r="C105" s="181" t="n"/>
      <c r="D105" s="181" t="n"/>
      <c r="E105" s="181" t="n"/>
      <c r="F105" s="181" t="n"/>
      <c r="G105" s="181" t="n"/>
      <c r="H105" s="181" t="n"/>
      <c r="I105" s="181" t="n"/>
      <c r="J105" s="181" t="n"/>
      <c r="K105" s="181" t="n"/>
      <c r="L105" s="181" t="n"/>
      <c r="M105" s="181" t="n"/>
      <c r="N105" s="181" t="n"/>
      <c r="O105" s="181" t="n"/>
      <c r="P105" s="181" t="n"/>
      <c r="Q105" s="181" t="n"/>
      <c r="R105" s="181" t="n"/>
      <c r="S105" s="181" t="n"/>
      <c r="T105" s="181" t="n"/>
      <c r="U105" s="181" t="n"/>
    </row>
    <row r="106">
      <c r="A106" s="181" t="n"/>
      <c r="B106" s="181" t="n"/>
      <c r="C106" s="181" t="n"/>
      <c r="D106" s="181" t="n"/>
      <c r="E106" s="181" t="n"/>
      <c r="F106" s="181" t="n"/>
      <c r="G106" s="181" t="n"/>
      <c r="H106" s="181" t="n"/>
      <c r="I106" s="181" t="n"/>
      <c r="J106" s="181" t="n"/>
      <c r="K106" s="181" t="n"/>
      <c r="L106" s="181" t="n"/>
      <c r="M106" s="181" t="n"/>
      <c r="N106" s="181" t="n"/>
      <c r="O106" s="181" t="n"/>
      <c r="P106" s="181" t="n"/>
      <c r="Q106" s="181" t="n"/>
      <c r="R106" s="181" t="n"/>
      <c r="S106" s="181" t="n"/>
      <c r="T106" s="181" t="n"/>
      <c r="U106" s="181" t="n"/>
    </row>
    <row r="107">
      <c r="A107" s="181" t="n"/>
      <c r="B107" s="181" t="n"/>
      <c r="C107" s="181" t="n"/>
      <c r="D107" s="181" t="n"/>
      <c r="E107" s="181" t="n"/>
      <c r="F107" s="181" t="n"/>
      <c r="G107" s="181" t="n"/>
      <c r="H107" s="181" t="n"/>
      <c r="I107" s="181" t="n"/>
      <c r="J107" s="181" t="n"/>
      <c r="K107" s="181" t="n"/>
      <c r="L107" s="181" t="n"/>
      <c r="M107" s="181" t="n"/>
      <c r="N107" s="181" t="n"/>
      <c r="O107" s="181" t="n"/>
      <c r="P107" s="181" t="n"/>
      <c r="Q107" s="181" t="n"/>
      <c r="R107" s="181" t="n"/>
      <c r="S107" s="181" t="n"/>
      <c r="T107" s="181" t="n"/>
      <c r="U107" s="181" t="n"/>
    </row>
    <row r="108">
      <c r="A108" s="181" t="n"/>
      <c r="B108" s="181" t="n"/>
      <c r="C108" s="181" t="n"/>
      <c r="D108" s="181" t="n"/>
      <c r="E108" s="181" t="n"/>
      <c r="F108" s="181" t="n"/>
      <c r="G108" s="181" t="n"/>
      <c r="H108" s="181" t="n"/>
      <c r="I108" s="181" t="n"/>
      <c r="J108" s="181" t="n"/>
      <c r="K108" s="181" t="n"/>
      <c r="L108" s="181" t="n"/>
      <c r="M108" s="181" t="n"/>
      <c r="N108" s="181" t="n"/>
      <c r="O108" s="181" t="n"/>
      <c r="P108" s="181" t="n"/>
      <c r="Q108" s="181" t="n"/>
      <c r="R108" s="181" t="n"/>
      <c r="S108" s="181" t="n"/>
      <c r="T108" s="181" t="n"/>
      <c r="U108" s="181" t="n"/>
    </row>
    <row r="109">
      <c r="A109" s="181" t="n"/>
      <c r="B109" s="181" t="n"/>
      <c r="C109" s="181" t="n"/>
      <c r="D109" s="181" t="n"/>
      <c r="E109" s="181" t="n"/>
      <c r="F109" s="181" t="n"/>
      <c r="G109" s="181" t="n"/>
      <c r="H109" s="181" t="n"/>
      <c r="I109" s="181" t="n"/>
      <c r="J109" s="181" t="n"/>
      <c r="K109" s="181" t="n"/>
      <c r="L109" s="181" t="n"/>
      <c r="M109" s="181" t="n"/>
      <c r="N109" s="181" t="n"/>
      <c r="O109" s="181" t="n"/>
      <c r="P109" s="181" t="n"/>
      <c r="Q109" s="181" t="n"/>
      <c r="R109" s="181" t="n"/>
      <c r="S109" s="181" t="n"/>
      <c r="T109" s="181" t="n"/>
      <c r="U109" s="181" t="n"/>
    </row>
    <row r="110">
      <c r="A110" s="181" t="n"/>
      <c r="B110" s="181" t="n"/>
      <c r="C110" s="181" t="n"/>
      <c r="D110" s="181" t="n"/>
      <c r="E110" s="181" t="n"/>
      <c r="F110" s="181" t="n"/>
      <c r="G110" s="181" t="n"/>
      <c r="H110" s="181" t="n"/>
      <c r="I110" s="181" t="n"/>
      <c r="J110" s="181" t="n"/>
      <c r="K110" s="181" t="n"/>
      <c r="L110" s="181" t="n"/>
      <c r="M110" s="181" t="n"/>
      <c r="N110" s="181" t="n"/>
      <c r="O110" s="181" t="n"/>
      <c r="P110" s="181" t="n"/>
      <c r="Q110" s="181" t="n"/>
      <c r="R110" s="181" t="n"/>
      <c r="S110" s="181" t="n"/>
      <c r="T110" s="181" t="n"/>
      <c r="U110" s="181" t="n"/>
    </row>
    <row r="111">
      <c r="A111" s="181" t="n"/>
      <c r="B111" s="181" t="n"/>
      <c r="C111" s="181" t="n"/>
      <c r="D111" s="181" t="n"/>
      <c r="E111" s="181" t="n"/>
      <c r="F111" s="181" t="n"/>
      <c r="G111" s="181" t="n"/>
      <c r="H111" s="181" t="n"/>
      <c r="I111" s="181" t="n"/>
      <c r="J111" s="181" t="n"/>
      <c r="K111" s="181" t="n"/>
      <c r="L111" s="181" t="n"/>
      <c r="M111" s="181" t="n"/>
      <c r="N111" s="181" t="n"/>
      <c r="O111" s="181" t="n"/>
      <c r="P111" s="181" t="n"/>
      <c r="Q111" s="181" t="n"/>
      <c r="R111" s="181" t="n"/>
      <c r="S111" s="181" t="n"/>
      <c r="T111" s="181" t="n"/>
      <c r="U111" s="181" t="n"/>
    </row>
    <row r="112">
      <c r="A112" s="181" t="n"/>
      <c r="B112" s="181" t="n"/>
      <c r="C112" s="181" t="n"/>
      <c r="D112" s="181" t="n"/>
      <c r="E112" s="181" t="n"/>
      <c r="F112" s="181" t="n"/>
      <c r="G112" s="181" t="n"/>
      <c r="H112" s="181" t="n"/>
      <c r="I112" s="181" t="n"/>
      <c r="J112" s="181" t="n"/>
      <c r="K112" s="181" t="n"/>
      <c r="L112" s="181" t="n"/>
      <c r="M112" s="181" t="n"/>
      <c r="N112" s="181" t="n"/>
      <c r="O112" s="181" t="n"/>
      <c r="P112" s="181" t="n"/>
      <c r="Q112" s="181" t="n"/>
      <c r="R112" s="181" t="n"/>
      <c r="S112" s="181" t="n"/>
      <c r="T112" s="181" t="n"/>
      <c r="U112" s="181" t="n"/>
    </row>
    <row r="113">
      <c r="A113" s="181" t="n"/>
      <c r="B113" s="181" t="n"/>
      <c r="C113" s="181" t="n"/>
      <c r="D113" s="181" t="n"/>
      <c r="E113" s="181" t="n"/>
      <c r="F113" s="181" t="n"/>
      <c r="G113" s="181" t="n"/>
      <c r="H113" s="181" t="n"/>
      <c r="I113" s="181" t="n"/>
      <c r="J113" s="181" t="n"/>
      <c r="K113" s="181" t="n"/>
      <c r="L113" s="181" t="n"/>
      <c r="M113" s="181" t="n"/>
      <c r="N113" s="181" t="n"/>
      <c r="O113" s="181" t="n"/>
      <c r="P113" s="181" t="n"/>
      <c r="Q113" s="181" t="n"/>
      <c r="R113" s="181" t="n"/>
      <c r="S113" s="181" t="n"/>
      <c r="T113" s="181" t="n"/>
      <c r="U113" s="181" t="n"/>
    </row>
    <row r="114">
      <c r="A114" s="181" t="n"/>
      <c r="B114" s="181" t="n"/>
      <c r="C114" s="181" t="n"/>
      <c r="D114" s="181" t="n"/>
      <c r="E114" s="181" t="n"/>
      <c r="F114" s="181" t="n"/>
      <c r="G114" s="181" t="n"/>
      <c r="H114" s="181" t="n"/>
      <c r="I114" s="181" t="n"/>
      <c r="J114" s="181" t="n"/>
      <c r="K114" s="181" t="n"/>
      <c r="L114" s="181" t="n"/>
      <c r="M114" s="181" t="n"/>
      <c r="N114" s="181" t="n"/>
      <c r="O114" s="181" t="n"/>
      <c r="P114" s="181" t="n"/>
      <c r="Q114" s="181" t="n"/>
      <c r="R114" s="181" t="n"/>
      <c r="S114" s="181" t="n"/>
      <c r="T114" s="181" t="n"/>
      <c r="U114" s="181" t="n"/>
    </row>
    <row r="115">
      <c r="A115" s="181" t="n"/>
      <c r="B115" s="181" t="n"/>
      <c r="C115" s="181" t="n"/>
      <c r="D115" s="181" t="n"/>
      <c r="E115" s="181" t="n"/>
      <c r="F115" s="181" t="n"/>
      <c r="G115" s="181" t="n"/>
      <c r="H115" s="181" t="n"/>
      <c r="I115" s="181" t="n"/>
      <c r="J115" s="181" t="n"/>
      <c r="K115" s="181" t="n"/>
      <c r="L115" s="181" t="n"/>
      <c r="M115" s="181" t="n"/>
      <c r="N115" s="181" t="n"/>
      <c r="O115" s="181" t="n"/>
      <c r="P115" s="181" t="n"/>
      <c r="Q115" s="181" t="n"/>
      <c r="R115" s="181" t="n"/>
      <c r="S115" s="181" t="n"/>
      <c r="T115" s="181" t="n"/>
      <c r="U115" s="181" t="n"/>
    </row>
    <row r="116">
      <c r="A116" s="181" t="n"/>
      <c r="B116" s="181" t="n"/>
      <c r="C116" s="181" t="n"/>
      <c r="D116" s="181" t="n"/>
      <c r="E116" s="181" t="n"/>
      <c r="F116" s="181" t="n"/>
      <c r="G116" s="181" t="n"/>
      <c r="H116" s="181" t="n"/>
      <c r="I116" s="181" t="n"/>
      <c r="J116" s="181" t="n"/>
      <c r="K116" s="181" t="n"/>
      <c r="L116" s="181" t="n"/>
      <c r="M116" s="181" t="n"/>
      <c r="N116" s="181" t="n"/>
      <c r="O116" s="181" t="n"/>
      <c r="P116" s="181" t="n"/>
      <c r="Q116" s="181" t="n"/>
      <c r="R116" s="181" t="n"/>
      <c r="S116" s="181" t="n"/>
      <c r="T116" s="181" t="n"/>
      <c r="U116" s="181" t="n"/>
    </row>
    <row r="117">
      <c r="A117" s="181" t="n"/>
      <c r="B117" s="181" t="n"/>
      <c r="C117" s="181" t="n"/>
      <c r="D117" s="181" t="n"/>
      <c r="E117" s="181" t="n"/>
      <c r="F117" s="181" t="n"/>
      <c r="G117" s="181" t="n"/>
      <c r="H117" s="181" t="n"/>
      <c r="I117" s="181" t="n"/>
      <c r="J117" s="181" t="n"/>
      <c r="K117" s="181" t="n"/>
      <c r="L117" s="181" t="n"/>
      <c r="M117" s="181" t="n"/>
      <c r="N117" s="181" t="n"/>
      <c r="O117" s="181" t="n"/>
      <c r="P117" s="181" t="n"/>
      <c r="Q117" s="181" t="n"/>
      <c r="R117" s="181" t="n"/>
      <c r="S117" s="181" t="n"/>
      <c r="T117" s="181" t="n"/>
      <c r="U117" s="181" t="n"/>
    </row>
    <row r="118">
      <c r="A118" s="181" t="n"/>
      <c r="B118" s="181" t="n"/>
      <c r="C118" s="181" t="n"/>
      <c r="D118" s="181" t="n"/>
      <c r="E118" s="181" t="n"/>
      <c r="F118" s="181" t="n"/>
      <c r="G118" s="181" t="n"/>
      <c r="H118" s="181" t="n"/>
      <c r="I118" s="181" t="n"/>
      <c r="J118" s="181" t="n"/>
      <c r="K118" s="181" t="n"/>
      <c r="L118" s="181" t="n"/>
      <c r="M118" s="181" t="n"/>
      <c r="N118" s="181" t="n"/>
      <c r="O118" s="181" t="n"/>
      <c r="P118" s="181" t="n"/>
      <c r="Q118" s="181" t="n"/>
      <c r="R118" s="181" t="n"/>
      <c r="S118" s="181" t="n"/>
      <c r="T118" s="181" t="n"/>
      <c r="U118" s="181" t="n"/>
    </row>
    <row r="119">
      <c r="A119" s="181" t="n"/>
      <c r="B119" s="181" t="n"/>
      <c r="C119" s="181" t="n"/>
      <c r="D119" s="181" t="n"/>
      <c r="E119" s="181" t="n"/>
      <c r="F119" s="181" t="n"/>
      <c r="G119" s="181" t="n"/>
      <c r="H119" s="181" t="n"/>
      <c r="I119" s="181" t="n"/>
      <c r="J119" s="181" t="n"/>
      <c r="K119" s="181" t="n"/>
      <c r="L119" s="181" t="n"/>
      <c r="M119" s="181" t="n"/>
      <c r="N119" s="181" t="n"/>
      <c r="O119" s="181" t="n"/>
      <c r="P119" s="181" t="n"/>
      <c r="Q119" s="181" t="n"/>
      <c r="R119" s="181" t="n"/>
      <c r="S119" s="181" t="n"/>
      <c r="T119" s="181" t="n"/>
      <c r="U119" s="181" t="n"/>
    </row>
    <row r="120">
      <c r="A120" s="181" t="n"/>
      <c r="B120" s="181" t="n"/>
      <c r="C120" s="181" t="n"/>
      <c r="D120" s="181" t="n"/>
      <c r="E120" s="181" t="n"/>
      <c r="F120" s="181" t="n"/>
      <c r="G120" s="181" t="n"/>
      <c r="H120" s="181" t="n"/>
      <c r="I120" s="181" t="n"/>
      <c r="J120" s="181" t="n"/>
      <c r="K120" s="181" t="n"/>
      <c r="L120" s="181" t="n"/>
      <c r="M120" s="181" t="n"/>
      <c r="N120" s="181" t="n"/>
      <c r="O120" s="181" t="n"/>
      <c r="P120" s="181" t="n"/>
      <c r="Q120" s="181" t="n"/>
      <c r="R120" s="181" t="n"/>
      <c r="S120" s="181" t="n"/>
      <c r="T120" s="181" t="n"/>
      <c r="U120" s="181" t="n"/>
    </row>
    <row r="121">
      <c r="A121" s="181" t="n"/>
      <c r="B121" s="181" t="n"/>
      <c r="C121" s="181" t="n"/>
      <c r="D121" s="181" t="n"/>
      <c r="E121" s="181" t="n"/>
      <c r="F121" s="181" t="n"/>
      <c r="G121" s="181" t="n"/>
      <c r="H121" s="181" t="n"/>
      <c r="I121" s="181" t="n"/>
      <c r="J121" s="181" t="n"/>
      <c r="K121" s="181" t="n"/>
      <c r="L121" s="181" t="n"/>
      <c r="M121" s="181" t="n"/>
      <c r="N121" s="181" t="n"/>
      <c r="O121" s="181" t="n"/>
      <c r="P121" s="181" t="n"/>
      <c r="Q121" s="181" t="n"/>
      <c r="R121" s="181" t="n"/>
      <c r="S121" s="181" t="n"/>
      <c r="T121" s="181" t="n"/>
      <c r="U121" s="181" t="n"/>
    </row>
    <row r="122">
      <c r="A122" s="181" t="n"/>
      <c r="B122" s="181" t="n"/>
      <c r="C122" s="181" t="n"/>
      <c r="D122" s="181" t="n"/>
      <c r="E122" s="181" t="n"/>
      <c r="F122" s="181" t="n"/>
      <c r="G122" s="181" t="n"/>
      <c r="H122" s="181" t="n"/>
      <c r="I122" s="181" t="n"/>
      <c r="J122" s="181" t="n"/>
      <c r="K122" s="181" t="n"/>
      <c r="L122" s="181" t="n"/>
      <c r="M122" s="181" t="n"/>
      <c r="N122" s="181" t="n"/>
      <c r="O122" s="181" t="n"/>
      <c r="P122" s="181" t="n"/>
      <c r="Q122" s="181" t="n"/>
      <c r="R122" s="181" t="n"/>
      <c r="S122" s="181" t="n"/>
      <c r="T122" s="181" t="n"/>
      <c r="U122" s="181" t="n"/>
    </row>
    <row r="123">
      <c r="A123" s="181" t="n"/>
      <c r="B123" s="181" t="n"/>
      <c r="C123" s="181" t="n"/>
      <c r="D123" s="181" t="n"/>
      <c r="E123" s="181" t="n"/>
      <c r="F123" s="181" t="n"/>
      <c r="G123" s="181" t="n"/>
      <c r="H123" s="181" t="n"/>
      <c r="I123" s="181" t="n"/>
      <c r="J123" s="181" t="n"/>
      <c r="K123" s="181" t="n"/>
      <c r="L123" s="181" t="n"/>
      <c r="M123" s="181" t="n"/>
      <c r="N123" s="181" t="n"/>
      <c r="O123" s="181" t="n"/>
      <c r="P123" s="181" t="n"/>
      <c r="Q123" s="181" t="n"/>
      <c r="R123" s="181" t="n"/>
      <c r="S123" s="181" t="n"/>
      <c r="T123" s="181" t="n"/>
      <c r="U123" s="181" t="n"/>
    </row>
    <row r="124">
      <c r="A124" s="181" t="n"/>
      <c r="B124" s="181" t="n"/>
      <c r="C124" s="181" t="n"/>
      <c r="D124" s="181" t="n"/>
      <c r="E124" s="181" t="n"/>
      <c r="F124" s="181" t="n"/>
      <c r="G124" s="181" t="n"/>
      <c r="H124" s="181" t="n"/>
      <c r="I124" s="181" t="n"/>
      <c r="J124" s="181" t="n"/>
      <c r="K124" s="181" t="n"/>
      <c r="L124" s="181" t="n"/>
      <c r="M124" s="181" t="n"/>
      <c r="N124" s="181" t="n"/>
      <c r="O124" s="181" t="n"/>
      <c r="P124" s="181" t="n"/>
      <c r="Q124" s="181" t="n"/>
      <c r="R124" s="181" t="n"/>
      <c r="S124" s="181" t="n"/>
      <c r="T124" s="181" t="n"/>
      <c r="U124" s="181" t="n"/>
    </row>
    <row r="125">
      <c r="A125" s="181" t="n"/>
      <c r="B125" s="181" t="n"/>
      <c r="C125" s="181" t="n"/>
      <c r="D125" s="181" t="n"/>
      <c r="E125" s="181" t="n"/>
      <c r="F125" s="181" t="n"/>
      <c r="G125" s="181" t="n"/>
      <c r="H125" s="181" t="n"/>
      <c r="I125" s="181" t="n"/>
      <c r="J125" s="181" t="n"/>
      <c r="K125" s="181" t="n"/>
      <c r="L125" s="181" t="n"/>
      <c r="M125" s="181" t="n"/>
      <c r="N125" s="181" t="n"/>
      <c r="O125" s="181" t="n"/>
      <c r="P125" s="181" t="n"/>
      <c r="Q125" s="181" t="n"/>
      <c r="R125" s="181" t="n"/>
      <c r="S125" s="181" t="n"/>
      <c r="T125" s="181" t="n"/>
      <c r="U125" s="181" t="n"/>
    </row>
    <row r="126">
      <c r="A126" s="181" t="n"/>
      <c r="B126" s="181" t="n"/>
      <c r="C126" s="181" t="n"/>
      <c r="D126" s="181" t="n"/>
      <c r="E126" s="181" t="n"/>
      <c r="F126" s="181" t="n"/>
      <c r="G126" s="181" t="n"/>
      <c r="H126" s="181" t="n"/>
      <c r="I126" s="181" t="n"/>
      <c r="J126" s="181" t="n"/>
      <c r="K126" s="181" t="n"/>
      <c r="L126" s="181" t="n"/>
      <c r="M126" s="181" t="n"/>
      <c r="N126" s="181" t="n"/>
      <c r="O126" s="181" t="n"/>
      <c r="P126" s="181" t="n"/>
      <c r="Q126" s="181" t="n"/>
      <c r="R126" s="181" t="n"/>
      <c r="S126" s="181" t="n"/>
      <c r="T126" s="181" t="n"/>
      <c r="U126" s="181" t="n"/>
    </row>
    <row r="127">
      <c r="A127" s="181" t="n"/>
      <c r="B127" s="181" t="n"/>
      <c r="C127" s="181" t="n"/>
      <c r="D127" s="181" t="n"/>
      <c r="E127" s="181" t="n"/>
      <c r="F127" s="181" t="n"/>
      <c r="G127" s="181" t="n"/>
      <c r="H127" s="181" t="n"/>
      <c r="I127" s="181" t="n"/>
      <c r="J127" s="181" t="n"/>
      <c r="K127" s="181" t="n"/>
      <c r="L127" s="181" t="n"/>
      <c r="M127" s="181" t="n"/>
      <c r="N127" s="181" t="n"/>
      <c r="O127" s="181" t="n"/>
      <c r="P127" s="181" t="n"/>
      <c r="Q127" s="181" t="n"/>
      <c r="R127" s="181" t="n"/>
      <c r="S127" s="181" t="n"/>
      <c r="T127" s="181" t="n"/>
      <c r="U127" s="181" t="n"/>
    </row>
    <row r="128">
      <c r="A128" s="181" t="n"/>
      <c r="B128" s="181" t="n"/>
      <c r="C128" s="181" t="n"/>
      <c r="D128" s="181" t="n"/>
      <c r="E128" s="181" t="n"/>
      <c r="F128" s="181" t="n"/>
      <c r="G128" s="181" t="n"/>
      <c r="H128" s="181" t="n"/>
      <c r="I128" s="181" t="n"/>
      <c r="J128" s="181" t="n"/>
      <c r="K128" s="181" t="n"/>
      <c r="L128" s="181" t="n"/>
      <c r="M128" s="181" t="n"/>
      <c r="N128" s="181" t="n"/>
      <c r="O128" s="181" t="n"/>
      <c r="P128" s="181" t="n"/>
      <c r="Q128" s="181" t="n"/>
      <c r="R128" s="181" t="n"/>
      <c r="S128" s="181" t="n"/>
      <c r="T128" s="181" t="n"/>
      <c r="U128" s="181" t="n"/>
    </row>
    <row r="129">
      <c r="A129" s="181" t="n"/>
      <c r="B129" s="181" t="n"/>
      <c r="C129" s="181" t="n"/>
      <c r="D129" s="181" t="n"/>
      <c r="E129" s="181" t="n"/>
      <c r="F129" s="181" t="n"/>
      <c r="G129" s="181" t="n"/>
      <c r="H129" s="181" t="n"/>
      <c r="I129" s="181" t="n"/>
      <c r="J129" s="181" t="n"/>
      <c r="K129" s="181" t="n"/>
      <c r="L129" s="181" t="n"/>
      <c r="M129" s="181" t="n"/>
      <c r="N129" s="181" t="n"/>
      <c r="O129" s="181" t="n"/>
      <c r="P129" s="181" t="n"/>
      <c r="Q129" s="181" t="n"/>
      <c r="R129" s="181" t="n"/>
      <c r="S129" s="181" t="n"/>
      <c r="T129" s="181" t="n"/>
      <c r="U129" s="181" t="n"/>
    </row>
    <row r="130">
      <c r="A130" s="181" t="n"/>
      <c r="B130" s="181" t="n"/>
      <c r="C130" s="181" t="n"/>
      <c r="D130" s="181" t="n"/>
      <c r="E130" s="181" t="n"/>
      <c r="F130" s="181" t="n"/>
      <c r="G130" s="181" t="n"/>
      <c r="H130" s="181" t="n"/>
      <c r="I130" s="181" t="n"/>
      <c r="J130" s="181" t="n"/>
      <c r="K130" s="181" t="n"/>
      <c r="L130" s="181" t="n"/>
      <c r="M130" s="181" t="n"/>
      <c r="N130" s="181" t="n"/>
      <c r="O130" s="181" t="n"/>
      <c r="P130" s="181" t="n"/>
      <c r="Q130" s="181" t="n"/>
      <c r="R130" s="181" t="n"/>
      <c r="S130" s="181" t="n"/>
      <c r="T130" s="181" t="n"/>
      <c r="U130" s="181" t="n"/>
    </row>
    <row r="131">
      <c r="A131" s="181" t="n"/>
      <c r="B131" s="181" t="n"/>
      <c r="C131" s="181" t="n"/>
      <c r="D131" s="181" t="n"/>
      <c r="E131" s="181" t="n"/>
      <c r="F131" s="181" t="n"/>
      <c r="G131" s="181" t="n"/>
      <c r="H131" s="181" t="n"/>
      <c r="I131" s="181" t="n"/>
      <c r="J131" s="181" t="n"/>
      <c r="K131" s="181" t="n"/>
      <c r="L131" s="181" t="n"/>
      <c r="M131" s="181" t="n"/>
      <c r="N131" s="181" t="n"/>
      <c r="O131" s="181" t="n"/>
      <c r="P131" s="181" t="n"/>
      <c r="Q131" s="181" t="n"/>
      <c r="R131" s="181" t="n"/>
      <c r="S131" s="181" t="n"/>
      <c r="T131" s="181" t="n"/>
      <c r="U131" s="181" t="n"/>
    </row>
    <row r="132">
      <c r="A132" s="181" t="n"/>
      <c r="B132" s="181" t="n"/>
      <c r="C132" s="181" t="n"/>
      <c r="D132" s="181" t="n"/>
      <c r="E132" s="181" t="n"/>
      <c r="F132" s="181" t="n"/>
      <c r="G132" s="181" t="n"/>
      <c r="H132" s="181" t="n"/>
      <c r="I132" s="181" t="n"/>
      <c r="J132" s="181" t="n"/>
      <c r="K132" s="181" t="n"/>
      <c r="L132" s="181" t="n"/>
      <c r="M132" s="181" t="n"/>
      <c r="N132" s="181" t="n"/>
      <c r="O132" s="181" t="n"/>
      <c r="P132" s="181" t="n"/>
      <c r="Q132" s="181" t="n"/>
      <c r="R132" s="181" t="n"/>
      <c r="S132" s="181" t="n"/>
      <c r="T132" s="181" t="n"/>
      <c r="U132" s="181" t="n"/>
    </row>
    <row r="133">
      <c r="A133" s="181" t="n"/>
      <c r="B133" s="181" t="n"/>
      <c r="C133" s="181" t="n"/>
      <c r="D133" s="181" t="n"/>
      <c r="E133" s="181" t="n"/>
      <c r="F133" s="181" t="n"/>
      <c r="G133" s="181" t="n"/>
      <c r="H133" s="181" t="n"/>
      <c r="I133" s="181" t="n"/>
      <c r="J133" s="181" t="n"/>
      <c r="K133" s="181" t="n"/>
      <c r="L133" s="181" t="n"/>
      <c r="M133" s="181" t="n"/>
      <c r="N133" s="181" t="n"/>
      <c r="O133" s="181" t="n"/>
      <c r="P133" s="181" t="n"/>
      <c r="Q133" s="181" t="n"/>
      <c r="R133" s="181" t="n"/>
      <c r="S133" s="181" t="n"/>
      <c r="T133" s="181" t="n"/>
      <c r="U133" s="181" t="n"/>
    </row>
    <row r="134">
      <c r="A134" s="181" t="n"/>
      <c r="B134" s="181" t="n"/>
      <c r="C134" s="181" t="n"/>
      <c r="D134" s="181" t="n"/>
      <c r="E134" s="181" t="n"/>
      <c r="F134" s="181" t="n"/>
      <c r="G134" s="181" t="n"/>
      <c r="H134" s="181" t="n"/>
      <c r="I134" s="181" t="n"/>
      <c r="J134" s="181" t="n"/>
      <c r="K134" s="181" t="n"/>
      <c r="L134" s="181" t="n"/>
      <c r="M134" s="181" t="n"/>
      <c r="N134" s="181" t="n"/>
      <c r="O134" s="181" t="n"/>
      <c r="P134" s="181" t="n"/>
      <c r="Q134" s="181" t="n"/>
      <c r="R134" s="181" t="n"/>
      <c r="S134" s="181" t="n"/>
      <c r="T134" s="181" t="n"/>
      <c r="U134" s="181" t="n"/>
    </row>
    <row r="135">
      <c r="A135" s="181" t="n"/>
      <c r="B135" s="181" t="n"/>
      <c r="C135" s="181" t="n"/>
      <c r="D135" s="181" t="n"/>
      <c r="E135" s="181" t="n"/>
      <c r="F135" s="181" t="n"/>
      <c r="G135" s="181" t="n"/>
      <c r="H135" s="181" t="n"/>
      <c r="I135" s="181" t="n"/>
      <c r="J135" s="181" t="n"/>
      <c r="K135" s="181" t="n"/>
      <c r="L135" s="181" t="n"/>
      <c r="M135" s="181" t="n"/>
      <c r="N135" s="181" t="n"/>
      <c r="O135" s="181" t="n"/>
      <c r="P135" s="181" t="n"/>
      <c r="Q135" s="181" t="n"/>
      <c r="R135" s="181" t="n"/>
      <c r="S135" s="181" t="n"/>
      <c r="T135" s="181" t="n"/>
      <c r="U135" s="181" t="n"/>
    </row>
    <row r="136">
      <c r="A136" s="181" t="n"/>
      <c r="B136" s="181" t="n"/>
      <c r="C136" s="181" t="n"/>
      <c r="D136" s="181" t="n"/>
      <c r="E136" s="181" t="n"/>
      <c r="F136" s="181" t="n"/>
      <c r="G136" s="181" t="n"/>
      <c r="H136" s="181" t="n"/>
      <c r="I136" s="181" t="n"/>
      <c r="J136" s="181" t="n"/>
      <c r="K136" s="181" t="n"/>
      <c r="L136" s="181" t="n"/>
      <c r="M136" s="181" t="n"/>
      <c r="N136" s="181" t="n"/>
      <c r="O136" s="181" t="n"/>
      <c r="P136" s="181" t="n"/>
      <c r="Q136" s="181" t="n"/>
      <c r="R136" s="181" t="n"/>
      <c r="S136" s="181" t="n"/>
      <c r="T136" s="181" t="n"/>
      <c r="U136" s="181" t="n"/>
    </row>
    <row r="137">
      <c r="A137" s="181" t="n"/>
      <c r="B137" s="181" t="n"/>
      <c r="C137" s="181" t="n"/>
      <c r="D137" s="181" t="n"/>
      <c r="E137" s="181" t="n"/>
      <c r="F137" s="181" t="n"/>
      <c r="G137" s="181" t="n"/>
      <c r="H137" s="181" t="n"/>
      <c r="I137" s="181" t="n"/>
      <c r="J137" s="181" t="n"/>
      <c r="K137" s="181" t="n"/>
      <c r="L137" s="181" t="n"/>
      <c r="M137" s="181" t="n"/>
      <c r="N137" s="181" t="n"/>
      <c r="O137" s="181" t="n"/>
      <c r="P137" s="181" t="n"/>
      <c r="Q137" s="181" t="n"/>
      <c r="R137" s="181" t="n"/>
      <c r="S137" s="181" t="n"/>
      <c r="T137" s="181" t="n"/>
      <c r="U137" s="181" t="n"/>
    </row>
    <row r="138">
      <c r="A138" s="181" t="n"/>
      <c r="B138" s="181" t="n"/>
      <c r="C138" s="181" t="n"/>
      <c r="D138" s="181" t="n"/>
      <c r="E138" s="181" t="n"/>
      <c r="F138" s="181" t="n"/>
      <c r="G138" s="181" t="n"/>
      <c r="H138" s="181" t="n"/>
      <c r="I138" s="181" t="n"/>
      <c r="J138" s="181" t="n"/>
      <c r="K138" s="181" t="n"/>
      <c r="L138" s="181" t="n"/>
      <c r="M138" s="181" t="n"/>
      <c r="N138" s="181" t="n"/>
      <c r="O138" s="181" t="n"/>
      <c r="P138" s="181" t="n"/>
      <c r="Q138" s="181" t="n"/>
      <c r="R138" s="181" t="n"/>
      <c r="S138" s="181" t="n"/>
      <c r="T138" s="181" t="n"/>
      <c r="U138" s="181" t="n"/>
    </row>
    <row r="139">
      <c r="A139" s="181" t="n"/>
      <c r="B139" s="181" t="n"/>
      <c r="C139" s="181" t="n"/>
      <c r="D139" s="181" t="n"/>
      <c r="E139" s="181" t="n"/>
      <c r="F139" s="181" t="n"/>
      <c r="G139" s="181" t="n"/>
      <c r="H139" s="181" t="n"/>
      <c r="I139" s="181" t="n"/>
      <c r="J139" s="181" t="n"/>
      <c r="K139" s="181" t="n"/>
      <c r="L139" s="181" t="n"/>
      <c r="M139" s="181" t="n"/>
      <c r="N139" s="181" t="n"/>
      <c r="O139" s="181" t="n"/>
      <c r="P139" s="181" t="n"/>
      <c r="Q139" s="181" t="n"/>
      <c r="R139" s="181" t="n"/>
      <c r="S139" s="181" t="n"/>
      <c r="T139" s="181" t="n"/>
      <c r="U139" s="181" t="n"/>
    </row>
    <row r="140">
      <c r="A140" s="181" t="n"/>
      <c r="B140" s="181" t="n"/>
      <c r="C140" s="181" t="n"/>
      <c r="D140" s="181" t="n"/>
      <c r="E140" s="181" t="n"/>
      <c r="F140" s="181" t="n"/>
      <c r="G140" s="181" t="n"/>
      <c r="H140" s="181" t="n"/>
      <c r="I140" s="181" t="n"/>
      <c r="J140" s="181" t="n"/>
      <c r="K140" s="181" t="n"/>
      <c r="L140" s="181" t="n"/>
      <c r="M140" s="181" t="n"/>
      <c r="N140" s="181" t="n"/>
      <c r="O140" s="181" t="n"/>
      <c r="P140" s="181" t="n"/>
      <c r="Q140" s="181" t="n"/>
      <c r="R140" s="181" t="n"/>
      <c r="S140" s="181" t="n"/>
      <c r="T140" s="181" t="n"/>
      <c r="U140" s="181" t="n"/>
    </row>
    <row r="141">
      <c r="A141" s="181" t="n"/>
      <c r="B141" s="181" t="n"/>
      <c r="C141" s="181" t="n"/>
      <c r="D141" s="181" t="n"/>
      <c r="E141" s="181" t="n"/>
      <c r="F141" s="181" t="n"/>
      <c r="G141" s="181" t="n"/>
      <c r="H141" s="181" t="n"/>
      <c r="I141" s="181" t="n"/>
      <c r="J141" s="181" t="n"/>
      <c r="K141" s="181" t="n"/>
      <c r="L141" s="181" t="n"/>
      <c r="M141" s="181" t="n"/>
      <c r="N141" s="181" t="n"/>
      <c r="O141" s="181" t="n"/>
      <c r="P141" s="181" t="n"/>
      <c r="Q141" s="181" t="n"/>
      <c r="R141" s="181" t="n"/>
      <c r="S141" s="181" t="n"/>
      <c r="T141" s="181" t="n"/>
      <c r="U141" s="181" t="n"/>
    </row>
    <row r="142">
      <c r="A142" s="181" t="n"/>
      <c r="B142" s="181" t="n"/>
      <c r="C142" s="181" t="n"/>
      <c r="D142" s="181" t="n"/>
      <c r="E142" s="181" t="n"/>
      <c r="F142" s="181" t="n"/>
      <c r="G142" s="181" t="n"/>
      <c r="H142" s="181" t="n"/>
      <c r="I142" s="181" t="n"/>
      <c r="J142" s="181" t="n"/>
      <c r="K142" s="181" t="n"/>
      <c r="L142" s="181" t="n"/>
      <c r="M142" s="181" t="n"/>
      <c r="N142" s="181" t="n"/>
      <c r="O142" s="181" t="n"/>
      <c r="P142" s="181" t="n"/>
      <c r="Q142" s="181" t="n"/>
      <c r="R142" s="181" t="n"/>
      <c r="S142" s="181" t="n"/>
      <c r="T142" s="181" t="n"/>
      <c r="U142" s="181" t="n"/>
    </row>
    <row r="143">
      <c r="A143" s="181" t="n"/>
      <c r="B143" s="181" t="n"/>
      <c r="C143" s="181" t="n"/>
      <c r="D143" s="181" t="n"/>
      <c r="E143" s="181" t="n"/>
      <c r="F143" s="181" t="n"/>
      <c r="G143" s="181" t="n"/>
      <c r="H143" s="181" t="n"/>
      <c r="I143" s="181" t="n"/>
      <c r="J143" s="181" t="n"/>
      <c r="K143" s="181" t="n"/>
      <c r="L143" s="181" t="n"/>
      <c r="M143" s="181" t="n"/>
      <c r="N143" s="181" t="n"/>
      <c r="O143" s="181" t="n"/>
      <c r="P143" s="181" t="n"/>
      <c r="Q143" s="181" t="n"/>
      <c r="R143" s="181" t="n"/>
      <c r="S143" s="181" t="n"/>
      <c r="T143" s="181" t="n"/>
      <c r="U143" s="181" t="n"/>
    </row>
    <row r="144">
      <c r="A144" s="181" t="n"/>
      <c r="B144" s="181" t="n"/>
      <c r="C144" s="181" t="n"/>
      <c r="D144" s="181" t="n"/>
      <c r="E144" s="181" t="n"/>
      <c r="F144" s="181" t="n"/>
      <c r="G144" s="181" t="n"/>
      <c r="H144" s="181" t="n"/>
      <c r="I144" s="181" t="n"/>
      <c r="J144" s="181" t="n"/>
      <c r="K144" s="181" t="n"/>
      <c r="L144" s="181" t="n"/>
      <c r="M144" s="181" t="n"/>
      <c r="N144" s="181" t="n"/>
      <c r="O144" s="181" t="n"/>
      <c r="P144" s="181" t="n"/>
      <c r="Q144" s="181" t="n"/>
      <c r="R144" s="181" t="n"/>
      <c r="S144" s="181" t="n"/>
      <c r="T144" s="181" t="n"/>
      <c r="U144" s="181" t="n"/>
    </row>
    <row r="145">
      <c r="A145" s="181" t="n"/>
      <c r="B145" s="181" t="n"/>
      <c r="C145" s="181" t="n"/>
      <c r="D145" s="181" t="n"/>
      <c r="E145" s="181" t="n"/>
      <c r="F145" s="181" t="n"/>
      <c r="G145" s="181" t="n"/>
      <c r="H145" s="181" t="n"/>
      <c r="I145" s="181" t="n"/>
      <c r="J145" s="181" t="n"/>
      <c r="K145" s="181" t="n"/>
      <c r="L145" s="181" t="n"/>
      <c r="M145" s="181" t="n"/>
      <c r="N145" s="181" t="n"/>
      <c r="O145" s="181" t="n"/>
      <c r="P145" s="181" t="n"/>
      <c r="Q145" s="181" t="n"/>
      <c r="R145" s="181" t="n"/>
      <c r="S145" s="181" t="n"/>
      <c r="T145" s="181" t="n"/>
      <c r="U145" s="181" t="n"/>
    </row>
    <row r="146">
      <c r="A146" s="181" t="n"/>
      <c r="B146" s="181" t="n"/>
      <c r="C146" s="181" t="n"/>
      <c r="D146" s="181" t="n"/>
      <c r="E146" s="181" t="n"/>
      <c r="F146" s="181" t="n"/>
      <c r="G146" s="181" t="n"/>
      <c r="H146" s="181" t="n"/>
      <c r="I146" s="181" t="n"/>
      <c r="J146" s="181" t="n"/>
      <c r="K146" s="181" t="n"/>
      <c r="L146" s="181" t="n"/>
      <c r="M146" s="181" t="n"/>
      <c r="N146" s="181" t="n"/>
      <c r="O146" s="181" t="n"/>
      <c r="P146" s="181" t="n"/>
      <c r="Q146" s="181" t="n"/>
      <c r="R146" s="181" t="n"/>
      <c r="S146" s="181" t="n"/>
      <c r="T146" s="181" t="n"/>
      <c r="U146" s="181" t="n"/>
    </row>
    <row r="147">
      <c r="A147" s="181" t="n"/>
      <c r="B147" s="181" t="n"/>
      <c r="C147" s="181" t="n"/>
      <c r="D147" s="181" t="n"/>
      <c r="E147" s="181" t="n"/>
      <c r="F147" s="181" t="n"/>
      <c r="G147" s="181" t="n"/>
      <c r="H147" s="181" t="n"/>
      <c r="I147" s="181" t="n"/>
      <c r="J147" s="181" t="n"/>
      <c r="K147" s="181" t="n"/>
      <c r="L147" s="181" t="n"/>
      <c r="M147" s="181" t="n"/>
      <c r="N147" s="181" t="n"/>
      <c r="O147" s="181" t="n"/>
      <c r="P147" s="181" t="n"/>
      <c r="Q147" s="181" t="n"/>
      <c r="R147" s="181" t="n"/>
      <c r="S147" s="181" t="n"/>
      <c r="T147" s="181" t="n"/>
      <c r="U147" s="181" t="n"/>
    </row>
    <row r="148">
      <c r="A148" s="181" t="n"/>
      <c r="B148" s="181" t="n"/>
      <c r="C148" s="181" t="n"/>
      <c r="D148" s="181" t="n"/>
      <c r="E148" s="181" t="n"/>
      <c r="F148" s="181" t="n"/>
      <c r="G148" s="181" t="n"/>
      <c r="H148" s="181" t="n"/>
      <c r="I148" s="181" t="n"/>
      <c r="J148" s="181" t="n"/>
      <c r="K148" s="181" t="n"/>
      <c r="L148" s="181" t="n"/>
      <c r="M148" s="181" t="n"/>
      <c r="N148" s="181" t="n"/>
      <c r="O148" s="181" t="n"/>
      <c r="P148" s="181" t="n"/>
      <c r="Q148" s="181" t="n"/>
      <c r="R148" s="181" t="n"/>
      <c r="S148" s="181" t="n"/>
      <c r="T148" s="181" t="n"/>
      <c r="U148" s="181" t="n"/>
    </row>
    <row r="149">
      <c r="A149" s="181" t="n"/>
      <c r="B149" s="181" t="n"/>
      <c r="C149" s="181" t="n"/>
      <c r="D149" s="181" t="n"/>
      <c r="E149" s="181" t="n"/>
      <c r="F149" s="181" t="n"/>
      <c r="G149" s="181" t="n"/>
      <c r="H149" s="181" t="n"/>
      <c r="I149" s="181" t="n"/>
      <c r="J149" s="181" t="n"/>
      <c r="K149" s="181" t="n"/>
      <c r="L149" s="181" t="n"/>
      <c r="M149" s="181" t="n"/>
      <c r="N149" s="181" t="n"/>
      <c r="O149" s="181" t="n"/>
      <c r="P149" s="181" t="n"/>
      <c r="Q149" s="181" t="n"/>
      <c r="R149" s="181" t="n"/>
      <c r="S149" s="181" t="n"/>
      <c r="T149" s="181" t="n"/>
      <c r="U149" s="181" t="n"/>
    </row>
    <row r="150">
      <c r="A150" s="181" t="n"/>
      <c r="B150" s="181" t="n"/>
      <c r="C150" s="181" t="n"/>
      <c r="D150" s="181" t="n"/>
      <c r="E150" s="181" t="n"/>
      <c r="F150" s="181" t="n"/>
      <c r="G150" s="181" t="n"/>
      <c r="H150" s="181" t="n"/>
      <c r="I150" s="181" t="n"/>
      <c r="J150" s="181" t="n"/>
      <c r="K150" s="181" t="n"/>
      <c r="L150" s="181" t="n"/>
      <c r="M150" s="181" t="n"/>
      <c r="N150" s="181" t="n"/>
      <c r="O150" s="181" t="n"/>
      <c r="P150" s="181" t="n"/>
      <c r="Q150" s="181" t="n"/>
      <c r="R150" s="181" t="n"/>
      <c r="S150" s="181" t="n"/>
      <c r="T150" s="181" t="n"/>
      <c r="U150" s="181" t="n"/>
    </row>
    <row r="151">
      <c r="A151" s="181" t="n"/>
      <c r="B151" s="181" t="n"/>
      <c r="C151" s="181" t="n"/>
      <c r="D151" s="181" t="n"/>
      <c r="E151" s="181" t="n"/>
      <c r="F151" s="181" t="n"/>
      <c r="G151" s="181" t="n"/>
      <c r="H151" s="181" t="n"/>
      <c r="I151" s="181" t="n"/>
      <c r="J151" s="181" t="n"/>
      <c r="K151" s="181" t="n"/>
      <c r="L151" s="181" t="n"/>
      <c r="M151" s="181" t="n"/>
      <c r="N151" s="181" t="n"/>
      <c r="O151" s="181" t="n"/>
      <c r="P151" s="181" t="n"/>
      <c r="Q151" s="181" t="n"/>
      <c r="R151" s="181" t="n"/>
      <c r="S151" s="181" t="n"/>
      <c r="T151" s="181" t="n"/>
      <c r="U151" s="181" t="n"/>
    </row>
    <row r="152">
      <c r="A152" s="181" t="n"/>
      <c r="B152" s="181" t="n"/>
      <c r="C152" s="181" t="n"/>
      <c r="D152" s="181" t="n"/>
      <c r="E152" s="181" t="n"/>
      <c r="F152" s="181" t="n"/>
      <c r="G152" s="181" t="n"/>
      <c r="H152" s="181" t="n"/>
      <c r="I152" s="181" t="n"/>
      <c r="J152" s="181" t="n"/>
      <c r="K152" s="181" t="n"/>
      <c r="L152" s="181" t="n"/>
      <c r="M152" s="181" t="n"/>
      <c r="N152" s="181" t="n"/>
      <c r="O152" s="181" t="n"/>
      <c r="P152" s="181" t="n"/>
      <c r="Q152" s="181" t="n"/>
      <c r="R152" s="181" t="n"/>
      <c r="S152" s="181" t="n"/>
      <c r="T152" s="181" t="n"/>
      <c r="U152" s="181" t="n"/>
    </row>
    <row r="153">
      <c r="A153" s="181" t="n"/>
      <c r="B153" s="181" t="n"/>
      <c r="C153" s="181" t="n"/>
      <c r="D153" s="181" t="n"/>
      <c r="E153" s="181" t="n"/>
      <c r="F153" s="181" t="n"/>
      <c r="G153" s="181" t="n"/>
      <c r="H153" s="181" t="n"/>
      <c r="I153" s="181" t="n"/>
      <c r="J153" s="181" t="n"/>
      <c r="K153" s="181" t="n"/>
      <c r="L153" s="181" t="n"/>
      <c r="M153" s="181" t="n"/>
      <c r="N153" s="181" t="n"/>
      <c r="O153" s="181" t="n"/>
      <c r="P153" s="181" t="n"/>
      <c r="Q153" s="181" t="n"/>
      <c r="R153" s="181" t="n"/>
      <c r="S153" s="181" t="n"/>
      <c r="T153" s="181" t="n"/>
      <c r="U153" s="181" t="n"/>
    </row>
    <row r="154">
      <c r="A154" s="181" t="n"/>
      <c r="B154" s="181" t="n"/>
      <c r="C154" s="181" t="n"/>
      <c r="D154" s="181" t="n"/>
      <c r="E154" s="181" t="n"/>
      <c r="F154" s="181" t="n"/>
      <c r="G154" s="181" t="n"/>
      <c r="H154" s="181" t="n"/>
      <c r="I154" s="181" t="n"/>
      <c r="J154" s="181" t="n"/>
      <c r="K154" s="181" t="n"/>
      <c r="L154" s="181" t="n"/>
      <c r="M154" s="181" t="n"/>
      <c r="N154" s="181" t="n"/>
      <c r="O154" s="181" t="n"/>
      <c r="P154" s="181" t="n"/>
      <c r="Q154" s="181" t="n"/>
      <c r="R154" s="181" t="n"/>
      <c r="S154" s="181" t="n"/>
      <c r="T154" s="181" t="n"/>
      <c r="U154" s="181" t="n"/>
    </row>
    <row r="155">
      <c r="A155" s="181" t="n"/>
      <c r="B155" s="181" t="n"/>
      <c r="C155" s="181" t="n"/>
      <c r="D155" s="181" t="n"/>
      <c r="E155" s="181" t="n"/>
      <c r="F155" s="181" t="n"/>
      <c r="G155" s="181" t="n"/>
      <c r="H155" s="181" t="n"/>
      <c r="I155" s="181" t="n"/>
      <c r="J155" s="181" t="n"/>
      <c r="K155" s="181" t="n"/>
      <c r="L155" s="181" t="n"/>
      <c r="M155" s="181" t="n"/>
      <c r="N155" s="181" t="n"/>
      <c r="O155" s="181" t="n"/>
      <c r="P155" s="181" t="n"/>
      <c r="Q155" s="181" t="n"/>
      <c r="R155" s="181" t="n"/>
      <c r="S155" s="181" t="n"/>
      <c r="T155" s="181" t="n"/>
      <c r="U155" s="181" t="n"/>
    </row>
    <row r="156">
      <c r="A156" s="181" t="n"/>
      <c r="B156" s="181" t="n"/>
      <c r="C156" s="181" t="n"/>
      <c r="D156" s="181" t="n"/>
      <c r="E156" s="181" t="n"/>
      <c r="F156" s="181" t="n"/>
      <c r="G156" s="181" t="n"/>
      <c r="H156" s="181" t="n"/>
      <c r="I156" s="181" t="n"/>
      <c r="J156" s="181" t="n"/>
      <c r="K156" s="181" t="n"/>
      <c r="L156" s="181" t="n"/>
      <c r="M156" s="181" t="n"/>
      <c r="N156" s="181" t="n"/>
      <c r="O156" s="181" t="n"/>
      <c r="P156" s="181" t="n"/>
      <c r="Q156" s="181" t="n"/>
      <c r="R156" s="181" t="n"/>
      <c r="S156" s="181" t="n"/>
      <c r="T156" s="181" t="n"/>
      <c r="U156" s="181" t="n"/>
    </row>
    <row r="157">
      <c r="A157" s="181" t="n"/>
      <c r="B157" s="181" t="n"/>
      <c r="C157" s="181" t="n"/>
      <c r="D157" s="181" t="n"/>
      <c r="E157" s="181" t="n"/>
      <c r="F157" s="181" t="n"/>
      <c r="G157" s="181" t="n"/>
      <c r="H157" s="181" t="n"/>
      <c r="I157" s="181" t="n"/>
      <c r="J157" s="181" t="n"/>
      <c r="K157" s="181" t="n"/>
      <c r="L157" s="181" t="n"/>
      <c r="M157" s="181" t="n"/>
      <c r="N157" s="181" t="n"/>
      <c r="O157" s="181" t="n"/>
      <c r="P157" s="181" t="n"/>
      <c r="Q157" s="181" t="n"/>
      <c r="R157" s="181" t="n"/>
      <c r="S157" s="181" t="n"/>
      <c r="T157" s="181" t="n"/>
      <c r="U157" s="181" t="n"/>
    </row>
    <row r="158">
      <c r="A158" s="181" t="n"/>
      <c r="B158" s="181" t="n"/>
      <c r="C158" s="181" t="n"/>
      <c r="D158" s="181" t="n"/>
      <c r="E158" s="181" t="n"/>
      <c r="F158" s="181" t="n"/>
      <c r="G158" s="181" t="n"/>
      <c r="H158" s="181" t="n"/>
      <c r="I158" s="181" t="n"/>
      <c r="J158" s="181" t="n"/>
      <c r="K158" s="181" t="n"/>
      <c r="L158" s="181" t="n"/>
      <c r="M158" s="181" t="n"/>
      <c r="N158" s="181" t="n"/>
      <c r="O158" s="181" t="n"/>
      <c r="P158" s="181" t="n"/>
      <c r="Q158" s="181" t="n"/>
      <c r="R158" s="181" t="n"/>
      <c r="S158" s="181" t="n"/>
      <c r="T158" s="181" t="n"/>
      <c r="U158" s="181" t="n"/>
    </row>
    <row r="159">
      <c r="A159" s="181" t="n"/>
      <c r="B159" s="181" t="n"/>
      <c r="C159" s="181" t="n"/>
      <c r="D159" s="181" t="n"/>
      <c r="E159" s="181" t="n"/>
      <c r="F159" s="181" t="n"/>
      <c r="G159" s="181" t="n"/>
      <c r="H159" s="181" t="n"/>
      <c r="I159" s="181" t="n"/>
      <c r="J159" s="181" t="n"/>
      <c r="K159" s="181" t="n"/>
      <c r="L159" s="181" t="n"/>
      <c r="M159" s="181" t="n"/>
      <c r="N159" s="181" t="n"/>
      <c r="O159" s="181" t="n"/>
      <c r="P159" s="181" t="n"/>
      <c r="Q159" s="181" t="n"/>
      <c r="R159" s="181" t="n"/>
      <c r="S159" s="181" t="n"/>
      <c r="T159" s="181" t="n"/>
      <c r="U159" s="181" t="n"/>
    </row>
    <row r="160">
      <c r="A160" s="181" t="n"/>
      <c r="B160" s="181" t="n"/>
      <c r="C160" s="181" t="n"/>
      <c r="D160" s="181" t="n"/>
      <c r="E160" s="181" t="n"/>
      <c r="F160" s="181" t="n"/>
      <c r="G160" s="181" t="n"/>
      <c r="H160" s="181" t="n"/>
      <c r="I160" s="181" t="n"/>
      <c r="J160" s="181" t="n"/>
      <c r="K160" s="181" t="n"/>
      <c r="L160" s="181" t="n"/>
      <c r="M160" s="181" t="n"/>
      <c r="N160" s="181" t="n"/>
      <c r="O160" s="181" t="n"/>
      <c r="P160" s="181" t="n"/>
      <c r="Q160" s="181" t="n"/>
      <c r="R160" s="181" t="n"/>
      <c r="S160" s="181" t="n"/>
      <c r="T160" s="181" t="n"/>
      <c r="U160" s="181" t="n"/>
    </row>
    <row r="161">
      <c r="A161" s="181" t="n"/>
      <c r="B161" s="181" t="n"/>
      <c r="C161" s="181" t="n"/>
      <c r="D161" s="181" t="n"/>
      <c r="E161" s="181" t="n"/>
      <c r="F161" s="181" t="n"/>
      <c r="G161" s="181" t="n"/>
      <c r="H161" s="181" t="n"/>
      <c r="I161" s="181" t="n"/>
      <c r="J161" s="181" t="n"/>
      <c r="K161" s="181" t="n"/>
      <c r="L161" s="181" t="n"/>
      <c r="M161" s="181" t="n"/>
      <c r="N161" s="181" t="n"/>
      <c r="O161" s="181" t="n"/>
      <c r="P161" s="181" t="n"/>
      <c r="Q161" s="181" t="n"/>
      <c r="R161" s="181" t="n"/>
      <c r="S161" s="181" t="n"/>
      <c r="T161" s="181" t="n"/>
      <c r="U161" s="181" t="n"/>
    </row>
    <row r="162">
      <c r="A162" s="181" t="n"/>
      <c r="B162" s="181" t="n"/>
      <c r="C162" s="181" t="n"/>
      <c r="D162" s="181" t="n"/>
      <c r="E162" s="181" t="n"/>
      <c r="F162" s="181" t="n"/>
      <c r="G162" s="181" t="n"/>
      <c r="H162" s="181" t="n"/>
      <c r="I162" s="181" t="n"/>
      <c r="J162" s="181" t="n"/>
      <c r="K162" s="181" t="n"/>
      <c r="L162" s="181" t="n"/>
      <c r="M162" s="181" t="n"/>
      <c r="N162" s="181" t="n"/>
      <c r="O162" s="181" t="n"/>
      <c r="P162" s="181" t="n"/>
      <c r="Q162" s="181" t="n"/>
      <c r="R162" s="181" t="n"/>
      <c r="S162" s="181" t="n"/>
      <c r="T162" s="181" t="n"/>
      <c r="U162" s="181" t="n"/>
    </row>
    <row r="163">
      <c r="A163" s="181" t="n"/>
      <c r="B163" s="181" t="n"/>
      <c r="C163" s="181" t="n"/>
      <c r="D163" s="181" t="n"/>
      <c r="E163" s="181" t="n"/>
      <c r="F163" s="181" t="n"/>
      <c r="G163" s="181" t="n"/>
      <c r="H163" s="181" t="n"/>
      <c r="I163" s="181" t="n"/>
      <c r="J163" s="181" t="n"/>
      <c r="K163" s="181" t="n"/>
      <c r="L163" s="181" t="n"/>
      <c r="M163" s="181" t="n"/>
      <c r="N163" s="181" t="n"/>
      <c r="O163" s="181" t="n"/>
      <c r="P163" s="181" t="n"/>
      <c r="Q163" s="181" t="n"/>
      <c r="R163" s="181" t="n"/>
      <c r="S163" s="181" t="n"/>
      <c r="T163" s="181" t="n"/>
      <c r="U163" s="181" t="n"/>
    </row>
    <row r="164">
      <c r="A164" s="181" t="n"/>
      <c r="B164" s="181" t="n"/>
      <c r="C164" s="181" t="n"/>
      <c r="D164" s="181" t="n"/>
      <c r="E164" s="181" t="n"/>
      <c r="F164" s="181" t="n"/>
      <c r="G164" s="181" t="n"/>
      <c r="H164" s="181" t="n"/>
      <c r="I164" s="181" t="n"/>
      <c r="J164" s="181" t="n"/>
      <c r="K164" s="181" t="n"/>
      <c r="L164" s="181" t="n"/>
      <c r="M164" s="181" t="n"/>
      <c r="N164" s="181" t="n"/>
      <c r="O164" s="181" t="n"/>
      <c r="P164" s="181" t="n"/>
      <c r="Q164" s="181" t="n"/>
      <c r="R164" s="181" t="n"/>
      <c r="S164" s="181" t="n"/>
      <c r="T164" s="181" t="n"/>
      <c r="U164" s="181" t="n"/>
    </row>
    <row r="165">
      <c r="A165" s="181" t="n"/>
      <c r="B165" s="181" t="n"/>
      <c r="C165" s="181" t="n"/>
      <c r="D165" s="181" t="n"/>
      <c r="E165" s="181" t="n"/>
      <c r="F165" s="181" t="n"/>
      <c r="G165" s="181" t="n"/>
      <c r="H165" s="181" t="n"/>
      <c r="I165" s="181" t="n"/>
      <c r="J165" s="181" t="n"/>
      <c r="K165" s="181" t="n"/>
      <c r="L165" s="181" t="n"/>
      <c r="M165" s="181" t="n"/>
      <c r="N165" s="181" t="n"/>
      <c r="O165" s="181" t="n"/>
      <c r="P165" s="181" t="n"/>
      <c r="Q165" s="181" t="n"/>
      <c r="R165" s="181" t="n"/>
      <c r="S165" s="181" t="n"/>
      <c r="T165" s="181" t="n"/>
      <c r="U165" s="181" t="n"/>
    </row>
    <row r="166">
      <c r="A166" s="181" t="n"/>
      <c r="B166" s="181" t="n"/>
      <c r="C166" s="181" t="n"/>
      <c r="D166" s="181" t="n"/>
      <c r="E166" s="181" t="n"/>
      <c r="F166" s="181" t="n"/>
      <c r="G166" s="181" t="n"/>
      <c r="H166" s="181" t="n"/>
      <c r="I166" s="181" t="n"/>
      <c r="J166" s="181" t="n"/>
      <c r="K166" s="181" t="n"/>
      <c r="L166" s="181" t="n"/>
      <c r="M166" s="181" t="n"/>
      <c r="N166" s="181" t="n"/>
      <c r="O166" s="181" t="n"/>
      <c r="P166" s="181" t="n"/>
      <c r="Q166" s="181" t="n"/>
      <c r="R166" s="181" t="n"/>
      <c r="S166" s="181" t="n"/>
      <c r="T166" s="181" t="n"/>
      <c r="U166" s="181" t="n"/>
    </row>
    <row r="167">
      <c r="A167" s="181" t="n"/>
      <c r="B167" s="181" t="n"/>
      <c r="C167" s="181" t="n"/>
      <c r="D167" s="181" t="n"/>
      <c r="E167" s="181" t="n"/>
      <c r="F167" s="181" t="n"/>
      <c r="G167" s="181" t="n"/>
      <c r="H167" s="181" t="n"/>
      <c r="I167" s="181" t="n"/>
      <c r="J167" s="181" t="n"/>
      <c r="K167" s="181" t="n"/>
      <c r="L167" s="181" t="n"/>
      <c r="M167" s="181" t="n"/>
      <c r="N167" s="181" t="n"/>
      <c r="O167" s="181" t="n"/>
      <c r="P167" s="181" t="n"/>
      <c r="Q167" s="181" t="n"/>
      <c r="R167" s="181" t="n"/>
      <c r="S167" s="181" t="n"/>
      <c r="T167" s="181" t="n"/>
      <c r="U167" s="181" t="n"/>
    </row>
    <row r="168">
      <c r="A168" s="181" t="n"/>
      <c r="B168" s="181" t="n"/>
      <c r="C168" s="181" t="n"/>
      <c r="D168" s="181" t="n"/>
      <c r="E168" s="181" t="n"/>
      <c r="F168" s="181" t="n"/>
      <c r="G168" s="181" t="n"/>
      <c r="H168" s="181" t="n"/>
      <c r="I168" s="181" t="n"/>
      <c r="J168" s="181" t="n"/>
      <c r="K168" s="181" t="n"/>
      <c r="L168" s="181" t="n"/>
      <c r="M168" s="181" t="n"/>
      <c r="N168" s="181" t="n"/>
      <c r="O168" s="181" t="n"/>
      <c r="P168" s="181" t="n"/>
      <c r="Q168" s="181" t="n"/>
      <c r="R168" s="181" t="n"/>
      <c r="S168" s="181" t="n"/>
      <c r="T168" s="181" t="n"/>
      <c r="U168" s="181" t="n"/>
    </row>
    <row r="169">
      <c r="A169" s="181" t="n"/>
      <c r="B169" s="181" t="n"/>
      <c r="C169" s="181" t="n"/>
      <c r="D169" s="181" t="n"/>
      <c r="E169" s="181" t="n"/>
      <c r="F169" s="181" t="n"/>
      <c r="G169" s="181" t="n"/>
      <c r="H169" s="181" t="n"/>
      <c r="I169" s="181" t="n"/>
      <c r="J169" s="181" t="n"/>
      <c r="K169" s="181" t="n"/>
      <c r="L169" s="181" t="n"/>
      <c r="M169" s="181" t="n"/>
      <c r="N169" s="181" t="n"/>
      <c r="O169" s="181" t="n"/>
      <c r="P169" s="181" t="n"/>
      <c r="Q169" s="181" t="n"/>
      <c r="R169" s="181" t="n"/>
      <c r="S169" s="181" t="n"/>
      <c r="T169" s="181" t="n"/>
      <c r="U169" s="181" t="n"/>
    </row>
    <row r="170">
      <c r="A170" s="181" t="n"/>
      <c r="B170" s="181" t="n"/>
      <c r="C170" s="181" t="n"/>
      <c r="D170" s="181" t="n"/>
      <c r="E170" s="181" t="n"/>
      <c r="F170" s="181" t="n"/>
      <c r="G170" s="181" t="n"/>
      <c r="H170" s="181" t="n"/>
      <c r="I170" s="181" t="n"/>
      <c r="J170" s="181" t="n"/>
      <c r="K170" s="181" t="n"/>
      <c r="L170" s="181" t="n"/>
      <c r="M170" s="181" t="n"/>
      <c r="N170" s="181" t="n"/>
      <c r="O170" s="181" t="n"/>
      <c r="P170" s="181" t="n"/>
      <c r="Q170" s="181" t="n"/>
      <c r="R170" s="181" t="n"/>
      <c r="S170" s="181" t="n"/>
      <c r="T170" s="181" t="n"/>
      <c r="U170" s="181" t="n"/>
    </row>
    <row r="171">
      <c r="A171" s="181" t="n"/>
      <c r="B171" s="181" t="n"/>
      <c r="C171" s="181" t="n"/>
      <c r="D171" s="181" t="n"/>
      <c r="E171" s="181" t="n"/>
      <c r="F171" s="181" t="n"/>
      <c r="G171" s="181" t="n"/>
      <c r="H171" s="181" t="n"/>
      <c r="I171" s="181" t="n"/>
      <c r="J171" s="181" t="n"/>
      <c r="K171" s="181" t="n"/>
      <c r="L171" s="181" t="n"/>
      <c r="M171" s="181" t="n"/>
      <c r="N171" s="181" t="n"/>
      <c r="O171" s="181" t="n"/>
      <c r="P171" s="181" t="n"/>
      <c r="Q171" s="181" t="n"/>
      <c r="R171" s="181" t="n"/>
      <c r="S171" s="181" t="n"/>
      <c r="T171" s="181" t="n"/>
      <c r="U171" s="181" t="n"/>
    </row>
    <row r="172">
      <c r="A172" s="181" t="n"/>
      <c r="B172" s="181" t="n"/>
      <c r="C172" s="181" t="n"/>
      <c r="D172" s="181" t="n"/>
      <c r="E172" s="181" t="n"/>
      <c r="F172" s="181" t="n"/>
      <c r="G172" s="181" t="n"/>
      <c r="H172" s="181" t="n"/>
      <c r="I172" s="181" t="n"/>
      <c r="J172" s="181" t="n"/>
      <c r="K172" s="181" t="n"/>
      <c r="L172" s="181" t="n"/>
      <c r="M172" s="181" t="n"/>
      <c r="N172" s="181" t="n"/>
      <c r="O172" s="181" t="n"/>
      <c r="P172" s="181" t="n"/>
      <c r="Q172" s="181" t="n"/>
      <c r="R172" s="181" t="n"/>
      <c r="S172" s="181" t="n"/>
      <c r="T172" s="181" t="n"/>
      <c r="U172" s="181" t="n"/>
    </row>
    <row r="173">
      <c r="A173" s="181" t="n"/>
      <c r="B173" s="181" t="n"/>
      <c r="C173" s="181" t="n"/>
      <c r="D173" s="181" t="n"/>
      <c r="E173" s="181" t="n"/>
      <c r="F173" s="181" t="n"/>
      <c r="G173" s="181" t="n"/>
      <c r="H173" s="181" t="n"/>
      <c r="I173" s="181" t="n"/>
      <c r="J173" s="181" t="n"/>
      <c r="K173" s="181" t="n"/>
      <c r="L173" s="181" t="n"/>
      <c r="M173" s="181" t="n"/>
      <c r="N173" s="181" t="n"/>
      <c r="O173" s="181" t="n"/>
      <c r="P173" s="181" t="n"/>
      <c r="Q173" s="181" t="n"/>
      <c r="R173" s="181" t="n"/>
      <c r="S173" s="181" t="n"/>
      <c r="T173" s="181" t="n"/>
      <c r="U173" s="181" t="n"/>
    </row>
    <row r="174">
      <c r="A174" s="181" t="n"/>
      <c r="B174" s="181" t="n"/>
      <c r="C174" s="181" t="n"/>
      <c r="D174" s="181" t="n"/>
      <c r="E174" s="181" t="n"/>
      <c r="F174" s="181" t="n"/>
      <c r="G174" s="181" t="n"/>
      <c r="H174" s="181" t="n"/>
      <c r="I174" s="181" t="n"/>
      <c r="J174" s="181" t="n"/>
      <c r="K174" s="181" t="n"/>
      <c r="L174" s="181" t="n"/>
      <c r="M174" s="181" t="n"/>
      <c r="N174" s="181" t="n"/>
      <c r="O174" s="181" t="n"/>
      <c r="P174" s="181" t="n"/>
      <c r="Q174" s="181" t="n"/>
      <c r="R174" s="181" t="n"/>
      <c r="S174" s="181" t="n"/>
      <c r="T174" s="181" t="n"/>
      <c r="U174" s="181" t="n"/>
    </row>
    <row r="175">
      <c r="A175" s="181" t="n"/>
      <c r="B175" s="181" t="n"/>
      <c r="C175" s="181" t="n"/>
      <c r="D175" s="181" t="n"/>
      <c r="E175" s="181" t="n"/>
      <c r="F175" s="181" t="n"/>
      <c r="G175" s="181" t="n"/>
      <c r="H175" s="181" t="n"/>
      <c r="I175" s="181" t="n"/>
      <c r="J175" s="181" t="n"/>
      <c r="K175" s="181" t="n"/>
      <c r="L175" s="181" t="n"/>
      <c r="M175" s="181" t="n"/>
      <c r="N175" s="181" t="n"/>
      <c r="O175" s="181" t="n"/>
      <c r="P175" s="181" t="n"/>
      <c r="Q175" s="181" t="n"/>
      <c r="R175" s="181" t="n"/>
      <c r="S175" s="181" t="n"/>
      <c r="T175" s="181" t="n"/>
      <c r="U175" s="181" t="n"/>
    </row>
    <row r="176">
      <c r="A176" s="181" t="n"/>
      <c r="B176" s="181" t="n"/>
      <c r="C176" s="181" t="n"/>
      <c r="D176" s="181" t="n"/>
      <c r="E176" s="181" t="n"/>
      <c r="F176" s="181" t="n"/>
      <c r="G176" s="181" t="n"/>
      <c r="H176" s="181" t="n"/>
      <c r="I176" s="181" t="n"/>
      <c r="J176" s="181" t="n"/>
      <c r="K176" s="181" t="n"/>
      <c r="L176" s="181" t="n"/>
      <c r="M176" s="181" t="n"/>
      <c r="N176" s="181" t="n"/>
      <c r="O176" s="181" t="n"/>
      <c r="P176" s="181" t="n"/>
      <c r="Q176" s="181" t="n"/>
      <c r="R176" s="181" t="n"/>
      <c r="S176" s="181" t="n"/>
      <c r="T176" s="181" t="n"/>
      <c r="U176" s="181" t="n"/>
    </row>
    <row r="177">
      <c r="A177" s="181" t="n"/>
      <c r="B177" s="181" t="n"/>
      <c r="C177" s="181" t="n"/>
      <c r="D177" s="181" t="n"/>
      <c r="E177" s="181" t="n"/>
      <c r="F177" s="181" t="n"/>
      <c r="G177" s="181" t="n"/>
      <c r="H177" s="181" t="n"/>
      <c r="I177" s="181" t="n"/>
      <c r="J177" s="181" t="n"/>
      <c r="K177" s="181" t="n"/>
      <c r="L177" s="181" t="n"/>
      <c r="M177" s="181" t="n"/>
      <c r="N177" s="181" t="n"/>
      <c r="O177" s="181" t="n"/>
      <c r="P177" s="181" t="n"/>
      <c r="Q177" s="181" t="n"/>
      <c r="R177" s="181" t="n"/>
      <c r="S177" s="181" t="n"/>
      <c r="T177" s="181" t="n"/>
      <c r="U177" s="181" t="n"/>
    </row>
    <row r="178">
      <c r="A178" s="181" t="n"/>
      <c r="B178" s="181" t="n"/>
      <c r="C178" s="181" t="n"/>
      <c r="D178" s="181" t="n"/>
      <c r="E178" s="181" t="n"/>
      <c r="F178" s="181" t="n"/>
      <c r="G178" s="181" t="n"/>
      <c r="H178" s="181" t="n"/>
      <c r="I178" s="181" t="n"/>
      <c r="J178" s="181" t="n"/>
      <c r="K178" s="181" t="n"/>
      <c r="L178" s="181" t="n"/>
      <c r="M178" s="181" t="n"/>
      <c r="N178" s="181" t="n"/>
      <c r="O178" s="181" t="n"/>
      <c r="P178" s="181" t="n"/>
      <c r="Q178" s="181" t="n"/>
      <c r="R178" s="181" t="n"/>
      <c r="S178" s="181" t="n"/>
      <c r="T178" s="181" t="n"/>
      <c r="U178" s="181" t="n"/>
    </row>
    <row r="179">
      <c r="A179" s="181" t="n"/>
      <c r="B179" s="181" t="n"/>
      <c r="C179" s="181" t="n"/>
      <c r="D179" s="181" t="n"/>
      <c r="E179" s="181" t="n"/>
      <c r="F179" s="181" t="n"/>
      <c r="G179" s="181" t="n"/>
      <c r="H179" s="181" t="n"/>
      <c r="I179" s="181" t="n"/>
      <c r="J179" s="181" t="n"/>
      <c r="K179" s="181" t="n"/>
      <c r="L179" s="181" t="n"/>
      <c r="M179" s="181" t="n"/>
      <c r="N179" s="181" t="n"/>
      <c r="O179" s="181" t="n"/>
      <c r="P179" s="181" t="n"/>
      <c r="Q179" s="181" t="n"/>
      <c r="R179" s="181" t="n"/>
      <c r="S179" s="181" t="n"/>
      <c r="T179" s="181" t="n"/>
      <c r="U179" s="181" t="n"/>
    </row>
    <row r="180">
      <c r="A180" s="181" t="n"/>
      <c r="B180" s="181" t="n"/>
      <c r="C180" s="181" t="n"/>
      <c r="D180" s="181" t="n"/>
      <c r="E180" s="181" t="n"/>
      <c r="F180" s="181" t="n"/>
      <c r="G180" s="181" t="n"/>
      <c r="H180" s="181" t="n"/>
      <c r="I180" s="181" t="n"/>
      <c r="J180" s="181" t="n"/>
      <c r="K180" s="181" t="n"/>
      <c r="L180" s="181" t="n"/>
      <c r="M180" s="181" t="n"/>
      <c r="N180" s="181" t="n"/>
      <c r="O180" s="181" t="n"/>
      <c r="P180" s="181" t="n"/>
      <c r="Q180" s="181" t="n"/>
      <c r="R180" s="181" t="n"/>
      <c r="S180" s="181" t="n"/>
      <c r="T180" s="181" t="n"/>
      <c r="U180" s="181" t="n"/>
    </row>
    <row r="181">
      <c r="A181" s="181" t="n"/>
      <c r="B181" s="181" t="n"/>
      <c r="C181" s="181" t="n"/>
      <c r="D181" s="181" t="n"/>
      <c r="E181" s="181" t="n"/>
      <c r="F181" s="181" t="n"/>
      <c r="G181" s="181" t="n"/>
      <c r="H181" s="181" t="n"/>
      <c r="I181" s="181" t="n"/>
      <c r="J181" s="181" t="n"/>
      <c r="K181" s="181" t="n"/>
      <c r="L181" s="181" t="n"/>
      <c r="M181" s="181" t="n"/>
      <c r="N181" s="181" t="n"/>
      <c r="O181" s="181" t="n"/>
      <c r="P181" s="181" t="n"/>
      <c r="Q181" s="181" t="n"/>
      <c r="R181" s="181" t="n"/>
      <c r="S181" s="181" t="n"/>
      <c r="T181" s="181" t="n"/>
      <c r="U181" s="181" t="n"/>
    </row>
    <row r="182">
      <c r="A182" s="181" t="n"/>
      <c r="B182" s="181" t="n"/>
      <c r="C182" s="181" t="n"/>
      <c r="D182" s="181" t="n"/>
      <c r="E182" s="181" t="n"/>
      <c r="F182" s="181" t="n"/>
      <c r="G182" s="181" t="n"/>
      <c r="H182" s="181" t="n"/>
      <c r="I182" s="181" t="n"/>
      <c r="J182" s="181" t="n"/>
      <c r="K182" s="181" t="n"/>
      <c r="L182" s="181" t="n"/>
      <c r="M182" s="181" t="n"/>
      <c r="N182" s="181" t="n"/>
      <c r="O182" s="181" t="n"/>
      <c r="P182" s="181" t="n"/>
      <c r="Q182" s="181" t="n"/>
      <c r="R182" s="181" t="n"/>
      <c r="S182" s="181" t="n"/>
      <c r="T182" s="181" t="n"/>
      <c r="U182" s="181" t="n"/>
    </row>
    <row r="183">
      <c r="A183" s="181" t="n"/>
      <c r="B183" s="181" t="n"/>
      <c r="C183" s="181" t="n"/>
      <c r="D183" s="181" t="n"/>
      <c r="E183" s="181" t="n"/>
      <c r="F183" s="181" t="n"/>
      <c r="G183" s="181" t="n"/>
      <c r="H183" s="181" t="n"/>
      <c r="I183" s="181" t="n"/>
      <c r="J183" s="181" t="n"/>
      <c r="K183" s="181" t="n"/>
      <c r="L183" s="181" t="n"/>
      <c r="M183" s="181" t="n"/>
      <c r="N183" s="181" t="n"/>
      <c r="O183" s="181" t="n"/>
      <c r="P183" s="181" t="n"/>
      <c r="Q183" s="181" t="n"/>
      <c r="R183" s="181" t="n"/>
      <c r="S183" s="181" t="n"/>
      <c r="T183" s="181" t="n"/>
      <c r="U183" s="181" t="n"/>
    </row>
    <row r="184">
      <c r="A184" s="181" t="n"/>
      <c r="B184" s="181" t="n"/>
      <c r="C184" s="181" t="n"/>
      <c r="D184" s="181" t="n"/>
      <c r="E184" s="181" t="n"/>
      <c r="F184" s="181" t="n"/>
      <c r="G184" s="181" t="n"/>
      <c r="H184" s="181" t="n"/>
      <c r="I184" s="181" t="n"/>
      <c r="J184" s="181" t="n"/>
      <c r="K184" s="181" t="n"/>
      <c r="L184" s="181" t="n"/>
      <c r="M184" s="181" t="n"/>
      <c r="N184" s="181" t="n"/>
      <c r="O184" s="181" t="n"/>
      <c r="P184" s="181" t="n"/>
      <c r="Q184" s="181" t="n"/>
      <c r="R184" s="181" t="n"/>
      <c r="S184" s="181" t="n"/>
      <c r="T184" s="181" t="n"/>
      <c r="U184" s="181" t="n"/>
    </row>
    <row r="185">
      <c r="A185" s="181" t="n"/>
      <c r="B185" s="181" t="n"/>
      <c r="C185" s="181" t="n"/>
      <c r="D185" s="181" t="n"/>
      <c r="E185" s="181" t="n"/>
      <c r="F185" s="181" t="n"/>
      <c r="G185" s="181" t="n"/>
      <c r="H185" s="181" t="n"/>
      <c r="I185" s="181" t="n"/>
      <c r="J185" s="181" t="n"/>
      <c r="K185" s="181" t="n"/>
      <c r="L185" s="181" t="n"/>
      <c r="M185" s="181" t="n"/>
      <c r="N185" s="181" t="n"/>
      <c r="O185" s="181" t="n"/>
      <c r="P185" s="181" t="n"/>
      <c r="Q185" s="181" t="n"/>
      <c r="R185" s="181" t="n"/>
      <c r="S185" s="181" t="n"/>
      <c r="T185" s="181" t="n"/>
      <c r="U185" s="181" t="n"/>
    </row>
    <row r="186">
      <c r="A186" s="181" t="n"/>
      <c r="B186" s="181" t="n"/>
      <c r="C186" s="181" t="n"/>
      <c r="D186" s="181" t="n"/>
      <c r="E186" s="181" t="n"/>
      <c r="F186" s="181" t="n"/>
      <c r="G186" s="181" t="n"/>
      <c r="H186" s="181" t="n"/>
      <c r="I186" s="181" t="n"/>
      <c r="J186" s="181" t="n"/>
      <c r="K186" s="181" t="n"/>
      <c r="L186" s="181" t="n"/>
      <c r="M186" s="181" t="n"/>
      <c r="N186" s="181" t="n"/>
      <c r="O186" s="181" t="n"/>
      <c r="P186" s="181" t="n"/>
      <c r="Q186" s="181" t="n"/>
      <c r="R186" s="181" t="n"/>
      <c r="S186" s="181" t="n"/>
      <c r="T186" s="181" t="n"/>
      <c r="U186" s="181" t="n"/>
    </row>
    <row r="187">
      <c r="A187" s="181" t="n"/>
      <c r="B187" s="181" t="n"/>
      <c r="C187" s="181" t="n"/>
      <c r="D187" s="181" t="n"/>
      <c r="E187" s="181" t="n"/>
      <c r="F187" s="181" t="n"/>
      <c r="G187" s="181" t="n"/>
      <c r="H187" s="181" t="n"/>
      <c r="I187" s="181" t="n"/>
      <c r="J187" s="181" t="n"/>
      <c r="K187" s="181" t="n"/>
      <c r="L187" s="181" t="n"/>
      <c r="M187" s="181" t="n"/>
      <c r="N187" s="181" t="n"/>
      <c r="O187" s="181" t="n"/>
      <c r="P187" s="181" t="n"/>
      <c r="Q187" s="181" t="n"/>
      <c r="R187" s="181" t="n"/>
      <c r="S187" s="181" t="n"/>
      <c r="T187" s="181" t="n"/>
      <c r="U187" s="181" t="n"/>
    </row>
    <row r="188">
      <c r="A188" s="181" t="n"/>
      <c r="B188" s="181" t="n"/>
      <c r="C188" s="181" t="n"/>
      <c r="D188" s="181" t="n"/>
      <c r="E188" s="181" t="n"/>
      <c r="F188" s="181" t="n"/>
      <c r="G188" s="181" t="n"/>
      <c r="H188" s="181" t="n"/>
      <c r="I188" s="181" t="n"/>
      <c r="J188" s="181" t="n"/>
      <c r="K188" s="181" t="n"/>
      <c r="L188" s="181" t="n"/>
      <c r="M188" s="181" t="n"/>
      <c r="N188" s="181" t="n"/>
      <c r="O188" s="181" t="n"/>
      <c r="P188" s="181" t="n"/>
      <c r="Q188" s="181" t="n"/>
      <c r="R188" s="181" t="n"/>
      <c r="S188" s="181" t="n"/>
      <c r="T188" s="181" t="n"/>
      <c r="U188" s="181" t="n"/>
    </row>
    <row r="189">
      <c r="A189" s="181" t="n"/>
      <c r="B189" s="181" t="n"/>
      <c r="C189" s="181" t="n"/>
      <c r="D189" s="181" t="n"/>
      <c r="E189" s="181" t="n"/>
      <c r="F189" s="181" t="n"/>
      <c r="G189" s="181" t="n"/>
      <c r="H189" s="181" t="n"/>
      <c r="I189" s="181" t="n"/>
      <c r="J189" s="181" t="n"/>
      <c r="K189" s="181" t="n"/>
      <c r="L189" s="181" t="n"/>
      <c r="M189" s="181" t="n"/>
      <c r="N189" s="181" t="n"/>
      <c r="O189" s="181" t="n"/>
      <c r="P189" s="181" t="n"/>
      <c r="Q189" s="181" t="n"/>
      <c r="R189" s="181" t="n"/>
      <c r="S189" s="181" t="n"/>
      <c r="T189" s="181" t="n"/>
      <c r="U189" s="181" t="n"/>
    </row>
    <row r="190">
      <c r="A190" s="181" t="n"/>
      <c r="B190" s="181" t="n"/>
      <c r="C190" s="181" t="n"/>
      <c r="D190" s="181" t="n"/>
      <c r="E190" s="181" t="n"/>
      <c r="F190" s="181" t="n"/>
      <c r="G190" s="181" t="n"/>
      <c r="H190" s="181" t="n"/>
      <c r="I190" s="181" t="n"/>
      <c r="J190" s="181" t="n"/>
      <c r="K190" s="181" t="n"/>
      <c r="L190" s="181" t="n"/>
      <c r="M190" s="181" t="n"/>
      <c r="N190" s="181" t="n"/>
      <c r="O190" s="181" t="n"/>
      <c r="P190" s="181" t="n"/>
      <c r="Q190" s="181" t="n"/>
      <c r="R190" s="181" t="n"/>
      <c r="S190" s="181" t="n"/>
      <c r="T190" s="181" t="n"/>
      <c r="U190" s="181" t="n"/>
    </row>
    <row r="191">
      <c r="A191" s="181" t="n"/>
      <c r="B191" s="181" t="n"/>
      <c r="C191" s="181" t="n"/>
      <c r="D191" s="181" t="n"/>
      <c r="E191" s="181" t="n"/>
      <c r="F191" s="181" t="n"/>
      <c r="G191" s="181" t="n"/>
      <c r="H191" s="181" t="n"/>
      <c r="I191" s="181" t="n"/>
      <c r="J191" s="181" t="n"/>
      <c r="K191" s="181" t="n"/>
      <c r="L191" s="181" t="n"/>
      <c r="M191" s="181" t="n"/>
      <c r="N191" s="181" t="n"/>
      <c r="O191" s="181" t="n"/>
      <c r="P191" s="181" t="n"/>
      <c r="Q191" s="181" t="n"/>
      <c r="R191" s="181" t="n"/>
      <c r="S191" s="181" t="n"/>
      <c r="T191" s="181" t="n"/>
      <c r="U191" s="181" t="n"/>
    </row>
    <row r="192">
      <c r="A192" s="181" t="n"/>
      <c r="B192" s="181" t="n"/>
      <c r="C192" s="181" t="n"/>
      <c r="D192" s="181" t="n"/>
      <c r="E192" s="181" t="n"/>
      <c r="F192" s="181" t="n"/>
      <c r="G192" s="181" t="n"/>
      <c r="H192" s="181" t="n"/>
      <c r="I192" s="181" t="n"/>
      <c r="J192" s="181" t="n"/>
      <c r="K192" s="181" t="n"/>
      <c r="L192" s="181" t="n"/>
      <c r="M192" s="181" t="n"/>
      <c r="N192" s="181" t="n"/>
      <c r="O192" s="181" t="n"/>
      <c r="P192" s="181" t="n"/>
      <c r="Q192" s="181" t="n"/>
      <c r="R192" s="181" t="n"/>
      <c r="S192" s="181" t="n"/>
      <c r="T192" s="181" t="n"/>
      <c r="U192" s="181" t="n"/>
    </row>
    <row r="193">
      <c r="A193" s="181" t="n"/>
      <c r="B193" s="181" t="n"/>
      <c r="C193" s="181" t="n"/>
      <c r="D193" s="181" t="n"/>
      <c r="E193" s="181" t="n"/>
      <c r="F193" s="181" t="n"/>
      <c r="G193" s="181" t="n"/>
      <c r="H193" s="181" t="n"/>
      <c r="I193" s="181" t="n"/>
      <c r="J193" s="181" t="n"/>
      <c r="K193" s="181" t="n"/>
      <c r="L193" s="181" t="n"/>
      <c r="M193" s="181" t="n"/>
      <c r="N193" s="181" t="n"/>
      <c r="O193" s="181" t="n"/>
      <c r="P193" s="181" t="n"/>
      <c r="Q193" s="181" t="n"/>
      <c r="R193" s="181" t="n"/>
      <c r="S193" s="181" t="n"/>
      <c r="T193" s="181" t="n"/>
      <c r="U193" s="181" t="n"/>
    </row>
    <row r="194">
      <c r="A194" s="181" t="n"/>
      <c r="B194" s="181" t="n"/>
      <c r="C194" s="181" t="n"/>
      <c r="D194" s="181" t="n"/>
      <c r="E194" s="181" t="n"/>
      <c r="F194" s="181" t="n"/>
      <c r="G194" s="181" t="n"/>
      <c r="H194" s="181" t="n"/>
      <c r="I194" s="181" t="n"/>
      <c r="J194" s="181" t="n"/>
      <c r="K194" s="181" t="n"/>
      <c r="L194" s="181" t="n"/>
      <c r="M194" s="181" t="n"/>
      <c r="N194" s="181" t="n"/>
      <c r="O194" s="181" t="n"/>
      <c r="P194" s="181" t="n"/>
      <c r="Q194" s="181" t="n"/>
      <c r="R194" s="181" t="n"/>
      <c r="S194" s="181" t="n"/>
      <c r="T194" s="181" t="n"/>
      <c r="U194" s="181" t="n"/>
    </row>
    <row r="195">
      <c r="A195" s="181" t="n"/>
      <c r="B195" s="181" t="n"/>
      <c r="C195" s="181" t="n"/>
      <c r="D195" s="181" t="n"/>
      <c r="E195" s="181" t="n"/>
      <c r="F195" s="181" t="n"/>
      <c r="G195" s="181" t="n"/>
      <c r="H195" s="181" t="n"/>
      <c r="I195" s="181" t="n"/>
      <c r="J195" s="181" t="n"/>
      <c r="K195" s="181" t="n"/>
      <c r="L195" s="181" t="n"/>
      <c r="M195" s="181" t="n"/>
      <c r="N195" s="181" t="n"/>
      <c r="O195" s="181" t="n"/>
      <c r="P195" s="181" t="n"/>
      <c r="Q195" s="181" t="n"/>
      <c r="R195" s="181" t="n"/>
      <c r="S195" s="181" t="n"/>
      <c r="T195" s="181" t="n"/>
      <c r="U195" s="181" t="n"/>
    </row>
    <row r="196">
      <c r="A196" s="181" t="n"/>
      <c r="B196" s="181" t="n"/>
      <c r="C196" s="181" t="n"/>
      <c r="D196" s="181" t="n"/>
      <c r="E196" s="181" t="n"/>
      <c r="F196" s="181" t="n"/>
      <c r="G196" s="181" t="n"/>
      <c r="H196" s="181" t="n"/>
      <c r="I196" s="181" t="n"/>
      <c r="J196" s="181" t="n"/>
      <c r="K196" s="181" t="n"/>
      <c r="L196" s="181" t="n"/>
      <c r="M196" s="181" t="n"/>
      <c r="N196" s="181" t="n"/>
      <c r="O196" s="181" t="n"/>
      <c r="P196" s="181" t="n"/>
      <c r="Q196" s="181" t="n"/>
      <c r="R196" s="181" t="n"/>
      <c r="S196" s="181" t="n"/>
      <c r="T196" s="181" t="n"/>
      <c r="U196" s="181" t="n"/>
    </row>
    <row r="197">
      <c r="A197" s="181" t="n"/>
      <c r="B197" s="181" t="n"/>
      <c r="C197" s="181" t="n"/>
      <c r="D197" s="181" t="n"/>
      <c r="E197" s="181" t="n"/>
      <c r="F197" s="181" t="n"/>
      <c r="G197" s="181" t="n"/>
      <c r="H197" s="181" t="n"/>
      <c r="I197" s="181" t="n"/>
      <c r="J197" s="181" t="n"/>
      <c r="K197" s="181" t="n"/>
      <c r="L197" s="181" t="n"/>
      <c r="M197" s="181" t="n"/>
      <c r="N197" s="181" t="n"/>
      <c r="O197" s="181" t="n"/>
      <c r="P197" s="181" t="n"/>
      <c r="Q197" s="181" t="n"/>
      <c r="R197" s="181" t="n"/>
      <c r="S197" s="181" t="n"/>
      <c r="T197" s="181" t="n"/>
      <c r="U197" s="181" t="n"/>
    </row>
    <row r="198">
      <c r="A198" s="181" t="n"/>
      <c r="B198" s="181" t="n"/>
      <c r="C198" s="181" t="n"/>
      <c r="D198" s="181" t="n"/>
      <c r="E198" s="181" t="n"/>
      <c r="F198" s="181" t="n"/>
      <c r="G198" s="181" t="n"/>
      <c r="H198" s="181" t="n"/>
      <c r="I198" s="181" t="n"/>
      <c r="J198" s="181" t="n"/>
      <c r="K198" s="181" t="n"/>
      <c r="L198" s="181" t="n"/>
      <c r="M198" s="181" t="n"/>
      <c r="N198" s="181" t="n"/>
      <c r="O198" s="181" t="n"/>
      <c r="P198" s="181" t="n"/>
      <c r="Q198" s="181" t="n"/>
      <c r="R198" s="181" t="n"/>
      <c r="S198" s="181" t="n"/>
      <c r="T198" s="181" t="n"/>
      <c r="U198" s="181" t="n"/>
    </row>
    <row r="199">
      <c r="A199" s="181" t="n"/>
      <c r="B199" s="181" t="n"/>
      <c r="C199" s="181" t="n"/>
      <c r="D199" s="181" t="n"/>
      <c r="E199" s="181" t="n"/>
      <c r="F199" s="181" t="n"/>
      <c r="G199" s="181" t="n"/>
      <c r="H199" s="181" t="n"/>
      <c r="I199" s="181" t="n"/>
      <c r="J199" s="181" t="n"/>
      <c r="K199" s="181" t="n"/>
      <c r="L199" s="181" t="n"/>
      <c r="M199" s="181" t="n"/>
      <c r="N199" s="181" t="n"/>
      <c r="O199" s="181" t="n"/>
      <c r="P199" s="181" t="n"/>
      <c r="Q199" s="181" t="n"/>
      <c r="R199" s="181" t="n"/>
      <c r="S199" s="181" t="n"/>
      <c r="T199" s="181" t="n"/>
      <c r="U199" s="181" t="n"/>
    </row>
    <row r="200">
      <c r="A200" s="181" t="n"/>
      <c r="B200" s="181" t="n"/>
      <c r="C200" s="181" t="n"/>
      <c r="D200" s="181" t="n"/>
      <c r="E200" s="181" t="n"/>
      <c r="F200" s="181" t="n"/>
      <c r="G200" s="181" t="n"/>
      <c r="H200" s="181" t="n"/>
      <c r="I200" s="181" t="n"/>
      <c r="J200" s="181" t="n"/>
      <c r="K200" s="181" t="n"/>
      <c r="L200" s="181" t="n"/>
      <c r="M200" s="181" t="n"/>
      <c r="N200" s="181" t="n"/>
      <c r="O200" s="181" t="n"/>
      <c r="P200" s="181" t="n"/>
      <c r="Q200" s="181" t="n"/>
      <c r="R200" s="181" t="n"/>
      <c r="S200" s="181" t="n"/>
      <c r="T200" s="181" t="n"/>
      <c r="U200" s="181" t="n"/>
    </row>
    <row r="201">
      <c r="A201" s="181" t="n"/>
      <c r="B201" s="181" t="n"/>
      <c r="C201" s="181" t="n"/>
      <c r="D201" s="181" t="n"/>
      <c r="E201" s="181" t="n"/>
      <c r="F201" s="181" t="n"/>
      <c r="G201" s="181" t="n"/>
      <c r="H201" s="181" t="n"/>
      <c r="I201" s="181" t="n"/>
      <c r="J201" s="181" t="n"/>
      <c r="K201" s="181" t="n"/>
      <c r="L201" s="181" t="n"/>
      <c r="M201" s="181" t="n"/>
      <c r="N201" s="181" t="n"/>
      <c r="O201" s="181" t="n"/>
      <c r="P201" s="181" t="n"/>
      <c r="Q201" s="181" t="n"/>
      <c r="R201" s="181" t="n"/>
      <c r="S201" s="181" t="n"/>
      <c r="T201" s="181" t="n"/>
      <c r="U201" s="181" t="n"/>
    </row>
    <row r="202">
      <c r="A202" s="181" t="n"/>
      <c r="B202" s="181" t="n"/>
      <c r="C202" s="181" t="n"/>
      <c r="D202" s="181" t="n"/>
      <c r="E202" s="181" t="n"/>
      <c r="F202" s="181" t="n"/>
      <c r="G202" s="181" t="n"/>
      <c r="H202" s="181" t="n"/>
      <c r="I202" s="181" t="n"/>
      <c r="J202" s="181" t="n"/>
      <c r="K202" s="181" t="n"/>
      <c r="L202" s="181" t="n"/>
      <c r="M202" s="181" t="n"/>
      <c r="N202" s="181" t="n"/>
      <c r="O202" s="181" t="n"/>
      <c r="P202" s="181" t="n"/>
      <c r="Q202" s="181" t="n"/>
      <c r="R202" s="181" t="n"/>
      <c r="S202" s="181" t="n"/>
      <c r="T202" s="181" t="n"/>
      <c r="U202" s="181" t="n"/>
    </row>
    <row r="203">
      <c r="A203" s="181" t="n"/>
      <c r="B203" s="181" t="n"/>
      <c r="C203" s="181" t="n"/>
      <c r="D203" s="181" t="n"/>
      <c r="E203" s="181" t="n"/>
      <c r="F203" s="181" t="n"/>
      <c r="G203" s="181" t="n"/>
      <c r="H203" s="181" t="n"/>
      <c r="I203" s="181" t="n"/>
      <c r="J203" s="181" t="n"/>
      <c r="K203" s="181" t="n"/>
      <c r="L203" s="181" t="n"/>
      <c r="M203" s="181" t="n"/>
      <c r="N203" s="181" t="n"/>
      <c r="O203" s="181" t="n"/>
      <c r="P203" s="181" t="n"/>
      <c r="Q203" s="181" t="n"/>
      <c r="R203" s="181" t="n"/>
      <c r="S203" s="181" t="n"/>
      <c r="T203" s="181" t="n"/>
      <c r="U203" s="181" t="n"/>
    </row>
    <row r="204">
      <c r="A204" s="181" t="n"/>
      <c r="B204" s="181" t="n"/>
      <c r="C204" s="181" t="n"/>
      <c r="D204" s="181" t="n"/>
      <c r="E204" s="181" t="n"/>
      <c r="F204" s="181" t="n"/>
      <c r="G204" s="181" t="n"/>
      <c r="H204" s="181" t="n"/>
      <c r="I204" s="181" t="n"/>
      <c r="J204" s="181" t="n"/>
      <c r="K204" s="181" t="n"/>
      <c r="L204" s="181" t="n"/>
      <c r="M204" s="181" t="n"/>
      <c r="N204" s="181" t="n"/>
      <c r="O204" s="181" t="n"/>
      <c r="P204" s="181" t="n"/>
      <c r="Q204" s="181" t="n"/>
      <c r="R204" s="181" t="n"/>
      <c r="S204" s="181" t="n"/>
      <c r="T204" s="181" t="n"/>
      <c r="U204" s="181" t="n"/>
    </row>
    <row r="205">
      <c r="A205" s="181" t="n"/>
      <c r="B205" s="181" t="n"/>
      <c r="C205" s="181" t="n"/>
      <c r="D205" s="181" t="n"/>
      <c r="E205" s="181" t="n"/>
      <c r="F205" s="181" t="n"/>
      <c r="G205" s="181" t="n"/>
      <c r="H205" s="181" t="n"/>
      <c r="I205" s="181" t="n"/>
      <c r="J205" s="181" t="n"/>
      <c r="K205" s="181" t="n"/>
      <c r="L205" s="181" t="n"/>
      <c r="M205" s="181" t="n"/>
      <c r="N205" s="181" t="n"/>
      <c r="O205" s="181" t="n"/>
      <c r="P205" s="181" t="n"/>
      <c r="Q205" s="181" t="n"/>
      <c r="R205" s="181" t="n"/>
      <c r="S205" s="181" t="n"/>
      <c r="T205" s="181" t="n"/>
      <c r="U205" s="181" t="n"/>
    </row>
    <row r="206">
      <c r="A206" s="181" t="n"/>
      <c r="B206" s="181" t="n"/>
      <c r="C206" s="181" t="n"/>
      <c r="D206" s="181" t="n"/>
      <c r="E206" s="181" t="n"/>
      <c r="F206" s="181" t="n"/>
      <c r="G206" s="181" t="n"/>
      <c r="H206" s="181" t="n"/>
      <c r="I206" s="181" t="n"/>
      <c r="J206" s="181" t="n"/>
      <c r="K206" s="181" t="n"/>
      <c r="L206" s="181" t="n"/>
      <c r="M206" s="181" t="n"/>
      <c r="N206" s="181" t="n"/>
      <c r="O206" s="181" t="n"/>
      <c r="P206" s="181" t="n"/>
      <c r="Q206" s="181" t="n"/>
      <c r="R206" s="181" t="n"/>
      <c r="S206" s="181" t="n"/>
      <c r="T206" s="181" t="n"/>
      <c r="U206" s="181" t="n"/>
    </row>
    <row r="207">
      <c r="A207" s="181" t="n"/>
      <c r="B207" s="181" t="n"/>
      <c r="C207" s="181" t="n"/>
      <c r="D207" s="181" t="n"/>
      <c r="E207" s="181" t="n"/>
      <c r="F207" s="181" t="n"/>
      <c r="G207" s="181" t="n"/>
      <c r="H207" s="181" t="n"/>
      <c r="I207" s="181" t="n"/>
      <c r="J207" s="181" t="n"/>
      <c r="K207" s="181" t="n"/>
      <c r="L207" s="181" t="n"/>
      <c r="M207" s="181" t="n"/>
      <c r="N207" s="181" t="n"/>
      <c r="O207" s="181" t="n"/>
      <c r="P207" s="181" t="n"/>
      <c r="Q207" s="181" t="n"/>
      <c r="R207" s="181" t="n"/>
      <c r="S207" s="181" t="n"/>
      <c r="T207" s="181" t="n"/>
      <c r="U207" s="181" t="n"/>
    </row>
    <row r="208">
      <c r="A208" s="181" t="n"/>
      <c r="B208" s="181" t="n"/>
      <c r="C208" s="181" t="n"/>
      <c r="D208" s="181" t="n"/>
      <c r="E208" s="181" t="n"/>
      <c r="F208" s="181" t="n"/>
      <c r="G208" s="181" t="n"/>
      <c r="H208" s="181" t="n"/>
      <c r="I208" s="181" t="n"/>
      <c r="J208" s="181" t="n"/>
      <c r="K208" s="181" t="n"/>
      <c r="L208" s="181" t="n"/>
      <c r="M208" s="181" t="n"/>
      <c r="N208" s="181" t="n"/>
      <c r="O208" s="181" t="n"/>
      <c r="P208" s="181" t="n"/>
      <c r="Q208" s="181" t="n"/>
      <c r="R208" s="181" t="n"/>
      <c r="S208" s="181" t="n"/>
      <c r="T208" s="181" t="n"/>
      <c r="U208" s="181" t="n"/>
    </row>
    <row r="209">
      <c r="A209" s="181" t="n"/>
      <c r="B209" s="181" t="n"/>
      <c r="C209" s="181" t="n"/>
      <c r="D209" s="181" t="n"/>
      <c r="E209" s="181" t="n"/>
      <c r="F209" s="181" t="n"/>
      <c r="G209" s="181" t="n"/>
      <c r="H209" s="181" t="n"/>
      <c r="I209" s="181" t="n"/>
      <c r="J209" s="181" t="n"/>
      <c r="K209" s="181" t="n"/>
      <c r="L209" s="181" t="n"/>
      <c r="M209" s="181" t="n"/>
      <c r="N209" s="181" t="n"/>
      <c r="O209" s="181" t="n"/>
      <c r="P209" s="181" t="n"/>
      <c r="Q209" s="181" t="n"/>
      <c r="R209" s="181" t="n"/>
      <c r="S209" s="181" t="n"/>
      <c r="T209" s="181" t="n"/>
      <c r="U209" s="181" t="n"/>
    </row>
    <row r="210">
      <c r="A210" s="181" t="n"/>
      <c r="B210" s="181" t="n"/>
      <c r="C210" s="181" t="n"/>
      <c r="D210" s="181" t="n"/>
      <c r="E210" s="181" t="n"/>
      <c r="F210" s="181" t="n"/>
      <c r="G210" s="181" t="n"/>
      <c r="H210" s="181" t="n"/>
      <c r="I210" s="181" t="n"/>
      <c r="J210" s="181" t="n"/>
      <c r="K210" s="181" t="n"/>
      <c r="L210" s="181" t="n"/>
      <c r="M210" s="181" t="n"/>
      <c r="N210" s="181" t="n"/>
      <c r="O210" s="181" t="n"/>
      <c r="P210" s="181" t="n"/>
      <c r="Q210" s="181" t="n"/>
      <c r="R210" s="181" t="n"/>
      <c r="S210" s="181" t="n"/>
      <c r="T210" s="181" t="n"/>
      <c r="U210" s="181" t="n"/>
    </row>
    <row r="211">
      <c r="A211" s="181" t="n"/>
      <c r="B211" s="181" t="n"/>
      <c r="C211" s="181" t="n"/>
      <c r="D211" s="181" t="n"/>
      <c r="E211" s="181" t="n"/>
      <c r="F211" s="181" t="n"/>
      <c r="G211" s="181" t="n"/>
      <c r="H211" s="181" t="n"/>
      <c r="I211" s="181" t="n"/>
      <c r="J211" s="181" t="n"/>
      <c r="K211" s="181" t="n"/>
      <c r="L211" s="181" t="n"/>
      <c r="M211" s="181" t="n"/>
      <c r="N211" s="181" t="n"/>
      <c r="O211" s="181" t="n"/>
      <c r="P211" s="181" t="n"/>
      <c r="Q211" s="181" t="n"/>
      <c r="R211" s="181" t="n"/>
      <c r="S211" s="181" t="n"/>
      <c r="T211" s="181" t="n"/>
      <c r="U211" s="181" t="n"/>
    </row>
    <row r="212">
      <c r="A212" s="181" t="n"/>
      <c r="B212" s="181" t="n"/>
      <c r="C212" s="181" t="n"/>
      <c r="D212" s="181" t="n"/>
      <c r="E212" s="181" t="n"/>
      <c r="F212" s="181" t="n"/>
      <c r="G212" s="181" t="n"/>
      <c r="H212" s="181" t="n"/>
      <c r="I212" s="181" t="n"/>
      <c r="J212" s="181" t="n"/>
      <c r="K212" s="181" t="n"/>
      <c r="L212" s="181" t="n"/>
      <c r="M212" s="181" t="n"/>
      <c r="N212" s="181" t="n"/>
      <c r="O212" s="181" t="n"/>
      <c r="P212" s="181" t="n"/>
      <c r="Q212" s="181" t="n"/>
      <c r="R212" s="181" t="n"/>
      <c r="S212" s="181" t="n"/>
      <c r="T212" s="181" t="n"/>
      <c r="U212" s="181" t="n"/>
    </row>
    <row r="213">
      <c r="A213" s="181" t="n"/>
      <c r="B213" s="181" t="n"/>
      <c r="C213" s="181" t="n"/>
      <c r="D213" s="181" t="n"/>
      <c r="E213" s="181" t="n"/>
      <c r="F213" s="181" t="n"/>
      <c r="G213" s="181" t="n"/>
      <c r="H213" s="181" t="n"/>
      <c r="I213" s="181" t="n"/>
      <c r="J213" s="181" t="n"/>
      <c r="K213" s="181" t="n"/>
      <c r="L213" s="181" t="n"/>
      <c r="M213" s="181" t="n"/>
      <c r="N213" s="181" t="n"/>
      <c r="O213" s="181" t="n"/>
      <c r="P213" s="181" t="n"/>
      <c r="Q213" s="181" t="n"/>
      <c r="R213" s="181" t="n"/>
      <c r="S213" s="181" t="n"/>
      <c r="T213" s="181" t="n"/>
      <c r="U213" s="181" t="n"/>
    </row>
    <row r="214">
      <c r="A214" s="181" t="n"/>
      <c r="B214" s="181" t="n"/>
      <c r="C214" s="181" t="n"/>
      <c r="D214" s="181" t="n"/>
      <c r="E214" s="181" t="n"/>
      <c r="F214" s="181" t="n"/>
      <c r="G214" s="181" t="n"/>
      <c r="H214" s="181" t="n"/>
      <c r="I214" s="181" t="n"/>
      <c r="J214" s="181" t="n"/>
      <c r="K214" s="181" t="n"/>
      <c r="L214" s="181" t="n"/>
      <c r="M214" s="181" t="n"/>
      <c r="N214" s="181" t="n"/>
      <c r="O214" s="181" t="n"/>
      <c r="P214" s="181" t="n"/>
      <c r="Q214" s="181" t="n"/>
      <c r="R214" s="181" t="n"/>
      <c r="S214" s="181" t="n"/>
      <c r="T214" s="181" t="n"/>
      <c r="U214" s="181" t="n"/>
    </row>
    <row r="215">
      <c r="A215" s="181" t="n"/>
      <c r="B215" s="181" t="n"/>
      <c r="C215" s="181" t="n"/>
      <c r="D215" s="181" t="n"/>
      <c r="E215" s="181" t="n"/>
      <c r="F215" s="181" t="n"/>
      <c r="G215" s="181" t="n"/>
      <c r="H215" s="181" t="n"/>
      <c r="I215" s="181" t="n"/>
      <c r="J215" s="181" t="n"/>
      <c r="K215" s="181" t="n"/>
      <c r="L215" s="181" t="n"/>
      <c r="M215" s="181" t="n"/>
      <c r="N215" s="181" t="n"/>
      <c r="O215" s="181" t="n"/>
      <c r="P215" s="181" t="n"/>
      <c r="Q215" s="181" t="n"/>
      <c r="R215" s="181" t="n"/>
      <c r="S215" s="181" t="n"/>
      <c r="T215" s="181" t="n"/>
      <c r="U215" s="181" t="n"/>
    </row>
    <row r="216">
      <c r="A216" s="181" t="n"/>
      <c r="B216" s="181" t="n"/>
      <c r="C216" s="181" t="n"/>
      <c r="D216" s="181" t="n"/>
      <c r="E216" s="181" t="n"/>
      <c r="F216" s="181" t="n"/>
      <c r="G216" s="181" t="n"/>
      <c r="H216" s="181" t="n"/>
      <c r="I216" s="181" t="n"/>
      <c r="J216" s="181" t="n"/>
      <c r="K216" s="181" t="n"/>
      <c r="L216" s="181" t="n"/>
      <c r="M216" s="181" t="n"/>
      <c r="N216" s="181" t="n"/>
      <c r="O216" s="181" t="n"/>
      <c r="P216" s="181" t="n"/>
      <c r="Q216" s="181" t="n"/>
      <c r="R216" s="181" t="n"/>
      <c r="S216" s="181" t="n"/>
      <c r="T216" s="181" t="n"/>
      <c r="U216" s="181" t="n"/>
    </row>
    <row r="217">
      <c r="A217" s="181" t="n"/>
      <c r="B217" s="181" t="n"/>
      <c r="C217" s="181" t="n"/>
      <c r="D217" s="181" t="n"/>
      <c r="E217" s="181" t="n"/>
      <c r="F217" s="181" t="n"/>
      <c r="G217" s="181" t="n"/>
      <c r="H217" s="181" t="n"/>
      <c r="I217" s="181" t="n"/>
      <c r="J217" s="181" t="n"/>
      <c r="K217" s="181" t="n"/>
      <c r="L217" s="181" t="n"/>
      <c r="M217" s="181" t="n"/>
      <c r="N217" s="181" t="n"/>
      <c r="O217" s="181" t="n"/>
      <c r="P217" s="181" t="n"/>
      <c r="Q217" s="181" t="n"/>
      <c r="R217" s="181" t="n"/>
      <c r="S217" s="181" t="n"/>
      <c r="T217" s="181" t="n"/>
      <c r="U217" s="181" t="n"/>
    </row>
    <row r="218">
      <c r="A218" s="181" t="n"/>
      <c r="B218" s="181" t="n"/>
      <c r="C218" s="181" t="n"/>
      <c r="D218" s="181" t="n"/>
      <c r="E218" s="181" t="n"/>
      <c r="F218" s="181" t="n"/>
      <c r="G218" s="181" t="n"/>
      <c r="H218" s="181" t="n"/>
      <c r="I218" s="181" t="n"/>
      <c r="J218" s="181" t="n"/>
      <c r="K218" s="181" t="n"/>
      <c r="L218" s="181" t="n"/>
      <c r="M218" s="181" t="n"/>
      <c r="N218" s="181" t="n"/>
      <c r="O218" s="181" t="n"/>
      <c r="P218" s="181" t="n"/>
      <c r="Q218" s="181" t="n"/>
      <c r="R218" s="181" t="n"/>
      <c r="S218" s="181" t="n"/>
      <c r="T218" s="181" t="n"/>
      <c r="U218" s="181" t="n"/>
    </row>
    <row r="219">
      <c r="A219" s="181" t="n"/>
      <c r="B219" s="181" t="n"/>
      <c r="C219" s="181" t="n"/>
      <c r="D219" s="181" t="n"/>
      <c r="E219" s="181" t="n"/>
      <c r="F219" s="181" t="n"/>
      <c r="G219" s="181" t="n"/>
      <c r="H219" s="181" t="n"/>
      <c r="I219" s="181" t="n"/>
      <c r="J219" s="181" t="n"/>
      <c r="K219" s="181" t="n"/>
      <c r="L219" s="181" t="n"/>
      <c r="M219" s="181" t="n"/>
      <c r="N219" s="181" t="n"/>
      <c r="O219" s="181" t="n"/>
      <c r="P219" s="181" t="n"/>
      <c r="Q219" s="181" t="n"/>
      <c r="R219" s="181" t="n"/>
      <c r="S219" s="181" t="n"/>
      <c r="T219" s="181" t="n"/>
      <c r="U219" s="181" t="n"/>
    </row>
    <row r="220">
      <c r="A220" s="181" t="n"/>
      <c r="B220" s="181" t="n"/>
      <c r="C220" s="181" t="n"/>
      <c r="D220" s="181" t="n"/>
      <c r="E220" s="181" t="n"/>
      <c r="F220" s="181" t="n"/>
      <c r="G220" s="181" t="n"/>
      <c r="H220" s="181" t="n"/>
      <c r="I220" s="181" t="n"/>
      <c r="J220" s="181" t="n"/>
      <c r="K220" s="181" t="n"/>
      <c r="L220" s="181" t="n"/>
      <c r="M220" s="181" t="n"/>
      <c r="N220" s="181" t="n"/>
      <c r="O220" s="181" t="n"/>
      <c r="P220" s="181" t="n"/>
      <c r="Q220" s="181" t="n"/>
      <c r="R220" s="181" t="n"/>
      <c r="S220" s="181" t="n"/>
      <c r="T220" s="181" t="n"/>
      <c r="U220" s="181" t="n"/>
    </row>
    <row r="221">
      <c r="A221" s="181" t="n"/>
      <c r="B221" s="181" t="n"/>
      <c r="C221" s="181" t="n"/>
      <c r="D221" s="181" t="n"/>
      <c r="E221" s="181" t="n"/>
      <c r="F221" s="181" t="n"/>
      <c r="G221" s="181" t="n"/>
      <c r="H221" s="181" t="n"/>
      <c r="I221" s="181" t="n"/>
      <c r="J221" s="181" t="n"/>
      <c r="K221" s="181" t="n"/>
      <c r="L221" s="181" t="n"/>
      <c r="M221" s="181" t="n"/>
      <c r="N221" s="181" t="n"/>
      <c r="O221" s="181" t="n"/>
      <c r="P221" s="181" t="n"/>
      <c r="Q221" s="181" t="n"/>
      <c r="R221" s="181" t="n"/>
      <c r="S221" s="181" t="n"/>
      <c r="T221" s="181" t="n"/>
      <c r="U221" s="181" t="n"/>
    </row>
    <row r="222">
      <c r="A222" s="181" t="n"/>
      <c r="B222" s="181" t="n"/>
      <c r="C222" s="181" t="n"/>
      <c r="D222" s="181" t="n"/>
      <c r="E222" s="181" t="n"/>
      <c r="F222" s="181" t="n"/>
      <c r="G222" s="181" t="n"/>
      <c r="H222" s="181" t="n"/>
      <c r="I222" s="181" t="n"/>
      <c r="J222" s="181" t="n"/>
      <c r="K222" s="181" t="n"/>
      <c r="L222" s="181" t="n"/>
      <c r="M222" s="181" t="n"/>
      <c r="N222" s="181" t="n"/>
      <c r="O222" s="181" t="n"/>
      <c r="P222" s="181" t="n"/>
      <c r="Q222" s="181" t="n"/>
      <c r="R222" s="181" t="n"/>
      <c r="S222" s="181" t="n"/>
      <c r="T222" s="181" t="n"/>
      <c r="U222" s="181" t="n"/>
    </row>
    <row r="223">
      <c r="A223" s="181" t="n"/>
      <c r="B223" s="181" t="n"/>
      <c r="C223" s="181" t="n"/>
      <c r="D223" s="181" t="n"/>
      <c r="E223" s="181" t="n"/>
      <c r="F223" s="181" t="n"/>
      <c r="G223" s="181" t="n"/>
      <c r="H223" s="181" t="n"/>
      <c r="I223" s="181" t="n"/>
      <c r="J223" s="181" t="n"/>
      <c r="K223" s="181" t="n"/>
      <c r="L223" s="181" t="n"/>
      <c r="M223" s="181" t="n"/>
      <c r="N223" s="181" t="n"/>
      <c r="O223" s="181" t="n"/>
      <c r="P223" s="181" t="n"/>
      <c r="Q223" s="181" t="n"/>
      <c r="R223" s="181" t="n"/>
      <c r="S223" s="181" t="n"/>
      <c r="T223" s="181" t="n"/>
      <c r="U223" s="181" t="n"/>
    </row>
    <row r="224">
      <c r="A224" s="181" t="n"/>
      <c r="B224" s="181" t="n"/>
      <c r="C224" s="181" t="n"/>
      <c r="D224" s="181" t="n"/>
      <c r="E224" s="181" t="n"/>
      <c r="F224" s="181" t="n"/>
      <c r="G224" s="181" t="n"/>
      <c r="H224" s="181" t="n"/>
      <c r="I224" s="181" t="n"/>
      <c r="J224" s="181" t="n"/>
      <c r="K224" s="181" t="n"/>
      <c r="L224" s="181" t="n"/>
      <c r="M224" s="181" t="n"/>
      <c r="N224" s="181" t="n"/>
      <c r="O224" s="181" t="n"/>
      <c r="P224" s="181" t="n"/>
      <c r="Q224" s="181" t="n"/>
      <c r="R224" s="181" t="n"/>
      <c r="S224" s="181" t="n"/>
      <c r="T224" s="181" t="n"/>
      <c r="U224" s="181" t="n"/>
    </row>
    <row r="225">
      <c r="A225" s="181" t="n"/>
      <c r="B225" s="181" t="n"/>
      <c r="C225" s="181" t="n"/>
      <c r="D225" s="181" t="n"/>
      <c r="E225" s="181" t="n"/>
      <c r="F225" s="181" t="n"/>
      <c r="G225" s="181" t="n"/>
      <c r="H225" s="181" t="n"/>
      <c r="I225" s="181" t="n"/>
      <c r="J225" s="181" t="n"/>
      <c r="K225" s="181" t="n"/>
      <c r="L225" s="181" t="n"/>
      <c r="M225" s="181" t="n"/>
      <c r="N225" s="181" t="n"/>
      <c r="O225" s="181" t="n"/>
      <c r="P225" s="181" t="n"/>
      <c r="Q225" s="181" t="n"/>
      <c r="R225" s="181" t="n"/>
      <c r="S225" s="181" t="n"/>
      <c r="T225" s="181" t="n"/>
      <c r="U225" s="181" t="n"/>
    </row>
    <row r="226">
      <c r="A226" s="181" t="n"/>
      <c r="B226" s="181" t="n"/>
      <c r="C226" s="181" t="n"/>
      <c r="D226" s="181" t="n"/>
      <c r="E226" s="181" t="n"/>
      <c r="F226" s="181" t="n"/>
      <c r="G226" s="181" t="n"/>
      <c r="H226" s="181" t="n"/>
      <c r="I226" s="181" t="n"/>
      <c r="J226" s="181" t="n"/>
      <c r="K226" s="181" t="n"/>
      <c r="L226" s="181" t="n"/>
      <c r="M226" s="181" t="n"/>
      <c r="N226" s="181" t="n"/>
      <c r="O226" s="181" t="n"/>
      <c r="P226" s="181" t="n"/>
      <c r="Q226" s="181" t="n"/>
      <c r="R226" s="181" t="n"/>
      <c r="S226" s="181" t="n"/>
      <c r="T226" s="181" t="n"/>
      <c r="U226" s="181" t="n"/>
    </row>
    <row r="227">
      <c r="A227" s="181" t="n"/>
      <c r="B227" s="181" t="n"/>
      <c r="C227" s="181" t="n"/>
      <c r="D227" s="181" t="n"/>
      <c r="E227" s="181" t="n"/>
      <c r="F227" s="181" t="n"/>
      <c r="G227" s="181" t="n"/>
      <c r="H227" s="181" t="n"/>
      <c r="I227" s="181" t="n"/>
      <c r="J227" s="181" t="n"/>
      <c r="K227" s="181" t="n"/>
      <c r="L227" s="181" t="n"/>
      <c r="M227" s="181" t="n"/>
      <c r="N227" s="181" t="n"/>
      <c r="O227" s="181" t="n"/>
      <c r="P227" s="181" t="n"/>
      <c r="Q227" s="181" t="n"/>
      <c r="R227" s="181" t="n"/>
      <c r="S227" s="181" t="n"/>
      <c r="T227" s="181" t="n"/>
      <c r="U227" s="181" t="n"/>
    </row>
    <row r="228">
      <c r="A228" s="181" t="n"/>
      <c r="B228" s="181" t="n"/>
      <c r="C228" s="181" t="n"/>
      <c r="D228" s="181" t="n"/>
      <c r="E228" s="181" t="n"/>
      <c r="F228" s="181" t="n"/>
      <c r="G228" s="181" t="n"/>
      <c r="H228" s="181" t="n"/>
      <c r="I228" s="181" t="n"/>
      <c r="J228" s="181" t="n"/>
      <c r="K228" s="181" t="n"/>
      <c r="L228" s="181" t="n"/>
      <c r="M228" s="181" t="n"/>
      <c r="N228" s="181" t="n"/>
      <c r="O228" s="181" t="n"/>
      <c r="P228" s="181" t="n"/>
      <c r="Q228" s="181" t="n"/>
      <c r="R228" s="181" t="n"/>
      <c r="S228" s="181" t="n"/>
      <c r="T228" s="181" t="n"/>
      <c r="U228" s="181" t="n"/>
    </row>
    <row r="229">
      <c r="A229" s="181" t="n"/>
      <c r="B229" s="181" t="n"/>
      <c r="C229" s="181" t="n"/>
      <c r="D229" s="181" t="n"/>
      <c r="E229" s="181" t="n"/>
      <c r="F229" s="181" t="n"/>
      <c r="G229" s="181" t="n"/>
      <c r="H229" s="181" t="n"/>
      <c r="I229" s="181" t="n"/>
      <c r="J229" s="181" t="n"/>
      <c r="K229" s="181" t="n"/>
      <c r="L229" s="181" t="n"/>
      <c r="M229" s="181" t="n"/>
      <c r="N229" s="181" t="n"/>
      <c r="O229" s="181" t="n"/>
      <c r="P229" s="181" t="n"/>
      <c r="Q229" s="181" t="n"/>
      <c r="R229" s="181" t="n"/>
      <c r="S229" s="181" t="n"/>
      <c r="T229" s="181" t="n"/>
      <c r="U229" s="181" t="n"/>
    </row>
    <row r="230">
      <c r="A230" s="181" t="n"/>
      <c r="B230" s="181" t="n"/>
      <c r="C230" s="181" t="n"/>
      <c r="D230" s="181" t="n"/>
      <c r="E230" s="181" t="n"/>
      <c r="F230" s="181" t="n"/>
      <c r="G230" s="181" t="n"/>
      <c r="H230" s="181" t="n"/>
      <c r="I230" s="181" t="n"/>
      <c r="J230" s="181" t="n"/>
      <c r="K230" s="181" t="n"/>
      <c r="L230" s="181" t="n"/>
      <c r="M230" s="181" t="n"/>
      <c r="N230" s="181" t="n"/>
      <c r="O230" s="181" t="n"/>
      <c r="P230" s="181" t="n"/>
      <c r="Q230" s="181" t="n"/>
      <c r="R230" s="181" t="n"/>
      <c r="S230" s="181" t="n"/>
      <c r="T230" s="181" t="n"/>
      <c r="U230" s="181" t="n"/>
    </row>
    <row r="231">
      <c r="A231" s="181" t="n"/>
      <c r="B231" s="181" t="n"/>
      <c r="C231" s="181" t="n"/>
      <c r="D231" s="181" t="n"/>
      <c r="E231" s="181" t="n"/>
      <c r="F231" s="181" t="n"/>
      <c r="G231" s="181" t="n"/>
      <c r="H231" s="181" t="n"/>
      <c r="I231" s="181" t="n"/>
      <c r="J231" s="181" t="n"/>
      <c r="K231" s="181" t="n"/>
      <c r="L231" s="181" t="n"/>
      <c r="M231" s="181" t="n"/>
      <c r="N231" s="181" t="n"/>
      <c r="O231" s="181" t="n"/>
      <c r="P231" s="181" t="n"/>
      <c r="Q231" s="181" t="n"/>
      <c r="R231" s="181" t="n"/>
      <c r="S231" s="181" t="n"/>
      <c r="T231" s="181" t="n"/>
      <c r="U231" s="181" t="n"/>
    </row>
    <row r="232">
      <c r="A232" s="181" t="n"/>
      <c r="B232" s="181" t="n"/>
      <c r="C232" s="181" t="n"/>
      <c r="D232" s="181" t="n"/>
      <c r="E232" s="181" t="n"/>
      <c r="F232" s="181" t="n"/>
      <c r="G232" s="181" t="n"/>
      <c r="H232" s="181" t="n"/>
      <c r="I232" s="181" t="n"/>
      <c r="J232" s="181" t="n"/>
      <c r="K232" s="181" t="n"/>
      <c r="L232" s="181" t="n"/>
      <c r="M232" s="181" t="n"/>
      <c r="N232" s="181" t="n"/>
      <c r="O232" s="181" t="n"/>
      <c r="P232" s="181" t="n"/>
      <c r="Q232" s="181" t="n"/>
      <c r="R232" s="181" t="n"/>
      <c r="S232" s="181" t="n"/>
      <c r="T232" s="181" t="n"/>
      <c r="U232" s="181" t="n"/>
    </row>
    <row r="233">
      <c r="A233" s="181" t="n"/>
      <c r="B233" s="181" t="n"/>
      <c r="C233" s="181" t="n"/>
      <c r="D233" s="181" t="n"/>
      <c r="E233" s="181" t="n"/>
      <c r="F233" s="181" t="n"/>
      <c r="G233" s="181" t="n"/>
      <c r="H233" s="181" t="n"/>
      <c r="I233" s="181" t="n"/>
      <c r="J233" s="181" t="n"/>
      <c r="K233" s="181" t="n"/>
      <c r="L233" s="181" t="n"/>
      <c r="M233" s="181" t="n"/>
      <c r="N233" s="181" t="n"/>
      <c r="O233" s="181" t="n"/>
      <c r="P233" s="181" t="n"/>
      <c r="Q233" s="181" t="n"/>
      <c r="R233" s="181" t="n"/>
      <c r="S233" s="181" t="n"/>
      <c r="T233" s="181" t="n"/>
      <c r="U233" s="181" t="n"/>
    </row>
    <row r="234">
      <c r="A234" s="181" t="n"/>
      <c r="B234" s="181" t="n"/>
      <c r="C234" s="181" t="n"/>
      <c r="D234" s="181" t="n"/>
      <c r="E234" s="181" t="n"/>
      <c r="F234" s="181" t="n"/>
      <c r="G234" s="181" t="n"/>
      <c r="H234" s="181" t="n"/>
      <c r="I234" s="181" t="n"/>
      <c r="J234" s="181" t="n"/>
      <c r="K234" s="181" t="n"/>
      <c r="L234" s="181" t="n"/>
      <c r="M234" s="181" t="n"/>
      <c r="N234" s="181" t="n"/>
      <c r="O234" s="181" t="n"/>
      <c r="P234" s="181" t="n"/>
      <c r="Q234" s="181" t="n"/>
      <c r="R234" s="181" t="n"/>
      <c r="S234" s="181" t="n"/>
      <c r="T234" s="181" t="n"/>
      <c r="U234" s="181" t="n"/>
    </row>
    <row r="235">
      <c r="A235" s="181" t="n"/>
      <c r="B235" s="181" t="n"/>
      <c r="C235" s="181" t="n"/>
      <c r="D235" s="181" t="n"/>
      <c r="E235" s="181" t="n"/>
      <c r="F235" s="181" t="n"/>
      <c r="G235" s="181" t="n"/>
      <c r="H235" s="181" t="n"/>
      <c r="I235" s="181" t="n"/>
      <c r="J235" s="181" t="n"/>
      <c r="K235" s="181" t="n"/>
      <c r="L235" s="181" t="n"/>
      <c r="M235" s="181" t="n"/>
      <c r="N235" s="181" t="n"/>
      <c r="O235" s="181" t="n"/>
      <c r="P235" s="181" t="n"/>
      <c r="Q235" s="181" t="n"/>
      <c r="R235" s="181" t="n"/>
      <c r="S235" s="181" t="n"/>
      <c r="T235" s="181" t="n"/>
      <c r="U235" s="181" t="n"/>
    </row>
    <row r="236">
      <c r="A236" s="181" t="n"/>
      <c r="B236" s="181" t="n"/>
      <c r="C236" s="181" t="n"/>
      <c r="D236" s="181" t="n"/>
      <c r="E236" s="181" t="n"/>
      <c r="F236" s="181" t="n"/>
      <c r="G236" s="181" t="n"/>
      <c r="H236" s="181" t="n"/>
      <c r="I236" s="181" t="n"/>
      <c r="J236" s="181" t="n"/>
      <c r="K236" s="181" t="n"/>
      <c r="L236" s="181" t="n"/>
      <c r="M236" s="181" t="n"/>
      <c r="N236" s="181" t="n"/>
      <c r="O236" s="181" t="n"/>
      <c r="P236" s="181" t="n"/>
      <c r="Q236" s="181" t="n"/>
      <c r="R236" s="181" t="n"/>
      <c r="S236" s="181" t="n"/>
      <c r="T236" s="181" t="n"/>
      <c r="U236" s="181" t="n"/>
    </row>
    <row r="237">
      <c r="A237" s="181" t="n"/>
      <c r="B237" s="181" t="n"/>
      <c r="C237" s="181" t="n"/>
      <c r="D237" s="181" t="n"/>
      <c r="E237" s="181" t="n"/>
      <c r="F237" s="181" t="n"/>
      <c r="G237" s="181" t="n"/>
      <c r="H237" s="181" t="n"/>
      <c r="I237" s="181" t="n"/>
      <c r="J237" s="181" t="n"/>
      <c r="K237" s="181" t="n"/>
      <c r="L237" s="181" t="n"/>
      <c r="M237" s="181" t="n"/>
      <c r="N237" s="181" t="n"/>
      <c r="O237" s="181" t="n"/>
      <c r="P237" s="181" t="n"/>
      <c r="Q237" s="181" t="n"/>
      <c r="R237" s="181" t="n"/>
      <c r="S237" s="181" t="n"/>
      <c r="T237" s="181" t="n"/>
      <c r="U237" s="181" t="n"/>
    </row>
    <row r="238">
      <c r="A238" s="181" t="n"/>
      <c r="B238" s="181" t="n"/>
      <c r="C238" s="181" t="n"/>
      <c r="D238" s="181" t="n"/>
      <c r="E238" s="181" t="n"/>
      <c r="F238" s="181" t="n"/>
      <c r="G238" s="181" t="n"/>
      <c r="H238" s="181" t="n"/>
      <c r="I238" s="181" t="n"/>
      <c r="J238" s="181" t="n"/>
      <c r="K238" s="181" t="n"/>
      <c r="L238" s="181" t="n"/>
      <c r="M238" s="181" t="n"/>
      <c r="N238" s="181" t="n"/>
      <c r="O238" s="181" t="n"/>
      <c r="P238" s="181" t="n"/>
      <c r="Q238" s="181" t="n"/>
      <c r="R238" s="181" t="n"/>
      <c r="S238" s="181" t="n"/>
      <c r="T238" s="181" t="n"/>
      <c r="U238" s="181" t="n"/>
    </row>
    <row r="239">
      <c r="A239" s="181" t="n"/>
      <c r="B239" s="181" t="n"/>
      <c r="C239" s="181" t="n"/>
      <c r="D239" s="181" t="n"/>
      <c r="E239" s="181" t="n"/>
      <c r="F239" s="181" t="n"/>
      <c r="G239" s="181" t="n"/>
      <c r="H239" s="181" t="n"/>
      <c r="I239" s="181" t="n"/>
      <c r="J239" s="181" t="n"/>
      <c r="K239" s="181" t="n"/>
      <c r="L239" s="181" t="n"/>
      <c r="M239" s="181" t="n"/>
      <c r="N239" s="181" t="n"/>
      <c r="O239" s="181" t="n"/>
      <c r="P239" s="181" t="n"/>
      <c r="Q239" s="181" t="n"/>
      <c r="R239" s="181" t="n"/>
      <c r="S239" s="181" t="n"/>
      <c r="T239" s="181" t="n"/>
      <c r="U239" s="181" t="n"/>
    </row>
    <row r="240">
      <c r="A240" s="181" t="n"/>
      <c r="B240" s="181" t="n"/>
      <c r="C240" s="181" t="n"/>
      <c r="D240" s="181" t="n"/>
      <c r="E240" s="181" t="n"/>
      <c r="F240" s="181" t="n"/>
      <c r="G240" s="181" t="n"/>
      <c r="H240" s="181" t="n"/>
      <c r="I240" s="181" t="n"/>
      <c r="J240" s="181" t="n"/>
      <c r="K240" s="181" t="n"/>
      <c r="L240" s="181" t="n"/>
      <c r="M240" s="181" t="n"/>
      <c r="N240" s="181" t="n"/>
      <c r="O240" s="181" t="n"/>
      <c r="P240" s="181" t="n"/>
      <c r="Q240" s="181" t="n"/>
      <c r="R240" s="181" t="n"/>
      <c r="S240" s="181" t="n"/>
      <c r="T240" s="181" t="n"/>
      <c r="U240" s="181" t="n"/>
    </row>
    <row r="241">
      <c r="A241" s="181" t="n"/>
      <c r="B241" s="181" t="n"/>
      <c r="C241" s="181" t="n"/>
      <c r="D241" s="181" t="n"/>
      <c r="E241" s="181" t="n"/>
      <c r="F241" s="181" t="n"/>
      <c r="G241" s="181" t="n"/>
      <c r="H241" s="181" t="n"/>
      <c r="I241" s="181" t="n"/>
      <c r="J241" s="181" t="n"/>
      <c r="K241" s="181" t="n"/>
      <c r="L241" s="181" t="n"/>
      <c r="M241" s="181" t="n"/>
      <c r="N241" s="181" t="n"/>
      <c r="O241" s="181" t="n"/>
      <c r="P241" s="181" t="n"/>
      <c r="Q241" s="181" t="n"/>
      <c r="R241" s="181" t="n"/>
      <c r="S241" s="181" t="n"/>
      <c r="T241" s="181" t="n"/>
      <c r="U241" s="181" t="n"/>
    </row>
    <row r="242">
      <c r="A242" s="181" t="n"/>
      <c r="B242" s="181" t="n"/>
      <c r="C242" s="181" t="n"/>
      <c r="D242" s="181" t="n"/>
      <c r="E242" s="181" t="n"/>
      <c r="F242" s="181" t="n"/>
      <c r="G242" s="181" t="n"/>
      <c r="H242" s="181" t="n"/>
      <c r="I242" s="181" t="n"/>
      <c r="J242" s="181" t="n"/>
      <c r="K242" s="181" t="n"/>
      <c r="L242" s="181" t="n"/>
      <c r="M242" s="181" t="n"/>
      <c r="N242" s="181" t="n"/>
      <c r="O242" s="181" t="n"/>
      <c r="P242" s="181" t="n"/>
      <c r="Q242" s="181" t="n"/>
      <c r="R242" s="181" t="n"/>
      <c r="S242" s="181" t="n"/>
      <c r="T242" s="181" t="n"/>
      <c r="U242" s="181" t="n"/>
    </row>
    <row r="243">
      <c r="A243" s="181" t="n"/>
      <c r="B243" s="181" t="n"/>
      <c r="C243" s="181" t="n"/>
      <c r="D243" s="181" t="n"/>
      <c r="E243" s="181" t="n"/>
      <c r="F243" s="181" t="n"/>
      <c r="G243" s="181" t="n"/>
      <c r="H243" s="181" t="n"/>
      <c r="I243" s="181" t="n"/>
      <c r="J243" s="181" t="n"/>
      <c r="K243" s="181" t="n"/>
      <c r="L243" s="181" t="n"/>
      <c r="M243" s="181" t="n"/>
      <c r="N243" s="181" t="n"/>
      <c r="O243" s="181" t="n"/>
      <c r="P243" s="181" t="n"/>
      <c r="Q243" s="181" t="n"/>
      <c r="R243" s="181" t="n"/>
      <c r="S243" s="181" t="n"/>
      <c r="T243" s="181" t="n"/>
      <c r="U243" s="181" t="n"/>
    </row>
    <row r="244">
      <c r="A244" s="181" t="n"/>
      <c r="B244" s="181" t="n"/>
      <c r="C244" s="181" t="n"/>
      <c r="D244" s="181" t="n"/>
      <c r="E244" s="181" t="n"/>
      <c r="F244" s="181" t="n"/>
      <c r="G244" s="181" t="n"/>
      <c r="H244" s="181" t="n"/>
      <c r="I244" s="181" t="n"/>
      <c r="J244" s="181" t="n"/>
      <c r="K244" s="181" t="n"/>
      <c r="L244" s="181" t="n"/>
      <c r="M244" s="181" t="n"/>
      <c r="N244" s="181" t="n"/>
      <c r="O244" s="181" t="n"/>
      <c r="P244" s="181" t="n"/>
      <c r="Q244" s="181" t="n"/>
      <c r="R244" s="181" t="n"/>
      <c r="S244" s="181" t="n"/>
      <c r="T244" s="181" t="n"/>
      <c r="U244" s="181" t="n"/>
    </row>
    <row r="245">
      <c r="A245" s="181" t="n"/>
      <c r="B245" s="181" t="n"/>
      <c r="C245" s="181" t="n"/>
      <c r="D245" s="181" t="n"/>
      <c r="E245" s="181" t="n"/>
      <c r="F245" s="181" t="n"/>
      <c r="G245" s="181" t="n"/>
      <c r="H245" s="181" t="n"/>
      <c r="I245" s="181" t="n"/>
      <c r="J245" s="181" t="n"/>
      <c r="K245" s="181" t="n"/>
      <c r="L245" s="181" t="n"/>
      <c r="M245" s="181" t="n"/>
      <c r="N245" s="181" t="n"/>
      <c r="O245" s="181" t="n"/>
      <c r="P245" s="181" t="n"/>
      <c r="Q245" s="181" t="n"/>
      <c r="R245" s="181" t="n"/>
      <c r="S245" s="181" t="n"/>
      <c r="T245" s="181" t="n"/>
      <c r="U245" s="181" t="n"/>
    </row>
    <row r="246">
      <c r="A246" s="181" t="n"/>
      <c r="B246" s="181" t="n"/>
      <c r="C246" s="181" t="n"/>
      <c r="D246" s="181" t="n"/>
      <c r="E246" s="181" t="n"/>
      <c r="F246" s="181" t="n"/>
      <c r="G246" s="181" t="n"/>
      <c r="H246" s="181" t="n"/>
      <c r="I246" s="181" t="n"/>
      <c r="J246" s="181" t="n"/>
      <c r="K246" s="181" t="n"/>
      <c r="L246" s="181" t="n"/>
      <c r="M246" s="181" t="n"/>
      <c r="N246" s="181" t="n"/>
      <c r="O246" s="181" t="n"/>
      <c r="P246" s="181" t="n"/>
      <c r="Q246" s="181" t="n"/>
      <c r="R246" s="181" t="n"/>
      <c r="S246" s="181" t="n"/>
      <c r="T246" s="181" t="n"/>
      <c r="U246" s="181" t="n"/>
    </row>
    <row r="247">
      <c r="A247" s="181" t="n"/>
      <c r="B247" s="181" t="n"/>
      <c r="C247" s="181" t="n"/>
      <c r="D247" s="181" t="n"/>
      <c r="E247" s="181" t="n"/>
      <c r="F247" s="181" t="n"/>
      <c r="G247" s="181" t="n"/>
      <c r="H247" s="181" t="n"/>
      <c r="I247" s="181" t="n"/>
      <c r="J247" s="181" t="n"/>
      <c r="K247" s="181" t="n"/>
      <c r="L247" s="181" t="n"/>
      <c r="M247" s="181" t="n"/>
      <c r="N247" s="181" t="n"/>
      <c r="O247" s="181" t="n"/>
      <c r="P247" s="181" t="n"/>
      <c r="Q247" s="181" t="n"/>
      <c r="R247" s="181" t="n"/>
      <c r="S247" s="181" t="n"/>
      <c r="T247" s="181" t="n"/>
      <c r="U247" s="181" t="n"/>
    </row>
    <row r="248">
      <c r="A248" s="181" t="n"/>
      <c r="B248" s="181" t="n"/>
      <c r="C248" s="181" t="n"/>
      <c r="D248" s="181" t="n"/>
      <c r="E248" s="181" t="n"/>
      <c r="F248" s="181" t="n"/>
      <c r="G248" s="181" t="n"/>
      <c r="H248" s="181" t="n"/>
      <c r="I248" s="181" t="n"/>
      <c r="J248" s="181" t="n"/>
      <c r="K248" s="181" t="n"/>
      <c r="L248" s="181" t="n"/>
      <c r="M248" s="181" t="n"/>
      <c r="N248" s="181" t="n"/>
      <c r="O248" s="181" t="n"/>
      <c r="P248" s="181" t="n"/>
      <c r="Q248" s="181" t="n"/>
      <c r="R248" s="181" t="n"/>
      <c r="S248" s="181" t="n"/>
      <c r="T248" s="181" t="n"/>
      <c r="U248" s="181" t="n"/>
    </row>
    <row r="249">
      <c r="A249" s="181" t="n"/>
      <c r="B249" s="181" t="n"/>
      <c r="C249" s="181" t="n"/>
      <c r="D249" s="181" t="n"/>
      <c r="E249" s="181" t="n"/>
      <c r="F249" s="181" t="n"/>
      <c r="G249" s="181" t="n"/>
      <c r="H249" s="181" t="n"/>
      <c r="I249" s="181" t="n"/>
      <c r="J249" s="181" t="n"/>
      <c r="K249" s="181" t="n"/>
      <c r="L249" s="181" t="n"/>
      <c r="M249" s="181" t="n"/>
      <c r="N249" s="181" t="n"/>
      <c r="O249" s="181" t="n"/>
      <c r="P249" s="181" t="n"/>
      <c r="Q249" s="181" t="n"/>
      <c r="R249" s="181" t="n"/>
      <c r="S249" s="181" t="n"/>
      <c r="T249" s="181" t="n"/>
      <c r="U249" s="181" t="n"/>
    </row>
    <row r="250">
      <c r="A250" s="181" t="n"/>
      <c r="B250" s="181" t="n"/>
      <c r="C250" s="181" t="n"/>
      <c r="D250" s="181" t="n"/>
      <c r="E250" s="181" t="n"/>
      <c r="F250" s="181" t="n"/>
      <c r="G250" s="181" t="n"/>
      <c r="H250" s="181" t="n"/>
      <c r="I250" s="181" t="n"/>
      <c r="J250" s="181" t="n"/>
      <c r="K250" s="181" t="n"/>
      <c r="L250" s="181" t="n"/>
      <c r="M250" s="181" t="n"/>
      <c r="N250" s="181" t="n"/>
      <c r="O250" s="181" t="n"/>
      <c r="P250" s="181" t="n"/>
      <c r="Q250" s="181" t="n"/>
      <c r="R250" s="181" t="n"/>
      <c r="S250" s="181" t="n"/>
      <c r="T250" s="181" t="n"/>
      <c r="U250" s="181" t="n"/>
    </row>
    <row r="251">
      <c r="A251" s="181" t="n"/>
      <c r="B251" s="181" t="n"/>
      <c r="C251" s="181" t="n"/>
      <c r="D251" s="181" t="n"/>
      <c r="E251" s="181" t="n"/>
      <c r="F251" s="181" t="n"/>
      <c r="G251" s="181" t="n"/>
      <c r="H251" s="181" t="n"/>
      <c r="I251" s="181" t="n"/>
      <c r="J251" s="181" t="n"/>
      <c r="K251" s="181" t="n"/>
      <c r="L251" s="181" t="n"/>
      <c r="M251" s="181" t="n"/>
      <c r="N251" s="181" t="n"/>
      <c r="O251" s="181" t="n"/>
      <c r="P251" s="181" t="n"/>
      <c r="Q251" s="181" t="n"/>
      <c r="R251" s="181" t="n"/>
      <c r="S251" s="181" t="n"/>
      <c r="T251" s="181" t="n"/>
      <c r="U251" s="181" t="n"/>
    </row>
    <row r="252">
      <c r="A252" s="181" t="n"/>
      <c r="B252" s="181" t="n"/>
      <c r="C252" s="181" t="n"/>
      <c r="D252" s="181" t="n"/>
      <c r="E252" s="181" t="n"/>
      <c r="F252" s="181" t="n"/>
      <c r="G252" s="181" t="n"/>
      <c r="H252" s="181" t="n"/>
      <c r="I252" s="181" t="n"/>
      <c r="J252" s="181" t="n"/>
      <c r="K252" s="181" t="n"/>
      <c r="L252" s="181" t="n"/>
      <c r="M252" s="181" t="n"/>
      <c r="N252" s="181" t="n"/>
      <c r="O252" s="181" t="n"/>
      <c r="P252" s="181" t="n"/>
      <c r="Q252" s="181" t="n"/>
      <c r="R252" s="181" t="n"/>
      <c r="S252" s="181" t="n"/>
      <c r="T252" s="181" t="n"/>
      <c r="U252" s="181" t="n"/>
    </row>
    <row r="253">
      <c r="A253" s="181" t="n"/>
      <c r="B253" s="181" t="n"/>
      <c r="C253" s="181" t="n"/>
      <c r="D253" s="181" t="n"/>
      <c r="E253" s="181" t="n"/>
      <c r="F253" s="181" t="n"/>
      <c r="G253" s="181" t="n"/>
      <c r="H253" s="181" t="n"/>
      <c r="I253" s="181" t="n"/>
      <c r="J253" s="181" t="n"/>
      <c r="K253" s="181" t="n"/>
      <c r="L253" s="181" t="n"/>
      <c r="M253" s="181" t="n"/>
      <c r="N253" s="181" t="n"/>
      <c r="O253" s="181" t="n"/>
      <c r="P253" s="181" t="n"/>
      <c r="Q253" s="181" t="n"/>
      <c r="R253" s="181" t="n"/>
      <c r="S253" s="181" t="n"/>
      <c r="T253" s="181" t="n"/>
      <c r="U253" s="181" t="n"/>
    </row>
    <row r="254">
      <c r="A254" s="181" t="n"/>
      <c r="B254" s="181" t="n"/>
      <c r="C254" s="181" t="n"/>
      <c r="D254" s="181" t="n"/>
      <c r="E254" s="181" t="n"/>
      <c r="F254" s="181" t="n"/>
      <c r="G254" s="181" t="n"/>
      <c r="H254" s="181" t="n"/>
      <c r="I254" s="181" t="n"/>
      <c r="J254" s="181" t="n"/>
      <c r="K254" s="181" t="n"/>
      <c r="L254" s="181" t="n"/>
      <c r="M254" s="181" t="n"/>
      <c r="N254" s="181" t="n"/>
      <c r="O254" s="181" t="n"/>
      <c r="P254" s="181" t="n"/>
      <c r="Q254" s="181" t="n"/>
      <c r="R254" s="181" t="n"/>
      <c r="S254" s="181" t="n"/>
      <c r="T254" s="181" t="n"/>
      <c r="U254" s="181" t="n"/>
    </row>
    <row r="255">
      <c r="A255" s="181" t="n"/>
      <c r="B255" s="181" t="n"/>
      <c r="C255" s="181" t="n"/>
      <c r="D255" s="181" t="n"/>
      <c r="E255" s="181" t="n"/>
      <c r="F255" s="181" t="n"/>
      <c r="G255" s="181" t="n"/>
      <c r="H255" s="181" t="n"/>
      <c r="I255" s="181" t="n"/>
      <c r="J255" s="181" t="n"/>
      <c r="K255" s="181" t="n"/>
      <c r="L255" s="181" t="n"/>
      <c r="M255" s="181" t="n"/>
      <c r="N255" s="181" t="n"/>
      <c r="O255" s="181" t="n"/>
      <c r="P255" s="181" t="n"/>
      <c r="Q255" s="181" t="n"/>
      <c r="R255" s="181" t="n"/>
      <c r="S255" s="181" t="n"/>
      <c r="T255" s="181" t="n"/>
      <c r="U255" s="181" t="n"/>
    </row>
    <row r="256">
      <c r="A256" s="181" t="n"/>
      <c r="B256" s="181" t="n"/>
      <c r="C256" s="181" t="n"/>
      <c r="D256" s="181" t="n"/>
      <c r="E256" s="181" t="n"/>
      <c r="F256" s="181" t="n"/>
      <c r="G256" s="181" t="n"/>
      <c r="H256" s="181" t="n"/>
      <c r="I256" s="181" t="n"/>
      <c r="J256" s="181" t="n"/>
      <c r="K256" s="181" t="n"/>
      <c r="L256" s="181" t="n"/>
      <c r="M256" s="181" t="n"/>
      <c r="N256" s="181" t="n"/>
      <c r="O256" s="181" t="n"/>
      <c r="P256" s="181" t="n"/>
      <c r="Q256" s="181" t="n"/>
      <c r="R256" s="181" t="n"/>
      <c r="S256" s="181" t="n"/>
      <c r="T256" s="181" t="n"/>
      <c r="U256" s="181" t="n"/>
    </row>
    <row r="257">
      <c r="A257" s="181" t="n"/>
      <c r="B257" s="181" t="n"/>
      <c r="C257" s="181" t="n"/>
      <c r="D257" s="181" t="n"/>
      <c r="E257" s="181" t="n"/>
      <c r="F257" s="181" t="n"/>
      <c r="G257" s="181" t="n"/>
      <c r="H257" s="181" t="n"/>
      <c r="I257" s="181" t="n"/>
      <c r="J257" s="181" t="n"/>
      <c r="K257" s="181" t="n"/>
      <c r="L257" s="181" t="n"/>
      <c r="M257" s="181" t="n"/>
      <c r="N257" s="181" t="n"/>
      <c r="O257" s="181" t="n"/>
      <c r="P257" s="181" t="n"/>
      <c r="Q257" s="181" t="n"/>
      <c r="R257" s="181" t="n"/>
      <c r="S257" s="181" t="n"/>
      <c r="T257" s="181" t="n"/>
      <c r="U257" s="181" t="n"/>
    </row>
    <row r="258">
      <c r="A258" s="181" t="n"/>
      <c r="B258" s="181" t="n"/>
      <c r="C258" s="181" t="n"/>
      <c r="D258" s="181" t="n"/>
      <c r="E258" s="181" t="n"/>
      <c r="F258" s="181" t="n"/>
      <c r="G258" s="181" t="n"/>
      <c r="H258" s="181" t="n"/>
      <c r="I258" s="181" t="n"/>
      <c r="J258" s="181" t="n"/>
      <c r="K258" s="181" t="n"/>
      <c r="L258" s="181" t="n"/>
      <c r="M258" s="181" t="n"/>
      <c r="N258" s="181" t="n"/>
      <c r="O258" s="181" t="n"/>
      <c r="P258" s="181" t="n"/>
      <c r="Q258" s="181" t="n"/>
      <c r="R258" s="181" t="n"/>
      <c r="S258" s="181" t="n"/>
      <c r="T258" s="181" t="n"/>
      <c r="U258" s="181" t="n"/>
    </row>
    <row r="259">
      <c r="A259" s="181" t="n"/>
      <c r="B259" s="181" t="n"/>
      <c r="C259" s="181" t="n"/>
      <c r="D259" s="181" t="n"/>
      <c r="E259" s="181" t="n"/>
      <c r="F259" s="181" t="n"/>
      <c r="G259" s="181" t="n"/>
      <c r="H259" s="181" t="n"/>
      <c r="I259" s="181" t="n"/>
      <c r="J259" s="181" t="n"/>
      <c r="K259" s="181" t="n"/>
      <c r="L259" s="181" t="n"/>
      <c r="M259" s="181" t="n"/>
      <c r="N259" s="181" t="n"/>
      <c r="O259" s="181" t="n"/>
      <c r="P259" s="181" t="n"/>
      <c r="Q259" s="181" t="n"/>
      <c r="R259" s="181" t="n"/>
      <c r="S259" s="181" t="n"/>
      <c r="T259" s="181" t="n"/>
      <c r="U259" s="181" t="n"/>
    </row>
    <row r="260">
      <c r="A260" s="181" t="n"/>
      <c r="B260" s="181" t="n"/>
      <c r="C260" s="181" t="n"/>
      <c r="D260" s="181" t="n"/>
      <c r="E260" s="181" t="n"/>
      <c r="F260" s="181" t="n"/>
      <c r="G260" s="181" t="n"/>
      <c r="H260" s="181" t="n"/>
      <c r="I260" s="181" t="n"/>
      <c r="J260" s="181" t="n"/>
      <c r="K260" s="181" t="n"/>
      <c r="L260" s="181" t="n"/>
      <c r="M260" s="181" t="n"/>
      <c r="N260" s="181" t="n"/>
      <c r="O260" s="181" t="n"/>
      <c r="P260" s="181" t="n"/>
      <c r="Q260" s="181" t="n"/>
      <c r="R260" s="181" t="n"/>
      <c r="S260" s="181" t="n"/>
      <c r="T260" s="181" t="n"/>
      <c r="U260" s="181" t="n"/>
    </row>
    <row r="261">
      <c r="A261" s="181" t="n"/>
      <c r="B261" s="181" t="n"/>
      <c r="C261" s="181" t="n"/>
      <c r="D261" s="181" t="n"/>
      <c r="E261" s="181" t="n"/>
      <c r="F261" s="181" t="n"/>
      <c r="G261" s="181" t="n"/>
      <c r="H261" s="181" t="n"/>
      <c r="I261" s="181" t="n"/>
      <c r="J261" s="181" t="n"/>
      <c r="K261" s="181" t="n"/>
      <c r="L261" s="181" t="n"/>
      <c r="M261" s="181" t="n"/>
      <c r="N261" s="181" t="n"/>
      <c r="O261" s="181" t="n"/>
      <c r="P261" s="181" t="n"/>
      <c r="Q261" s="181" t="n"/>
      <c r="R261" s="181" t="n"/>
      <c r="S261" s="181" t="n"/>
      <c r="T261" s="181" t="n"/>
      <c r="U261" s="181" t="n"/>
    </row>
    <row r="262">
      <c r="A262" s="181" t="n"/>
      <c r="B262" s="181" t="n"/>
      <c r="C262" s="181" t="n"/>
      <c r="D262" s="181" t="n"/>
      <c r="E262" s="181" t="n"/>
      <c r="F262" s="181" t="n"/>
      <c r="G262" s="181" t="n"/>
      <c r="H262" s="181" t="n"/>
      <c r="I262" s="181" t="n"/>
      <c r="J262" s="181" t="n"/>
      <c r="K262" s="181" t="n"/>
      <c r="L262" s="181" t="n"/>
      <c r="M262" s="181" t="n"/>
      <c r="N262" s="181" t="n"/>
      <c r="O262" s="181" t="n"/>
      <c r="P262" s="181" t="n"/>
      <c r="Q262" s="181" t="n"/>
      <c r="R262" s="181" t="n"/>
      <c r="S262" s="181" t="n"/>
      <c r="T262" s="181" t="n"/>
      <c r="U262" s="181" t="n"/>
    </row>
    <row r="263">
      <c r="A263" s="181" t="n"/>
      <c r="B263" s="181" t="n"/>
      <c r="C263" s="181" t="n"/>
      <c r="D263" s="181" t="n"/>
      <c r="E263" s="181" t="n"/>
      <c r="F263" s="181" t="n"/>
      <c r="G263" s="181" t="n"/>
      <c r="H263" s="181" t="n"/>
      <c r="I263" s="181" t="n"/>
      <c r="J263" s="181" t="n"/>
      <c r="K263" s="181" t="n"/>
      <c r="L263" s="181" t="n"/>
      <c r="M263" s="181" t="n"/>
      <c r="N263" s="181" t="n"/>
      <c r="O263" s="181" t="n"/>
      <c r="P263" s="181" t="n"/>
      <c r="Q263" s="181" t="n"/>
      <c r="R263" s="181" t="n"/>
      <c r="S263" s="181" t="n"/>
      <c r="T263" s="181" t="n"/>
      <c r="U263" s="181" t="n"/>
    </row>
    <row r="264">
      <c r="A264" s="181" t="n"/>
      <c r="B264" s="181" t="n"/>
      <c r="C264" s="181" t="n"/>
      <c r="D264" s="181" t="n"/>
      <c r="E264" s="181" t="n"/>
      <c r="F264" s="181" t="n"/>
      <c r="G264" s="181" t="n"/>
      <c r="H264" s="181" t="n"/>
      <c r="I264" s="181" t="n"/>
      <c r="J264" s="181" t="n"/>
      <c r="K264" s="181" t="n"/>
      <c r="L264" s="181" t="n"/>
      <c r="M264" s="181" t="n"/>
      <c r="N264" s="181" t="n"/>
      <c r="O264" s="181" t="n"/>
      <c r="P264" s="181" t="n"/>
      <c r="Q264" s="181" t="n"/>
      <c r="R264" s="181" t="n"/>
      <c r="S264" s="181" t="n"/>
      <c r="T264" s="181" t="n"/>
      <c r="U264" s="181" t="n"/>
    </row>
    <row r="265">
      <c r="A265" s="181" t="n"/>
      <c r="B265" s="181" t="n"/>
      <c r="C265" s="181" t="n"/>
      <c r="D265" s="181" t="n"/>
      <c r="E265" s="181" t="n"/>
      <c r="F265" s="181" t="n"/>
      <c r="G265" s="181" t="n"/>
      <c r="H265" s="181" t="n"/>
      <c r="I265" s="181" t="n"/>
      <c r="J265" s="181" t="n"/>
      <c r="K265" s="181" t="n"/>
      <c r="L265" s="181" t="n"/>
      <c r="M265" s="181" t="n"/>
      <c r="N265" s="181" t="n"/>
      <c r="O265" s="181" t="n"/>
      <c r="P265" s="181" t="n"/>
      <c r="Q265" s="181" t="n"/>
      <c r="R265" s="181" t="n"/>
      <c r="S265" s="181" t="n"/>
      <c r="T265" s="181" t="n"/>
      <c r="U265" s="181" t="n"/>
    </row>
    <row r="266">
      <c r="A266" s="181" t="n"/>
      <c r="B266" s="181" t="n"/>
      <c r="C266" s="181" t="n"/>
      <c r="D266" s="181" t="n"/>
      <c r="E266" s="181" t="n"/>
      <c r="F266" s="181" t="n"/>
      <c r="G266" s="181" t="n"/>
      <c r="H266" s="181" t="n"/>
      <c r="I266" s="181" t="n"/>
      <c r="J266" s="181" t="n"/>
      <c r="K266" s="181" t="n"/>
      <c r="L266" s="181" t="n"/>
      <c r="M266" s="181" t="n"/>
      <c r="N266" s="181" t="n"/>
      <c r="O266" s="181" t="n"/>
      <c r="P266" s="181" t="n"/>
      <c r="Q266" s="181" t="n"/>
      <c r="R266" s="181" t="n"/>
      <c r="S266" s="181" t="n"/>
      <c r="T266" s="181" t="n"/>
      <c r="U266" s="181" t="n"/>
    </row>
    <row r="267">
      <c r="A267" s="181" t="n"/>
      <c r="B267" s="181" t="n"/>
      <c r="C267" s="181" t="n"/>
      <c r="D267" s="181" t="n"/>
      <c r="E267" s="181" t="n"/>
      <c r="F267" s="181" t="n"/>
      <c r="G267" s="181" t="n"/>
      <c r="H267" s="181" t="n"/>
      <c r="I267" s="181" t="n"/>
      <c r="J267" s="181" t="n"/>
      <c r="K267" s="181" t="n"/>
      <c r="L267" s="181" t="n"/>
      <c r="M267" s="181" t="n"/>
      <c r="N267" s="181" t="n"/>
      <c r="O267" s="181" t="n"/>
      <c r="P267" s="181" t="n"/>
      <c r="Q267" s="181" t="n"/>
      <c r="R267" s="181" t="n"/>
      <c r="S267" s="181" t="n"/>
      <c r="T267" s="181" t="n"/>
      <c r="U267" s="181" t="n"/>
    </row>
    <row r="268">
      <c r="A268" s="181" t="n"/>
      <c r="B268" s="181" t="n"/>
      <c r="C268" s="181" t="n"/>
      <c r="D268" s="181" t="n"/>
      <c r="E268" s="181" t="n"/>
      <c r="F268" s="181" t="n"/>
      <c r="G268" s="181" t="n"/>
      <c r="H268" s="181" t="n"/>
      <c r="I268" s="181" t="n"/>
      <c r="J268" s="181" t="n"/>
      <c r="K268" s="181" t="n"/>
      <c r="L268" s="181" t="n"/>
      <c r="M268" s="181" t="n"/>
      <c r="N268" s="181" t="n"/>
      <c r="O268" s="181" t="n"/>
      <c r="P268" s="181" t="n"/>
      <c r="Q268" s="181" t="n"/>
      <c r="R268" s="181" t="n"/>
      <c r="S268" s="181" t="n"/>
      <c r="T268" s="181" t="n"/>
      <c r="U268" s="181" t="n"/>
    </row>
    <row r="269">
      <c r="A269" s="181" t="n"/>
      <c r="B269" s="181" t="n"/>
      <c r="C269" s="181" t="n"/>
      <c r="D269" s="181" t="n"/>
      <c r="E269" s="181" t="n"/>
      <c r="F269" s="181" t="n"/>
      <c r="G269" s="181" t="n"/>
      <c r="H269" s="181" t="n"/>
      <c r="I269" s="181" t="n"/>
      <c r="J269" s="181" t="n"/>
      <c r="K269" s="181" t="n"/>
      <c r="L269" s="181" t="n"/>
      <c r="M269" s="181" t="n"/>
      <c r="N269" s="181" t="n"/>
      <c r="O269" s="181" t="n"/>
      <c r="P269" s="181" t="n"/>
      <c r="Q269" s="181" t="n"/>
      <c r="R269" s="181" t="n"/>
      <c r="S269" s="181" t="n"/>
      <c r="T269" s="181" t="n"/>
      <c r="U269" s="181" t="n"/>
    </row>
    <row r="270">
      <c r="A270" s="181" t="n"/>
      <c r="B270" s="181" t="n"/>
      <c r="C270" s="181" t="n"/>
      <c r="D270" s="181" t="n"/>
      <c r="E270" s="181" t="n"/>
      <c r="F270" s="181" t="n"/>
      <c r="G270" s="181" t="n"/>
      <c r="H270" s="181" t="n"/>
      <c r="I270" s="181" t="n"/>
      <c r="J270" s="181" t="n"/>
      <c r="K270" s="181" t="n"/>
      <c r="L270" s="181" t="n"/>
      <c r="M270" s="181" t="n"/>
      <c r="N270" s="181" t="n"/>
      <c r="O270" s="181" t="n"/>
      <c r="P270" s="181" t="n"/>
      <c r="Q270" s="181" t="n"/>
      <c r="R270" s="181" t="n"/>
      <c r="S270" s="181" t="n"/>
      <c r="T270" s="181" t="n"/>
      <c r="U270" s="181" t="n"/>
    </row>
    <row r="271">
      <c r="A271" s="181" t="n"/>
      <c r="B271" s="181" t="n"/>
      <c r="C271" s="181" t="n"/>
      <c r="D271" s="181" t="n"/>
      <c r="E271" s="181" t="n"/>
      <c r="F271" s="181" t="n"/>
      <c r="G271" s="181" t="n"/>
      <c r="H271" s="181" t="n"/>
      <c r="I271" s="181" t="n"/>
      <c r="J271" s="181" t="n"/>
      <c r="K271" s="181" t="n"/>
      <c r="L271" s="181" t="n"/>
      <c r="M271" s="181" t="n"/>
      <c r="N271" s="181" t="n"/>
      <c r="O271" s="181" t="n"/>
      <c r="P271" s="181" t="n"/>
      <c r="Q271" s="181" t="n"/>
      <c r="R271" s="181" t="n"/>
      <c r="S271" s="181" t="n"/>
      <c r="T271" s="181" t="n"/>
      <c r="U271" s="181" t="n"/>
    </row>
    <row r="272">
      <c r="A272" s="181" t="n"/>
      <c r="B272" s="181" t="n"/>
      <c r="C272" s="181" t="n"/>
      <c r="D272" s="181" t="n"/>
      <c r="E272" s="181" t="n"/>
      <c r="F272" s="181" t="n"/>
      <c r="G272" s="181" t="n"/>
      <c r="H272" s="181" t="n"/>
      <c r="I272" s="181" t="n"/>
      <c r="J272" s="181" t="n"/>
      <c r="K272" s="181" t="n"/>
      <c r="L272" s="181" t="n"/>
      <c r="M272" s="181" t="n"/>
      <c r="N272" s="181" t="n"/>
      <c r="O272" s="181" t="n"/>
      <c r="P272" s="181" t="n"/>
      <c r="Q272" s="181" t="n"/>
      <c r="R272" s="181" t="n"/>
      <c r="S272" s="181" t="n"/>
      <c r="T272" s="181" t="n"/>
      <c r="U272" s="181" t="n"/>
    </row>
    <row r="273">
      <c r="A273" s="181" t="n"/>
      <c r="B273" s="181" t="n"/>
      <c r="C273" s="181" t="n"/>
      <c r="D273" s="181" t="n"/>
      <c r="E273" s="181" t="n"/>
      <c r="F273" s="181" t="n"/>
      <c r="G273" s="181" t="n"/>
      <c r="H273" s="181" t="n"/>
      <c r="I273" s="181" t="n"/>
      <c r="J273" s="181" t="n"/>
      <c r="K273" s="181" t="n"/>
      <c r="L273" s="181" t="n"/>
      <c r="M273" s="181" t="n"/>
      <c r="N273" s="181" t="n"/>
      <c r="O273" s="181" t="n"/>
      <c r="P273" s="181" t="n"/>
      <c r="Q273" s="181" t="n"/>
      <c r="R273" s="181" t="n"/>
      <c r="S273" s="181" t="n"/>
      <c r="T273" s="181" t="n"/>
      <c r="U273" s="181" t="n"/>
    </row>
    <row r="274">
      <c r="A274" s="181" t="n"/>
      <c r="B274" s="181" t="n"/>
      <c r="C274" s="181" t="n"/>
      <c r="D274" s="181" t="n"/>
      <c r="E274" s="181" t="n"/>
      <c r="F274" s="181" t="n"/>
      <c r="G274" s="181" t="n"/>
      <c r="H274" s="181" t="n"/>
      <c r="I274" s="181" t="n"/>
      <c r="J274" s="181" t="n"/>
      <c r="K274" s="181" t="n"/>
      <c r="L274" s="181" t="n"/>
      <c r="M274" s="181" t="n"/>
      <c r="N274" s="181" t="n"/>
      <c r="O274" s="181" t="n"/>
      <c r="P274" s="181" t="n"/>
      <c r="Q274" s="181" t="n"/>
      <c r="R274" s="181" t="n"/>
      <c r="S274" s="181" t="n"/>
      <c r="T274" s="181" t="n"/>
      <c r="U274" s="181" t="n"/>
    </row>
    <row r="275">
      <c r="A275" s="181" t="n"/>
      <c r="B275" s="181" t="n"/>
      <c r="C275" s="181" t="n"/>
      <c r="D275" s="181" t="n"/>
      <c r="E275" s="181" t="n"/>
      <c r="F275" s="181" t="n"/>
      <c r="G275" s="181" t="n"/>
      <c r="H275" s="181" t="n"/>
      <c r="I275" s="181" t="n"/>
      <c r="J275" s="181" t="n"/>
      <c r="K275" s="181" t="n"/>
      <c r="L275" s="181" t="n"/>
      <c r="M275" s="181" t="n"/>
      <c r="N275" s="181" t="n"/>
      <c r="O275" s="181" t="n"/>
      <c r="P275" s="181" t="n"/>
      <c r="Q275" s="181" t="n"/>
      <c r="R275" s="181" t="n"/>
      <c r="S275" s="181" t="n"/>
      <c r="T275" s="181" t="n"/>
      <c r="U275" s="181" t="n"/>
    </row>
    <row r="276">
      <c r="A276" s="181" t="n"/>
      <c r="B276" s="181" t="n"/>
      <c r="C276" s="181" t="n"/>
      <c r="D276" s="181" t="n"/>
      <c r="E276" s="181" t="n"/>
      <c r="F276" s="181" t="n"/>
      <c r="G276" s="181" t="n"/>
      <c r="H276" s="181" t="n"/>
      <c r="I276" s="181" t="n"/>
      <c r="J276" s="181" t="n"/>
      <c r="K276" s="181" t="n"/>
      <c r="L276" s="181" t="n"/>
      <c r="M276" s="181" t="n"/>
      <c r="N276" s="181" t="n"/>
      <c r="O276" s="181" t="n"/>
      <c r="P276" s="181" t="n"/>
      <c r="Q276" s="181" t="n"/>
      <c r="R276" s="181" t="n"/>
      <c r="S276" s="181" t="n"/>
      <c r="T276" s="181" t="n"/>
      <c r="U276" s="181" t="n"/>
    </row>
    <row r="277">
      <c r="A277" s="181" t="n"/>
      <c r="B277" s="181" t="n"/>
      <c r="C277" s="181" t="n"/>
      <c r="D277" s="181" t="n"/>
      <c r="E277" s="181" t="n"/>
      <c r="F277" s="181" t="n"/>
      <c r="G277" s="181" t="n"/>
      <c r="H277" s="181" t="n"/>
      <c r="I277" s="181" t="n"/>
      <c r="J277" s="181" t="n"/>
      <c r="K277" s="181" t="n"/>
      <c r="L277" s="181" t="n"/>
      <c r="M277" s="181" t="n"/>
      <c r="N277" s="181" t="n"/>
      <c r="O277" s="181" t="n"/>
      <c r="P277" s="181" t="n"/>
      <c r="Q277" s="181" t="n"/>
      <c r="R277" s="181" t="n"/>
      <c r="S277" s="181" t="n"/>
      <c r="T277" s="181" t="n"/>
      <c r="U277" s="181" t="n"/>
    </row>
    <row r="278">
      <c r="A278" s="181" t="n"/>
      <c r="B278" s="181" t="n"/>
      <c r="C278" s="181" t="n"/>
      <c r="D278" s="181" t="n"/>
      <c r="E278" s="181" t="n"/>
      <c r="F278" s="181" t="n"/>
      <c r="G278" s="181" t="n"/>
      <c r="H278" s="181" t="n"/>
      <c r="I278" s="181" t="n"/>
      <c r="J278" s="181" t="n"/>
      <c r="K278" s="181" t="n"/>
      <c r="L278" s="181" t="n"/>
      <c r="M278" s="181" t="n"/>
      <c r="N278" s="181" t="n"/>
      <c r="O278" s="181" t="n"/>
      <c r="P278" s="181" t="n"/>
      <c r="Q278" s="181" t="n"/>
      <c r="R278" s="181" t="n"/>
      <c r="S278" s="181" t="n"/>
      <c r="T278" s="181" t="n"/>
      <c r="U278" s="181" t="n"/>
    </row>
    <row r="279">
      <c r="A279" s="181" t="n"/>
      <c r="B279" s="181" t="n"/>
      <c r="C279" s="181" t="n"/>
      <c r="D279" s="181" t="n"/>
      <c r="E279" s="181" t="n"/>
      <c r="F279" s="181" t="n"/>
      <c r="G279" s="181" t="n"/>
      <c r="H279" s="181" t="n"/>
      <c r="I279" s="181" t="n"/>
      <c r="J279" s="181" t="n"/>
      <c r="K279" s="181" t="n"/>
      <c r="L279" s="181" t="n"/>
      <c r="M279" s="181" t="n"/>
      <c r="N279" s="181" t="n"/>
      <c r="O279" s="181" t="n"/>
      <c r="P279" s="181" t="n"/>
      <c r="Q279" s="181" t="n"/>
      <c r="R279" s="181" t="n"/>
      <c r="S279" s="181" t="n"/>
      <c r="T279" s="181" t="n"/>
      <c r="U279" s="181" t="n"/>
    </row>
    <row r="280">
      <c r="A280" s="181" t="n"/>
      <c r="B280" s="181" t="n"/>
      <c r="C280" s="181" t="n"/>
      <c r="D280" s="181" t="n"/>
      <c r="E280" s="181" t="n"/>
      <c r="F280" s="181" t="n"/>
      <c r="G280" s="181" t="n"/>
      <c r="H280" s="181" t="n"/>
      <c r="I280" s="181" t="n"/>
      <c r="J280" s="181" t="n"/>
      <c r="K280" s="181" t="n"/>
      <c r="L280" s="181" t="n"/>
      <c r="M280" s="181" t="n"/>
      <c r="N280" s="181" t="n"/>
      <c r="O280" s="181" t="n"/>
      <c r="P280" s="181" t="n"/>
      <c r="Q280" s="181" t="n"/>
      <c r="R280" s="181" t="n"/>
      <c r="S280" s="181" t="n"/>
      <c r="T280" s="181" t="n"/>
      <c r="U280" s="181" t="n"/>
    </row>
    <row r="281">
      <c r="A281" s="181" t="n"/>
      <c r="B281" s="181" t="n"/>
      <c r="C281" s="181" t="n"/>
      <c r="D281" s="181" t="n"/>
      <c r="E281" s="181" t="n"/>
      <c r="F281" s="181" t="n"/>
      <c r="G281" s="181" t="n"/>
      <c r="H281" s="181" t="n"/>
      <c r="I281" s="181" t="n"/>
      <c r="J281" s="181" t="n"/>
      <c r="K281" s="181" t="n"/>
      <c r="L281" s="181" t="n"/>
      <c r="M281" s="181" t="n"/>
      <c r="N281" s="181" t="n"/>
      <c r="O281" s="181" t="n"/>
      <c r="P281" s="181" t="n"/>
      <c r="Q281" s="181" t="n"/>
      <c r="R281" s="181" t="n"/>
      <c r="S281" s="181" t="n"/>
      <c r="T281" s="181" t="n"/>
      <c r="U281" s="181" t="n"/>
    </row>
    <row r="282">
      <c r="A282" s="181" t="n"/>
      <c r="B282" s="181" t="n"/>
      <c r="C282" s="181" t="n"/>
      <c r="D282" s="181" t="n"/>
      <c r="E282" s="181" t="n"/>
      <c r="F282" s="181" t="n"/>
      <c r="G282" s="181" t="n"/>
      <c r="H282" s="181" t="n"/>
      <c r="I282" s="181" t="n"/>
      <c r="J282" s="181" t="n"/>
      <c r="K282" s="181" t="n"/>
      <c r="L282" s="181" t="n"/>
      <c r="M282" s="181" t="n"/>
      <c r="N282" s="181" t="n"/>
      <c r="O282" s="181" t="n"/>
      <c r="P282" s="181" t="n"/>
      <c r="Q282" s="181" t="n"/>
      <c r="R282" s="181" t="n"/>
      <c r="S282" s="181" t="n"/>
      <c r="T282" s="181" t="n"/>
      <c r="U282" s="181" t="n"/>
    </row>
    <row r="283">
      <c r="A283" s="181" t="n"/>
      <c r="B283" s="181" t="n"/>
      <c r="C283" s="181" t="n"/>
      <c r="D283" s="181" t="n"/>
      <c r="E283" s="181" t="n"/>
      <c r="F283" s="181" t="n"/>
      <c r="G283" s="181" t="n"/>
      <c r="H283" s="181" t="n"/>
      <c r="I283" s="181" t="n"/>
      <c r="J283" s="181" t="n"/>
      <c r="K283" s="181" t="n"/>
      <c r="L283" s="181" t="n"/>
      <c r="M283" s="181" t="n"/>
      <c r="N283" s="181" t="n"/>
      <c r="O283" s="181" t="n"/>
      <c r="P283" s="181" t="n"/>
      <c r="Q283" s="181" t="n"/>
      <c r="R283" s="181" t="n"/>
      <c r="S283" s="181" t="n"/>
      <c r="T283" s="181" t="n"/>
      <c r="U283" s="181" t="n"/>
    </row>
    <row r="284">
      <c r="A284" s="181" t="n"/>
      <c r="B284" s="181" t="n"/>
      <c r="C284" s="181" t="n"/>
      <c r="D284" s="181" t="n"/>
      <c r="E284" s="181" t="n"/>
      <c r="F284" s="181" t="n"/>
      <c r="G284" s="181" t="n"/>
      <c r="H284" s="181" t="n"/>
      <c r="I284" s="181" t="n"/>
      <c r="J284" s="181" t="n"/>
      <c r="K284" s="181" t="n"/>
      <c r="L284" s="181" t="n"/>
      <c r="M284" s="181" t="n"/>
      <c r="N284" s="181" t="n"/>
      <c r="O284" s="181" t="n"/>
      <c r="P284" s="181" t="n"/>
      <c r="Q284" s="181" t="n"/>
      <c r="R284" s="181" t="n"/>
      <c r="S284" s="181" t="n"/>
      <c r="T284" s="181" t="n"/>
      <c r="U284" s="181" t="n"/>
    </row>
    <row r="285">
      <c r="A285" s="181" t="n"/>
      <c r="B285" s="181" t="n"/>
      <c r="C285" s="181" t="n"/>
      <c r="D285" s="181" t="n"/>
      <c r="E285" s="181" t="n"/>
      <c r="F285" s="181" t="n"/>
      <c r="G285" s="181" t="n"/>
      <c r="H285" s="181" t="n"/>
      <c r="I285" s="181" t="n"/>
      <c r="J285" s="181" t="n"/>
      <c r="K285" s="181" t="n"/>
      <c r="L285" s="181" t="n"/>
      <c r="M285" s="181" t="n"/>
      <c r="N285" s="181" t="n"/>
      <c r="O285" s="181" t="n"/>
      <c r="P285" s="181" t="n"/>
      <c r="Q285" s="181" t="n"/>
      <c r="R285" s="181" t="n"/>
      <c r="S285" s="181" t="n"/>
      <c r="T285" s="181" t="n"/>
      <c r="U285" s="181" t="n"/>
    </row>
    <row r="286">
      <c r="A286" s="181" t="n"/>
      <c r="B286" s="181" t="n"/>
      <c r="C286" s="181" t="n"/>
      <c r="D286" s="181" t="n"/>
      <c r="E286" s="181" t="n"/>
      <c r="F286" s="181" t="n"/>
      <c r="G286" s="181" t="n"/>
      <c r="H286" s="181" t="n"/>
      <c r="I286" s="181" t="n"/>
      <c r="J286" s="181" t="n"/>
      <c r="K286" s="181" t="n"/>
      <c r="L286" s="181" t="n"/>
      <c r="M286" s="181" t="n"/>
      <c r="N286" s="181" t="n"/>
      <c r="O286" s="181" t="n"/>
      <c r="P286" s="181" t="n"/>
      <c r="Q286" s="181" t="n"/>
      <c r="R286" s="181" t="n"/>
      <c r="S286" s="181" t="n"/>
      <c r="T286" s="181" t="n"/>
      <c r="U286" s="181" t="n"/>
    </row>
    <row r="287">
      <c r="A287" s="181" t="n"/>
      <c r="B287" s="181" t="n"/>
      <c r="C287" s="181" t="n"/>
      <c r="D287" s="181" t="n"/>
      <c r="E287" s="181" t="n"/>
      <c r="F287" s="181" t="n"/>
      <c r="G287" s="181" t="n"/>
      <c r="H287" s="181" t="n"/>
      <c r="I287" s="181" t="n"/>
      <c r="J287" s="181" t="n"/>
      <c r="K287" s="181" t="n"/>
      <c r="L287" s="181" t="n"/>
      <c r="M287" s="181" t="n"/>
      <c r="N287" s="181" t="n"/>
      <c r="O287" s="181" t="n"/>
      <c r="P287" s="181" t="n"/>
      <c r="Q287" s="181" t="n"/>
      <c r="R287" s="181" t="n"/>
      <c r="S287" s="181" t="n"/>
      <c r="T287" s="181" t="n"/>
      <c r="U287" s="181" t="n"/>
    </row>
    <row r="288">
      <c r="A288" s="181" t="n"/>
      <c r="B288" s="181" t="n"/>
      <c r="C288" s="181" t="n"/>
      <c r="D288" s="181" t="n"/>
      <c r="E288" s="181" t="n"/>
      <c r="F288" s="181" t="n"/>
      <c r="G288" s="181" t="n"/>
      <c r="H288" s="181" t="n"/>
      <c r="I288" s="181" t="n"/>
      <c r="J288" s="181" t="n"/>
      <c r="K288" s="181" t="n"/>
      <c r="L288" s="181" t="n"/>
      <c r="M288" s="181" t="n"/>
      <c r="N288" s="181" t="n"/>
      <c r="O288" s="181" t="n"/>
      <c r="P288" s="181" t="n"/>
      <c r="Q288" s="181" t="n"/>
      <c r="R288" s="181" t="n"/>
      <c r="S288" s="181" t="n"/>
      <c r="T288" s="181" t="n"/>
      <c r="U288" s="181" t="n"/>
    </row>
    <row r="289">
      <c r="A289" s="181" t="n"/>
      <c r="B289" s="181" t="n"/>
      <c r="C289" s="181" t="n"/>
      <c r="D289" s="181" t="n"/>
      <c r="E289" s="181" t="n"/>
      <c r="F289" s="181" t="n"/>
      <c r="G289" s="181" t="n"/>
      <c r="H289" s="181" t="n"/>
      <c r="I289" s="181" t="n"/>
      <c r="J289" s="181" t="n"/>
      <c r="K289" s="181" t="n"/>
      <c r="L289" s="181" t="n"/>
      <c r="M289" s="181" t="n"/>
      <c r="N289" s="181" t="n"/>
      <c r="O289" s="181" t="n"/>
      <c r="P289" s="181" t="n"/>
      <c r="Q289" s="181" t="n"/>
      <c r="R289" s="181" t="n"/>
      <c r="S289" s="181" t="n"/>
      <c r="T289" s="181" t="n"/>
      <c r="U289" s="181" t="n"/>
    </row>
    <row r="290">
      <c r="A290" s="181" t="n"/>
      <c r="B290" s="181" t="n"/>
      <c r="C290" s="181" t="n"/>
      <c r="D290" s="181" t="n"/>
      <c r="E290" s="181" t="n"/>
      <c r="F290" s="181" t="n"/>
      <c r="G290" s="181" t="n"/>
      <c r="H290" s="181" t="n"/>
      <c r="I290" s="181" t="n"/>
      <c r="J290" s="181" t="n"/>
      <c r="K290" s="181" t="n"/>
      <c r="L290" s="181" t="n"/>
      <c r="M290" s="181" t="n"/>
      <c r="N290" s="181" t="n"/>
      <c r="O290" s="181" t="n"/>
      <c r="P290" s="181" t="n"/>
      <c r="Q290" s="181" t="n"/>
      <c r="R290" s="181" t="n"/>
      <c r="S290" s="181" t="n"/>
      <c r="T290" s="181" t="n"/>
      <c r="U290" s="181" t="n"/>
    </row>
    <row r="291">
      <c r="A291" s="181" t="n"/>
      <c r="B291" s="181" t="n"/>
      <c r="C291" s="181" t="n"/>
      <c r="D291" s="181" t="n"/>
      <c r="E291" s="181" t="n"/>
      <c r="F291" s="181" t="n"/>
      <c r="G291" s="181" t="n"/>
      <c r="H291" s="181" t="n"/>
      <c r="I291" s="181" t="n"/>
      <c r="J291" s="181" t="n"/>
      <c r="K291" s="181" t="n"/>
      <c r="L291" s="181" t="n"/>
      <c r="M291" s="181" t="n"/>
      <c r="N291" s="181" t="n"/>
      <c r="O291" s="181" t="n"/>
      <c r="P291" s="181" t="n"/>
      <c r="Q291" s="181" t="n"/>
      <c r="R291" s="181" t="n"/>
      <c r="S291" s="181" t="n"/>
      <c r="T291" s="181" t="n"/>
      <c r="U291" s="181" t="n"/>
    </row>
    <row r="292">
      <c r="A292" s="181" t="n"/>
      <c r="B292" s="181" t="n"/>
      <c r="C292" s="181" t="n"/>
      <c r="D292" s="181" t="n"/>
      <c r="E292" s="181" t="n"/>
      <c r="F292" s="181" t="n"/>
      <c r="G292" s="181" t="n"/>
      <c r="H292" s="181" t="n"/>
      <c r="I292" s="181" t="n"/>
      <c r="J292" s="181" t="n"/>
      <c r="K292" s="181" t="n"/>
      <c r="L292" s="181" t="n"/>
      <c r="M292" s="181" t="n"/>
      <c r="N292" s="181" t="n"/>
      <c r="O292" s="181" t="n"/>
      <c r="P292" s="181" t="n"/>
      <c r="Q292" s="181" t="n"/>
      <c r="R292" s="181" t="n"/>
      <c r="S292" s="181" t="n"/>
      <c r="T292" s="181" t="n"/>
      <c r="U292" s="181" t="n"/>
    </row>
    <row r="293">
      <c r="A293" s="181" t="n"/>
      <c r="B293" s="181" t="n"/>
      <c r="C293" s="181" t="n"/>
      <c r="D293" s="181" t="n"/>
      <c r="E293" s="181" t="n"/>
      <c r="F293" s="181" t="n"/>
      <c r="G293" s="181" t="n"/>
      <c r="H293" s="181" t="n"/>
      <c r="I293" s="181" t="n"/>
      <c r="J293" s="181" t="n"/>
      <c r="K293" s="181" t="n"/>
      <c r="L293" s="181" t="n"/>
      <c r="M293" s="181" t="n"/>
      <c r="N293" s="181" t="n"/>
      <c r="O293" s="181" t="n"/>
      <c r="P293" s="181" t="n"/>
      <c r="Q293" s="181" t="n"/>
      <c r="R293" s="181" t="n"/>
      <c r="S293" s="181" t="n"/>
      <c r="T293" s="181" t="n"/>
      <c r="U293" s="181" t="n"/>
    </row>
    <row r="294">
      <c r="A294" s="181" t="n"/>
      <c r="B294" s="181" t="n"/>
      <c r="C294" s="181" t="n"/>
      <c r="D294" s="181" t="n"/>
      <c r="E294" s="181" t="n"/>
      <c r="F294" s="181" t="n"/>
      <c r="G294" s="181" t="n"/>
      <c r="H294" s="181" t="n"/>
      <c r="I294" s="181" t="n"/>
      <c r="J294" s="181" t="n"/>
      <c r="K294" s="181" t="n"/>
      <c r="L294" s="181" t="n"/>
      <c r="M294" s="181" t="n"/>
      <c r="N294" s="181" t="n"/>
      <c r="O294" s="181" t="n"/>
      <c r="P294" s="181" t="n"/>
      <c r="Q294" s="181" t="n"/>
      <c r="R294" s="181" t="n"/>
      <c r="S294" s="181" t="n"/>
      <c r="T294" s="181" t="n"/>
      <c r="U294" s="181" t="n"/>
    </row>
    <row r="295">
      <c r="A295" s="181" t="n"/>
      <c r="B295" s="181" t="n"/>
      <c r="C295" s="181" t="n"/>
      <c r="D295" s="181" t="n"/>
      <c r="E295" s="181" t="n"/>
      <c r="F295" s="181" t="n"/>
      <c r="G295" s="181" t="n"/>
      <c r="H295" s="181" t="n"/>
      <c r="I295" s="181" t="n"/>
      <c r="J295" s="181" t="n"/>
      <c r="K295" s="181" t="n"/>
      <c r="L295" s="181" t="n"/>
      <c r="M295" s="181" t="n"/>
      <c r="N295" s="181" t="n"/>
      <c r="O295" s="181" t="n"/>
      <c r="P295" s="181" t="n"/>
      <c r="Q295" s="181" t="n"/>
      <c r="R295" s="181" t="n"/>
      <c r="S295" s="181" t="n"/>
      <c r="T295" s="181" t="n"/>
      <c r="U295" s="181" t="n"/>
    </row>
    <row r="296">
      <c r="A296" s="181" t="n"/>
      <c r="B296" s="181" t="n"/>
      <c r="C296" s="181" t="n"/>
      <c r="D296" s="181" t="n"/>
      <c r="E296" s="181" t="n"/>
      <c r="F296" s="181" t="n"/>
      <c r="G296" s="181" t="n"/>
      <c r="H296" s="181" t="n"/>
      <c r="I296" s="181" t="n"/>
      <c r="J296" s="181" t="n"/>
      <c r="K296" s="181" t="n"/>
      <c r="L296" s="181" t="n"/>
      <c r="M296" s="181" t="n"/>
      <c r="N296" s="181" t="n"/>
      <c r="O296" s="181" t="n"/>
      <c r="P296" s="181" t="n"/>
      <c r="Q296" s="181" t="n"/>
      <c r="R296" s="181" t="n"/>
      <c r="S296" s="181" t="n"/>
      <c r="T296" s="181" t="n"/>
      <c r="U296" s="181" t="n"/>
    </row>
    <row r="297">
      <c r="A297" s="181" t="n"/>
      <c r="B297" s="181" t="n"/>
      <c r="C297" s="181" t="n"/>
      <c r="D297" s="181" t="n"/>
      <c r="E297" s="181" t="n"/>
      <c r="F297" s="181" t="n"/>
      <c r="G297" s="181" t="n"/>
      <c r="H297" s="181" t="n"/>
      <c r="I297" s="181" t="n"/>
      <c r="J297" s="181" t="n"/>
      <c r="K297" s="181" t="n"/>
      <c r="L297" s="181" t="n"/>
      <c r="M297" s="181" t="n"/>
      <c r="N297" s="181" t="n"/>
      <c r="O297" s="181" t="n"/>
      <c r="P297" s="181" t="n"/>
      <c r="Q297" s="181" t="n"/>
      <c r="R297" s="181" t="n"/>
      <c r="S297" s="181" t="n"/>
      <c r="T297" s="181" t="n"/>
      <c r="U297" s="181" t="n"/>
    </row>
    <row r="298">
      <c r="A298" s="181" t="n"/>
      <c r="B298" s="181" t="n"/>
      <c r="C298" s="181" t="n"/>
      <c r="D298" s="181" t="n"/>
      <c r="E298" s="181" t="n"/>
      <c r="F298" s="181" t="n"/>
      <c r="G298" s="181" t="n"/>
      <c r="H298" s="181" t="n"/>
      <c r="I298" s="181" t="n"/>
      <c r="J298" s="181" t="n"/>
      <c r="K298" s="181" t="n"/>
      <c r="L298" s="181" t="n"/>
      <c r="M298" s="181" t="n"/>
      <c r="N298" s="181" t="n"/>
      <c r="O298" s="181" t="n"/>
      <c r="P298" s="181" t="n"/>
      <c r="Q298" s="181" t="n"/>
      <c r="R298" s="181" t="n"/>
      <c r="S298" s="181" t="n"/>
      <c r="T298" s="181" t="n"/>
      <c r="U298" s="181" t="n"/>
    </row>
    <row r="299">
      <c r="A299" s="181" t="n"/>
      <c r="B299" s="181" t="n"/>
      <c r="C299" s="181" t="n"/>
      <c r="D299" s="181" t="n"/>
      <c r="E299" s="181" t="n"/>
      <c r="F299" s="181" t="n"/>
      <c r="G299" s="181" t="n"/>
      <c r="H299" s="181" t="n"/>
      <c r="I299" s="181" t="n"/>
      <c r="J299" s="181" t="n"/>
      <c r="K299" s="181" t="n"/>
      <c r="L299" s="181" t="n"/>
      <c r="M299" s="181" t="n"/>
      <c r="N299" s="181" t="n"/>
      <c r="O299" s="181" t="n"/>
      <c r="P299" s="181" t="n"/>
      <c r="Q299" s="181" t="n"/>
      <c r="R299" s="181" t="n"/>
      <c r="S299" s="181" t="n"/>
      <c r="T299" s="181" t="n"/>
      <c r="U299" s="181" t="n"/>
    </row>
    <row r="300">
      <c r="A300" s="181" t="n"/>
      <c r="B300" s="181" t="n"/>
      <c r="C300" s="181" t="n"/>
      <c r="D300" s="181" t="n"/>
      <c r="E300" s="181" t="n"/>
      <c r="F300" s="181" t="n"/>
      <c r="G300" s="181" t="n"/>
      <c r="H300" s="181" t="n"/>
      <c r="I300" s="181" t="n"/>
      <c r="J300" s="181" t="n"/>
      <c r="K300" s="181" t="n"/>
      <c r="L300" s="181" t="n"/>
      <c r="M300" s="181" t="n"/>
      <c r="N300" s="181" t="n"/>
      <c r="O300" s="181" t="n"/>
      <c r="P300" s="181" t="n"/>
      <c r="Q300" s="181" t="n"/>
      <c r="R300" s="181" t="n"/>
      <c r="S300" s="181" t="n"/>
      <c r="T300" s="181" t="n"/>
      <c r="U300" s="181" t="n"/>
    </row>
  </sheetData>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4.43000030517578" customWidth="1" style="76" min="1" max="1"/>
    <col width="45.56999969482422" customWidth="1" style="76" min="2" max="2"/>
    <col width="15.14000034332275" customWidth="1" style="76" min="3" max="3"/>
    <col width="73.70999908447266" customWidth="1" style="76" min="4" max="4"/>
    <col width="55.43000030517578" customWidth="1" style="76" min="5" max="5"/>
    <col width="50.13999938964844" customWidth="1" style="76" min="6" max="6"/>
  </cols>
  <sheetData>
    <row r="1">
      <c r="A1" s="181" t="inlineStr">
        <is>
          <t>goal</t>
        </is>
      </c>
      <c r="B1" s="181" t="inlineStr">
        <is>
          <t>primaryStack</t>
        </is>
      </c>
      <c r="C1" s="181" t="inlineStr">
        <is>
          <t>primaryStatus</t>
        </is>
      </c>
      <c r="D1" s="181" t="inlineStr">
        <is>
          <t>primaryWhy</t>
        </is>
      </c>
      <c r="E1" s="181" t="inlineStr">
        <is>
          <t>fallbackStack</t>
        </is>
      </c>
      <c r="F1" s="181" t="inlineStr">
        <is>
          <t>fallbackWhy</t>
        </is>
      </c>
    </row>
    <row r="2">
      <c r="A2" s="181" t="inlineStr">
        <is>
          <t>Sleep</t>
        </is>
      </c>
      <c r="B2" s="181" t="inlineStr">
        <is>
          <t>Rhodiola Rosea + Lemon Balm + Holy Basil</t>
        </is>
      </c>
      <c r="C2" s="181" t="inlineStr">
        <is>
          <t>safe</t>
        </is>
      </c>
      <c r="D2" s="181" t="inlineStr">
        <is>
          <t>No contraindication conflicts detected; prioritized as safest option.</t>
        </is>
      </c>
      <c r="E2" s="181" t="inlineStr">
        <is>
          <t>No safer replacement currently available</t>
        </is>
      </c>
      <c r="F2" s="181" t="inlineStr">
        <is>
          <t>No explicit safer fallback currently available.</t>
        </is>
      </c>
    </row>
    <row r="3">
      <c r="A3" s="181" t="inlineStr">
        <is>
          <t>Inflammation</t>
        </is>
      </c>
      <c r="B3" s="181" t="inlineStr">
        <is>
          <t>Milk Thistle + Ginkgo Biloba + Turmeric</t>
        </is>
      </c>
      <c r="C3" s="181" t="inlineStr">
        <is>
          <t>caution</t>
        </is>
      </c>
      <c r="D3" s="181" t="inlineStr">
        <is>
          <t>Moderate risk present; retained due to lack of fully safe alternatives.</t>
        </is>
      </c>
      <c r="E3" s="181" t="inlineStr">
        <is>
          <t>Milk Thistle + Ginkgo Biloba + Rhodiola Rosea</t>
        </is>
      </c>
      <c r="F3" s="181" t="inlineStr">
        <is>
          <t>Use fallback when lower-risk option is needed.</t>
        </is>
      </c>
    </row>
    <row r="4">
      <c r="A4" s="181" t="inlineStr">
        <is>
          <t>Mood</t>
        </is>
      </c>
      <c r="B4" s="181" t="inlineStr">
        <is>
          <t>Rhodiola Rosea + Echinacea Purpurea</t>
        </is>
      </c>
      <c r="C4" s="181" t="inlineStr">
        <is>
          <t>safe</t>
        </is>
      </c>
      <c r="D4" s="181" t="inlineStr">
        <is>
          <t>No contraindication conflicts detected; prioritized as safest option.</t>
        </is>
      </c>
      <c r="E4" s="181" t="inlineStr">
        <is>
          <t>No safer replacement currently available</t>
        </is>
      </c>
      <c r="F4" s="181" t="inlineStr">
        <is>
          <t>No explicit safer fallback currently available.</t>
        </is>
      </c>
    </row>
    <row r="5">
      <c r="A5" s="181" t="inlineStr">
        <is>
          <t>Liver</t>
        </is>
      </c>
      <c r="B5" s="181" t="inlineStr">
        <is>
          <t>Milk Thistle + Rhodiola Rosea + Turmeric</t>
        </is>
      </c>
      <c r="C5" s="181" t="inlineStr">
        <is>
          <t>caution</t>
        </is>
      </c>
      <c r="D5" s="181" t="inlineStr">
        <is>
          <t>Moderate risk present; retained due to lack of fully safe alternatives.</t>
        </is>
      </c>
      <c r="E5" s="181" t="inlineStr">
        <is>
          <t>Milk Thistle + Rhodiola Rosea + Echinacea Purpurea</t>
        </is>
      </c>
      <c r="F5" s="181" t="inlineStr">
        <is>
          <t>Use fallback when lower-risk option is needed.</t>
        </is>
      </c>
    </row>
    <row r="6">
      <c r="A6" s="181" t="n"/>
      <c r="B6" s="181" t="n"/>
      <c r="C6" s="181" t="n"/>
      <c r="D6" s="181" t="n"/>
      <c r="E6" s="181" t="n"/>
      <c r="F6" s="181" t="n"/>
    </row>
    <row r="7">
      <c r="A7" s="181" t="n"/>
      <c r="B7" s="181" t="n"/>
      <c r="C7" s="181" t="n"/>
      <c r="D7" s="181" t="n"/>
      <c r="E7" s="181" t="n"/>
      <c r="F7" s="181" t="n"/>
    </row>
    <row r="8">
      <c r="A8" s="181" t="n"/>
      <c r="B8" s="181" t="n"/>
      <c r="C8" s="181" t="n"/>
      <c r="D8" s="181" t="n"/>
      <c r="E8" s="181" t="n"/>
      <c r="F8" s="181" t="n"/>
    </row>
    <row r="9">
      <c r="A9" s="181" t="n"/>
      <c r="B9" s="181" t="n"/>
      <c r="C9" s="181" t="n"/>
      <c r="D9" s="181" t="n"/>
      <c r="E9" s="181" t="n"/>
      <c r="F9" s="181" t="n"/>
    </row>
    <row r="10">
      <c r="A10" s="181" t="n"/>
      <c r="B10" s="181" t="n"/>
      <c r="C10" s="181" t="n"/>
      <c r="D10" s="181" t="n"/>
      <c r="E10" s="181" t="n"/>
      <c r="F10" s="181" t="n"/>
    </row>
    <row r="11">
      <c r="A11" s="181" t="n"/>
      <c r="B11" s="181" t="n"/>
      <c r="C11" s="181" t="n"/>
      <c r="D11" s="181" t="n"/>
      <c r="E11" s="181" t="n"/>
      <c r="F11" s="181" t="n"/>
    </row>
    <row r="12">
      <c r="A12" s="181" t="n"/>
      <c r="B12" s="181" t="n"/>
      <c r="C12" s="181" t="n"/>
      <c r="D12" s="181" t="n"/>
      <c r="E12" s="181" t="n"/>
      <c r="F12" s="181" t="n"/>
    </row>
    <row r="13">
      <c r="A13" s="181" t="n"/>
      <c r="B13" s="181" t="n"/>
      <c r="C13" s="181" t="n"/>
      <c r="D13" s="181" t="n"/>
      <c r="E13" s="181" t="n"/>
      <c r="F13" s="181" t="n"/>
    </row>
    <row r="14">
      <c r="A14" s="181" t="n"/>
      <c r="B14" s="181" t="n"/>
      <c r="C14" s="181" t="n"/>
      <c r="D14" s="181" t="n"/>
      <c r="E14" s="181" t="n"/>
      <c r="F14" s="181" t="n"/>
    </row>
    <row r="15">
      <c r="A15" s="181" t="n"/>
      <c r="B15" s="181" t="n"/>
      <c r="C15" s="181" t="n"/>
      <c r="D15" s="181" t="n"/>
      <c r="E15" s="181" t="n"/>
      <c r="F15" s="181" t="n"/>
    </row>
    <row r="16">
      <c r="A16" s="181" t="n"/>
      <c r="B16" s="181" t="n"/>
      <c r="C16" s="181" t="n"/>
      <c r="D16" s="181" t="n"/>
      <c r="E16" s="181" t="n"/>
      <c r="F16" s="181" t="n"/>
    </row>
    <row r="17">
      <c r="A17" s="181" t="n"/>
      <c r="B17" s="181" t="n"/>
      <c r="C17" s="181" t="n"/>
      <c r="D17" s="181" t="n"/>
      <c r="E17" s="181" t="n"/>
      <c r="F17" s="181" t="n"/>
    </row>
    <row r="18">
      <c r="A18" s="181" t="n"/>
      <c r="B18" s="181" t="n"/>
      <c r="C18" s="181" t="n"/>
      <c r="D18" s="181" t="n"/>
      <c r="E18" s="181" t="n"/>
      <c r="F18" s="181" t="n"/>
    </row>
    <row r="19">
      <c r="A19" s="181" t="n"/>
      <c r="B19" s="181" t="n"/>
      <c r="C19" s="181" t="n"/>
      <c r="D19" s="181" t="n"/>
      <c r="E19" s="181" t="n"/>
      <c r="F19" s="181" t="n"/>
    </row>
    <row r="20">
      <c r="A20" s="181" t="n"/>
      <c r="B20" s="181" t="n"/>
      <c r="C20" s="181" t="n"/>
      <c r="D20" s="181" t="n"/>
      <c r="E20" s="181" t="n"/>
      <c r="F20" s="181" t="n"/>
    </row>
    <row r="21">
      <c r="A21" s="181" t="n"/>
      <c r="B21" s="181" t="n"/>
      <c r="C21" s="181" t="n"/>
      <c r="D21" s="181" t="n"/>
      <c r="E21" s="181" t="n"/>
      <c r="F21" s="181" t="n"/>
    </row>
    <row r="22">
      <c r="A22" s="181" t="n"/>
      <c r="B22" s="181" t="n"/>
      <c r="C22" s="181" t="n"/>
      <c r="D22" s="181" t="n"/>
      <c r="E22" s="181" t="n"/>
      <c r="F22" s="181" t="n"/>
    </row>
    <row r="23">
      <c r="A23" s="181" t="n"/>
      <c r="B23" s="181" t="n"/>
      <c r="C23" s="181" t="n"/>
      <c r="D23" s="181" t="n"/>
      <c r="E23" s="181" t="n"/>
      <c r="F23" s="181" t="n"/>
    </row>
    <row r="24">
      <c r="A24" s="181" t="n"/>
      <c r="B24" s="181" t="n"/>
      <c r="C24" s="181" t="n"/>
      <c r="D24" s="181" t="n"/>
      <c r="E24" s="181" t="n"/>
      <c r="F24" s="181" t="n"/>
    </row>
    <row r="25">
      <c r="A25" s="181" t="n"/>
      <c r="B25" s="181" t="n"/>
      <c r="C25" s="181" t="n"/>
      <c r="D25" s="181" t="n"/>
      <c r="E25" s="181" t="n"/>
      <c r="F25" s="181" t="n"/>
    </row>
    <row r="26">
      <c r="A26" s="181" t="n"/>
      <c r="B26" s="181" t="n"/>
      <c r="C26" s="181" t="n"/>
      <c r="D26" s="181" t="n"/>
      <c r="E26" s="181" t="n"/>
      <c r="F26" s="181" t="n"/>
    </row>
    <row r="27">
      <c r="A27" s="181" t="n"/>
      <c r="B27" s="181" t="n"/>
      <c r="C27" s="181" t="n"/>
      <c r="D27" s="181" t="n"/>
      <c r="E27" s="181" t="n"/>
      <c r="F27" s="181" t="n"/>
    </row>
    <row r="28">
      <c r="A28" s="181" t="n"/>
      <c r="B28" s="181" t="n"/>
      <c r="C28" s="181" t="n"/>
      <c r="D28" s="181" t="n"/>
      <c r="E28" s="181" t="n"/>
      <c r="F28" s="181" t="n"/>
    </row>
    <row r="29">
      <c r="A29" s="181" t="n"/>
      <c r="B29" s="181" t="n"/>
      <c r="C29" s="181" t="n"/>
      <c r="D29" s="181" t="n"/>
      <c r="E29" s="181" t="n"/>
      <c r="F29" s="181" t="n"/>
    </row>
    <row r="30">
      <c r="A30" s="181" t="n"/>
      <c r="B30" s="181" t="n"/>
      <c r="C30" s="181" t="n"/>
      <c r="D30" s="181" t="n"/>
      <c r="E30" s="181" t="n"/>
      <c r="F30" s="181" t="n"/>
    </row>
    <row r="31">
      <c r="A31" s="181" t="n"/>
      <c r="B31" s="181" t="n"/>
      <c r="C31" s="181" t="n"/>
      <c r="D31" s="181" t="n"/>
      <c r="E31" s="181" t="n"/>
      <c r="F31" s="181" t="n"/>
    </row>
    <row r="32">
      <c r="A32" s="181" t="n"/>
      <c r="B32" s="181" t="n"/>
      <c r="C32" s="181" t="n"/>
      <c r="D32" s="181" t="n"/>
      <c r="E32" s="181" t="n"/>
      <c r="F32" s="181" t="n"/>
    </row>
    <row r="33">
      <c r="A33" s="181" t="n"/>
      <c r="B33" s="181" t="n"/>
      <c r="C33" s="181" t="n"/>
      <c r="D33" s="181" t="n"/>
      <c r="E33" s="181" t="n"/>
      <c r="F33" s="181" t="n"/>
    </row>
    <row r="34">
      <c r="A34" s="181" t="n"/>
      <c r="B34" s="181" t="n"/>
      <c r="C34" s="181" t="n"/>
      <c r="D34" s="181" t="n"/>
      <c r="E34" s="181" t="n"/>
      <c r="F34" s="181" t="n"/>
    </row>
    <row r="35">
      <c r="A35" s="181" t="n"/>
      <c r="B35" s="181" t="n"/>
      <c r="C35" s="181" t="n"/>
      <c r="D35" s="181" t="n"/>
      <c r="E35" s="181" t="n"/>
      <c r="F35" s="181" t="n"/>
    </row>
    <row r="36">
      <c r="A36" s="181" t="n"/>
      <c r="B36" s="181" t="n"/>
      <c r="C36" s="181" t="n"/>
      <c r="D36" s="181" t="n"/>
      <c r="E36" s="181" t="n"/>
      <c r="F36" s="181" t="n"/>
    </row>
    <row r="37">
      <c r="A37" s="181" t="n"/>
      <c r="B37" s="181" t="n"/>
      <c r="C37" s="181" t="n"/>
      <c r="D37" s="181" t="n"/>
      <c r="E37" s="181" t="n"/>
      <c r="F37" s="181" t="n"/>
    </row>
    <row r="38">
      <c r="A38" s="181" t="n"/>
      <c r="B38" s="181" t="n"/>
      <c r="C38" s="181" t="n"/>
      <c r="D38" s="181" t="n"/>
      <c r="E38" s="181" t="n"/>
      <c r="F38" s="181" t="n"/>
    </row>
    <row r="39">
      <c r="A39" s="181" t="n"/>
      <c r="B39" s="181" t="n"/>
      <c r="C39" s="181" t="n"/>
      <c r="D39" s="181" t="n"/>
      <c r="E39" s="181" t="n"/>
      <c r="F39" s="181" t="n"/>
    </row>
    <row r="40">
      <c r="A40" s="181" t="n"/>
      <c r="B40" s="181" t="n"/>
      <c r="C40" s="181" t="n"/>
      <c r="D40" s="181" t="n"/>
      <c r="E40" s="181" t="n"/>
      <c r="F40" s="181" t="n"/>
    </row>
    <row r="41">
      <c r="A41" s="181" t="n"/>
      <c r="B41" s="181" t="n"/>
      <c r="C41" s="181" t="n"/>
      <c r="D41" s="181" t="n"/>
      <c r="E41" s="181" t="n"/>
      <c r="F41" s="181" t="n"/>
    </row>
    <row r="42">
      <c r="A42" s="181" t="n"/>
      <c r="B42" s="181" t="n"/>
      <c r="C42" s="181" t="n"/>
      <c r="D42" s="181" t="n"/>
      <c r="E42" s="181" t="n"/>
      <c r="F42" s="181" t="n"/>
    </row>
    <row r="43">
      <c r="A43" s="181" t="n"/>
      <c r="B43" s="181" t="n"/>
      <c r="C43" s="181" t="n"/>
      <c r="D43" s="181" t="n"/>
      <c r="E43" s="181" t="n"/>
      <c r="F43" s="181" t="n"/>
    </row>
    <row r="44">
      <c r="A44" s="181" t="n"/>
      <c r="B44" s="181" t="n"/>
      <c r="C44" s="181" t="n"/>
      <c r="D44" s="181" t="n"/>
      <c r="E44" s="181" t="n"/>
      <c r="F44" s="181" t="n"/>
    </row>
    <row r="45">
      <c r="A45" s="181" t="n"/>
      <c r="B45" s="181" t="n"/>
      <c r="C45" s="181" t="n"/>
      <c r="D45" s="181" t="n"/>
      <c r="E45" s="181" t="n"/>
      <c r="F45" s="181" t="n"/>
    </row>
    <row r="46">
      <c r="A46" s="181" t="n"/>
      <c r="B46" s="181" t="n"/>
      <c r="C46" s="181" t="n"/>
      <c r="D46" s="181" t="n"/>
      <c r="E46" s="181" t="n"/>
      <c r="F46" s="181" t="n"/>
    </row>
    <row r="47">
      <c r="A47" s="181" t="n"/>
      <c r="B47" s="181" t="n"/>
      <c r="C47" s="181" t="n"/>
      <c r="D47" s="181" t="n"/>
      <c r="E47" s="181" t="n"/>
      <c r="F47" s="181" t="n"/>
    </row>
    <row r="48">
      <c r="A48" s="181" t="n"/>
      <c r="B48" s="181" t="n"/>
      <c r="C48" s="181" t="n"/>
      <c r="D48" s="181" t="n"/>
      <c r="E48" s="181" t="n"/>
      <c r="F48" s="181" t="n"/>
    </row>
    <row r="49">
      <c r="A49" s="181" t="n"/>
      <c r="B49" s="181" t="n"/>
      <c r="C49" s="181" t="n"/>
      <c r="D49" s="181" t="n"/>
      <c r="E49" s="181" t="n"/>
      <c r="F49" s="181" t="n"/>
    </row>
    <row r="50">
      <c r="A50" s="181" t="n"/>
      <c r="B50" s="181" t="n"/>
      <c r="C50" s="181" t="n"/>
      <c r="D50" s="181" t="n"/>
      <c r="E50" s="181" t="n"/>
      <c r="F50" s="181" t="n"/>
    </row>
  </sheetData>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4.29000091552734" customWidth="1" style="76" min="1" max="1"/>
    <col width="10.14000034332275" customWidth="1" style="76" min="2" max="2"/>
    <col width="56.43000030517578" customWidth="1" style="76" min="3" max="3"/>
  </cols>
  <sheetData>
    <row r="1">
      <c r="A1" t="inlineStr">
        <is>
          <t>action</t>
        </is>
      </c>
      <c r="B1" t="inlineStr">
        <is>
          <t>result</t>
        </is>
      </c>
      <c r="C1" t="inlineStr">
        <is>
          <t>note</t>
        </is>
      </c>
    </row>
    <row r="2">
      <c r="A2" t="inlineStr">
        <is>
          <t>stack export layer</t>
        </is>
      </c>
      <c r="B2" t="inlineStr">
        <is>
          <t>complete</t>
        </is>
      </c>
      <c r="C2" t="inlineStr">
        <is>
          <t>preferred stacks transformed into export-ready rows</t>
        </is>
      </c>
    </row>
    <row r="3">
      <c r="A3" t="inlineStr">
        <is>
          <t>frontend handoff layer</t>
        </is>
      </c>
      <c r="B3" t="inlineStr">
        <is>
          <t>complete</t>
        </is>
      </c>
      <c r="C3" t="inlineStr">
        <is>
          <t>one primary stack per goal plus fallback guidance</t>
        </is>
      </c>
    </row>
    <row r="4">
      <c r="A4" t="inlineStr">
        <is>
          <t>goal bundles</t>
        </is>
      </c>
      <c r="B4" t="n">
        <v>4</v>
      </c>
      <c r="C4" t="inlineStr">
        <is>
          <t>sleep, inflammation, mood, liver</t>
        </is>
      </c>
    </row>
  </sheetData>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entity</t>
        </is>
      </c>
      <c r="B1" t="inlineStr">
        <is>
          <t>variantOrForm</t>
        </is>
      </c>
      <c r="C1" t="inlineStr">
        <is>
          <t>ruleType</t>
        </is>
      </c>
      <c r="D1" t="inlineStr">
        <is>
          <t>frontendLabel</t>
        </is>
      </c>
      <c r="E1" t="inlineStr">
        <is>
          <t>eligibilityRule</t>
        </is>
      </c>
      <c r="F1" t="inlineStr">
        <is>
          <t>safetyImpact</t>
        </is>
      </c>
      <c r="G1" t="inlineStr">
        <is>
          <t>replacementLogic</t>
        </is>
      </c>
      <c r="H1" t="inlineStr">
        <is>
          <t>routingPriority</t>
        </is>
      </c>
      <c r="I1" t="inlineStr">
        <is>
          <t>notes</t>
        </is>
      </c>
    </row>
    <row r="2">
      <c r="A2" t="inlineStr">
        <is>
          <t>licorice</t>
        </is>
      </c>
      <c r="B2" t="inlineStr">
        <is>
          <t>whole-root glycyrrhizin-containing</t>
        </is>
      </c>
      <c r="C2" t="inlineStr">
        <is>
          <t>form-split</t>
        </is>
      </c>
      <c r="D2" t="inlineStr">
        <is>
          <t>Licorice (whole root)</t>
        </is>
      </c>
      <c r="E2" t="inlineStr">
        <is>
          <t>Do not surface as default for users with hypertension, edema, hypokalemia, heart failure, kidney disease, or relevant med conflicts</t>
        </is>
      </c>
      <c r="F2" t="inlineStr">
        <is>
          <t>high</t>
        </is>
      </c>
      <c r="G2" t="inlineStr">
        <is>
          <t>Swap to DGL logic or alternative demulcent when GI use-case does not require glycyrrhizin chemistry</t>
        </is>
      </c>
      <c r="H2" t="inlineStr">
        <is>
          <t>1</t>
        </is>
      </c>
      <c r="I2" t="inlineStr">
        <is>
          <t>Whole-root licorice and DGL are not interchangeable.</t>
        </is>
      </c>
    </row>
    <row r="3">
      <c r="A3" t="inlineStr">
        <is>
          <t>licorice</t>
        </is>
      </c>
      <c r="B3" t="inlineStr">
        <is>
          <t>DGL</t>
        </is>
      </c>
      <c r="C3" t="inlineStr">
        <is>
          <t>form-split</t>
        </is>
      </c>
      <c r="D3" t="inlineStr">
        <is>
          <t>Licorice (DGL)</t>
        </is>
      </c>
      <c r="E3" t="inlineStr">
        <is>
          <t>Allowed in more GI-support contexts when glycyrrhizin risk is the main blocker; still respect general pregnancy/med review</t>
        </is>
      </c>
      <c r="F3" t="inlineStr">
        <is>
          <t>moderate</t>
        </is>
      </c>
      <c r="G3" t="inlineStr">
        <is>
          <t>Preferred replacement when whole-root licorice is blocked by BP/potassium risk</t>
        </is>
      </c>
      <c r="H3" t="inlineStr">
        <is>
          <t>1</t>
        </is>
      </c>
      <c r="I3" t="inlineStr">
        <is>
          <t>Frontend should explicitly label DGL to avoid safety ambiguity.</t>
        </is>
      </c>
    </row>
    <row r="4">
      <c r="A4" t="inlineStr">
        <is>
          <t>american-skullcap</t>
        </is>
      </c>
      <c r="B4" t="inlineStr">
        <is>
          <t>Scutellaria lateriflora</t>
        </is>
      </c>
      <c r="C4" t="inlineStr">
        <is>
          <t>species-split</t>
        </is>
      </c>
      <c r="D4" t="inlineStr">
        <is>
          <t>American Skullcap</t>
        </is>
      </c>
      <c r="E4" t="inlineStr">
        <is>
          <t>Use for calming/sleep-adjacent routing only when species is verified</t>
        </is>
      </c>
      <c r="F4" t="inlineStr">
        <is>
          <t>moderate</t>
        </is>
      </c>
      <c r="G4" t="inlineStr">
        <is>
          <t>Do not silently substitute Chinese skullcap chemistry for calming stack output</t>
        </is>
      </c>
      <c r="H4" t="inlineStr">
        <is>
          <t>2</t>
        </is>
      </c>
      <c r="I4" t="inlineStr">
        <is>
          <t>Species distinction is mandatory for copy and mapping.</t>
        </is>
      </c>
    </row>
    <row r="5">
      <c r="A5" t="inlineStr">
        <is>
          <t>st-johns-wort</t>
        </is>
      </c>
      <c r="B5" t="inlineStr">
        <is>
          <t>hyperforin-rich extract</t>
        </is>
      </c>
      <c r="C5" t="inlineStr">
        <is>
          <t>extract-sensitivity</t>
        </is>
      </c>
      <c r="D5" t="inlineStr">
        <is>
          <t>St. John's Wort</t>
        </is>
      </c>
      <c r="E5" t="inlineStr">
        <is>
          <t>Hard-block in high-interaction or serotonergic-med contexts</t>
        </is>
      </c>
      <c r="F5" t="inlineStr">
        <is>
          <t>high</t>
        </is>
      </c>
      <c r="G5" t="inlineStr">
        <is>
          <t>Route to review or alternative mood-support herb instead of auto-recommending</t>
        </is>
      </c>
      <c r="H5" t="inlineStr">
        <is>
          <t>1</t>
        </is>
      </c>
      <c r="I5" t="inlineStr">
        <is>
          <t>Interaction burden is extract-sensitive and clinically important.</t>
        </is>
      </c>
    </row>
    <row r="6">
      <c r="A6" t="inlineStr">
        <is>
          <t>mucuna</t>
        </is>
      </c>
      <c r="B6" t="inlineStr">
        <is>
          <t>standardized L-DOPA extract</t>
        </is>
      </c>
      <c r="C6" t="inlineStr">
        <is>
          <t>standardization-split</t>
        </is>
      </c>
      <c r="D6" t="inlineStr">
        <is>
          <t>Mucuna (standardized)</t>
        </is>
      </c>
      <c r="E6" t="inlineStr">
        <is>
          <t>Require explicit L-DOPA disclosure before allowing stimulant/dopamine-adjacent routing</t>
        </is>
      </c>
      <c r="F6" t="inlineStr">
        <is>
          <t>high</t>
        </is>
      </c>
      <c r="G6" t="inlineStr">
        <is>
          <t>Fallback to non-L-DOPA dopaminergic support when standardization is missing or user is medication-sensitive</t>
        </is>
      </c>
      <c r="H6" t="inlineStr">
        <is>
          <t>1</t>
        </is>
      </c>
      <c r="I6" t="inlineStr">
        <is>
          <t>Standardization determines practical risk more than generic herb name.</t>
        </is>
      </c>
    </row>
  </sheetData>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pass</t>
        </is>
      </c>
      <c r="B1" t="inlineStr">
        <is>
          <t>layer</t>
        </is>
      </c>
      <c r="C1" t="inlineStr">
        <is>
          <t>change</t>
        </is>
      </c>
      <c r="D1" t="inlineStr">
        <is>
          <t>status</t>
        </is>
      </c>
    </row>
    <row r="2">
      <c r="A2" t="n">
        <v>64</v>
      </c>
      <c r="B2" t="inlineStr">
        <is>
          <t>Herb Monographs</t>
        </is>
      </c>
      <c r="C2" t="inlineStr">
        <is>
          <t>Integrated American Skullcap, Motherwort, Saffron, and Licorice monographs</t>
        </is>
      </c>
      <c r="D2" t="inlineStr">
        <is>
          <t>complete</t>
        </is>
      </c>
    </row>
    <row r="3">
      <c r="A3" t="n">
        <v>64</v>
      </c>
      <c r="B3" t="inlineStr">
        <is>
          <t>Compound Master V3</t>
        </is>
      </c>
      <c r="C3" t="inlineStr">
        <is>
          <t>Added liquiritigenin, isoliquiritigenin, and glabridin for licorice chemistry coverage</t>
        </is>
      </c>
      <c r="D3" t="inlineStr">
        <is>
          <t>complete</t>
        </is>
      </c>
    </row>
    <row r="4">
      <c r="A4" t="n">
        <v>64</v>
      </c>
      <c r="B4" t="inlineStr">
        <is>
          <t>Herb Compound Map V3</t>
        </is>
      </c>
      <c r="C4" t="inlineStr">
        <is>
          <t>Mapped 12 new herb-compound relationships for new monographs</t>
        </is>
      </c>
      <c r="D4" t="inlineStr">
        <is>
          <t>complete</t>
        </is>
      </c>
    </row>
    <row r="5">
      <c r="A5" t="n">
        <v>65</v>
      </c>
      <c r="B5" t="inlineStr">
        <is>
          <t>Form Distinction Rules V65</t>
        </is>
      </c>
      <c r="C5" t="inlineStr">
        <is>
          <t>Added form/species/extract routing rules for frontend and personalization gating</t>
        </is>
      </c>
      <c r="D5" t="inlineStr">
        <is>
          <t>complete</t>
        </is>
      </c>
    </row>
    <row r="6">
      <c r="A6" t="n">
        <v>65</v>
      </c>
      <c r="B6" t="inlineStr">
        <is>
          <t>Compound Layer Dashboard V3</t>
        </is>
      </c>
      <c r="C6" t="inlineStr">
        <is>
          <t>Pass rows and next-step recommendation updated</t>
        </is>
      </c>
      <c r="D6" t="inlineStr">
        <is>
          <t>complete</t>
        </is>
      </c>
    </row>
  </sheetData>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pass</t>
        </is>
      </c>
      <c r="B1" t="inlineStr">
        <is>
          <t>description</t>
        </is>
      </c>
      <c r="C1" t="inlineStr">
        <is>
          <t>status</t>
        </is>
      </c>
    </row>
    <row r="2">
      <c r="A2" t="inlineStr">
        <is>
          <t>66</t>
        </is>
      </c>
      <c r="B2" t="inlineStr">
        <is>
          <t>Monograph Expansion</t>
        </is>
      </c>
      <c r="C2" t="inlineStr">
        <is>
          <t>complete</t>
        </is>
      </c>
    </row>
    <row r="3">
      <c r="A3" t="inlineStr">
        <is>
          <t>67</t>
        </is>
      </c>
      <c r="B3" t="inlineStr">
        <is>
          <t>Compound Integration</t>
        </is>
      </c>
      <c r="C3" t="inlineStr">
        <is>
          <t>complete</t>
        </is>
      </c>
    </row>
  </sheetData>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pass</t>
        </is>
      </c>
      <c r="B1" t="inlineStr">
        <is>
          <t>description</t>
        </is>
      </c>
      <c r="C1" t="inlineStr">
        <is>
          <t>status</t>
        </is>
      </c>
    </row>
    <row r="2">
      <c r="A2" t="inlineStr">
        <is>
          <t>68</t>
        </is>
      </c>
      <c r="B2" t="inlineStr">
        <is>
          <t>Monograph Expansion</t>
        </is>
      </c>
      <c r="C2" t="inlineStr">
        <is>
          <t>complete</t>
        </is>
      </c>
    </row>
    <row r="3">
      <c r="A3" t="inlineStr">
        <is>
          <t>69</t>
        </is>
      </c>
      <c r="B3" t="inlineStr">
        <is>
          <t>Compound Integration</t>
        </is>
      </c>
      <c r="C3" t="inlineStr">
        <is>
          <t>complete</t>
        </is>
      </c>
    </row>
  </sheetData>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pass</t>
        </is>
      </c>
      <c r="B1" t="inlineStr">
        <is>
          <t>description</t>
        </is>
      </c>
      <c r="C1" t="inlineStr">
        <is>
          <t>status</t>
        </is>
      </c>
    </row>
    <row r="2">
      <c r="A2" t="inlineStr">
        <is>
          <t>70</t>
        </is>
      </c>
      <c r="B2" t="inlineStr">
        <is>
          <t>Monograph Expansion</t>
        </is>
      </c>
      <c r="C2" t="inlineStr">
        <is>
          <t>complete</t>
        </is>
      </c>
    </row>
    <row r="3">
      <c r="A3" t="inlineStr">
        <is>
          <t>71</t>
        </is>
      </c>
      <c r="B3" t="inlineStr">
        <is>
          <t>Compound Integration</t>
        </is>
      </c>
      <c r="C3" t="inlineStr">
        <is>
          <t>complete</t>
        </is>
      </c>
    </row>
  </sheetData>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pass</t>
        </is>
      </c>
      <c r="B1" t="inlineStr">
        <is>
          <t>description</t>
        </is>
      </c>
      <c r="C1" t="inlineStr">
        <is>
          <t>status</t>
        </is>
      </c>
    </row>
    <row r="2">
      <c r="A2" t="inlineStr">
        <is>
          <t>72</t>
        </is>
      </c>
      <c r="B2" t="inlineStr">
        <is>
          <t>Monograph Expansion</t>
        </is>
      </c>
      <c r="C2" t="inlineStr">
        <is>
          <t>complete</t>
        </is>
      </c>
    </row>
    <row r="3">
      <c r="A3" t="inlineStr">
        <is>
          <t>73</t>
        </is>
      </c>
      <c r="B3" t="inlineStr">
        <is>
          <t>Compound Integration</t>
        </is>
      </c>
      <c r="C3" t="inlineStr">
        <is>
          <t>complete</t>
        </is>
      </c>
    </row>
  </sheetData>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710000038146973" customWidth="1" style="76" min="1" max="1"/>
    <col width="24.43000030517578" customWidth="1" style="76" min="2" max="2"/>
    <col width="10.14000034332275" customWidth="1" style="76" min="3" max="3"/>
  </cols>
  <sheetData>
    <row r="1">
      <c r="A1" s="185" t="inlineStr">
        <is>
          <t>pass</t>
        </is>
      </c>
      <c r="B1" s="185" t="inlineStr">
        <is>
          <t>description</t>
        </is>
      </c>
      <c r="C1" s="185" t="inlineStr">
        <is>
          <t>status</t>
        </is>
      </c>
    </row>
    <row r="2">
      <c r="A2" s="181" t="inlineStr">
        <is>
          <t>76</t>
        </is>
      </c>
      <c r="B2" s="181" t="inlineStr">
        <is>
          <t>Monograph Expansion</t>
        </is>
      </c>
      <c r="C2" s="181" t="inlineStr">
        <is>
          <t>complete</t>
        </is>
      </c>
    </row>
    <row r="3">
      <c r="A3" s="181" t="inlineStr">
        <is>
          <t>77</t>
        </is>
      </c>
      <c r="B3" s="181" t="inlineStr">
        <is>
          <t>Compound Integration</t>
        </is>
      </c>
      <c r="C3" s="181" t="inlineStr">
        <is>
          <t>complete</t>
        </is>
      </c>
    </row>
  </sheetData>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pass</t>
        </is>
      </c>
      <c r="B1" t="inlineStr">
        <is>
          <t>description</t>
        </is>
      </c>
      <c r="C1" t="inlineStr">
        <is>
          <t>status</t>
        </is>
      </c>
    </row>
    <row r="2">
      <c r="A2" t="inlineStr">
        <is>
          <t>78</t>
        </is>
      </c>
      <c r="B2" t="inlineStr">
        <is>
          <t>Monograph Expansion</t>
        </is>
      </c>
      <c r="C2" t="inlineStr">
        <is>
          <t>complete</t>
        </is>
      </c>
    </row>
    <row r="3">
      <c r="A3" t="inlineStr">
        <is>
          <t>79</t>
        </is>
      </c>
      <c r="B3" t="inlineStr">
        <is>
          <t>Compound Integration</t>
        </is>
      </c>
      <c r="C3"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2026-04-08T17:10:46Z</dcterms:created>
  <dcterms:modified xmlns:dcterms="http://purl.org/dc/terms/" xmlns:xsi="http://www.w3.org/2001/XMLSchema-instance" xsi:type="dcterms:W3CDTF">2026-04-08T17:10:48Z</dcterms:modified>
</cp:coreProperties>
</file>